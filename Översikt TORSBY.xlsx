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45976</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45976</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45976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45976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45976</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45976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45976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45976</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45976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45976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45976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45976</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45976</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171-2021</t>
        </is>
      </c>
      <c r="B20" s="1" t="n">
        <v>44200</v>
      </c>
      <c r="C20" s="1" t="n">
        <v>45976</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44562-2023</t>
        </is>
      </c>
      <c r="B21" s="1" t="n">
        <v>45189</v>
      </c>
      <c r="C21" s="1" t="n">
        <v>45976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45976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45976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4553-2021</t>
        </is>
      </c>
      <c r="B24" s="1" t="n">
        <v>44224</v>
      </c>
      <c r="C24" s="1" t="n">
        <v>45976</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45976</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45976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45976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45976</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45976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45976</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45976</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45976</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45976</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45976</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45976</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45976</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45976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45976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45976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45976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9573-2023</t>
        </is>
      </c>
      <c r="B41" s="1" t="n">
        <v>44982</v>
      </c>
      <c r="C41" s="1" t="n">
        <v>45976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45976</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45976</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45976</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45976</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37948-2024</t>
        </is>
      </c>
      <c r="B46" s="1" t="n">
        <v>45544</v>
      </c>
      <c r="C46" s="1" t="n">
        <v>45976</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45976</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15086-2025</t>
        </is>
      </c>
      <c r="B48" s="1" t="n">
        <v>45743</v>
      </c>
      <c r="C48" s="1" t="n">
        <v>45976</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20763-2025</t>
        </is>
      </c>
      <c r="B49" s="1" t="n">
        <v>45776.57929398148</v>
      </c>
      <c r="C49" s="1" t="n">
        <v>45976</v>
      </c>
      <c r="D49" t="inlineStr">
        <is>
          <t>VÄRMLANDS LÄN</t>
        </is>
      </c>
      <c r="E49" t="inlineStr">
        <is>
          <t>TORSBY</t>
        </is>
      </c>
      <c r="G49" t="n">
        <v>4.9</v>
      </c>
      <c r="H49" t="n">
        <v>0</v>
      </c>
      <c r="I49" t="n">
        <v>0</v>
      </c>
      <c r="J49" t="n">
        <v>4</v>
      </c>
      <c r="K49" t="n">
        <v>0</v>
      </c>
      <c r="L49" t="n">
        <v>0</v>
      </c>
      <c r="M49" t="n">
        <v>0</v>
      </c>
      <c r="N49" t="n">
        <v>0</v>
      </c>
      <c r="O49" t="n">
        <v>4</v>
      </c>
      <c r="P49" t="n">
        <v>0</v>
      </c>
      <c r="Q49" t="n">
        <v>4</v>
      </c>
      <c r="R49" s="2" t="inlineStr">
        <is>
          <t>Garnlav
Kolflarnlav
Mörk kolflarnlav
Vedskivlav</t>
        </is>
      </c>
      <c r="S49">
        <f>HYPERLINK("https://klasma.github.io/Logging_1737/artfynd/A 20763-2025 artfynd.xlsx", "A 20763-2025")</f>
        <v/>
      </c>
      <c r="T49">
        <f>HYPERLINK("https://klasma.github.io/Logging_1737/kartor/A 20763-2025 karta.png", "A 20763-2025")</f>
        <v/>
      </c>
      <c r="V49">
        <f>HYPERLINK("https://klasma.github.io/Logging_1737/klagomål/A 20763-2025 FSC-klagomål.docx", "A 20763-2025")</f>
        <v/>
      </c>
      <c r="W49">
        <f>HYPERLINK("https://klasma.github.io/Logging_1737/klagomålsmail/A 20763-2025 FSC-klagomål mail.docx", "A 20763-2025")</f>
        <v/>
      </c>
      <c r="X49">
        <f>HYPERLINK("https://klasma.github.io/Logging_1737/tillsyn/A 20763-2025 tillsynsbegäran.docx", "A 20763-2025")</f>
        <v/>
      </c>
      <c r="Y49">
        <f>HYPERLINK("https://klasma.github.io/Logging_1737/tillsynsmail/A 20763-2025 tillsynsbegäran mail.docx", "A 20763-2025")</f>
        <v/>
      </c>
    </row>
    <row r="50" ht="15" customHeight="1">
      <c r="A50" t="inlineStr">
        <is>
          <t>A 54297-2022</t>
        </is>
      </c>
      <c r="B50" s="1" t="n">
        <v>44882</v>
      </c>
      <c r="C50" s="1" t="n">
        <v>45976</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45976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45976</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173-2021</t>
        </is>
      </c>
      <c r="B53" s="1" t="n">
        <v>44200</v>
      </c>
      <c r="C53" s="1" t="n">
        <v>45976</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25899-2024</t>
        </is>
      </c>
      <c r="B54" s="1" t="n">
        <v>45467</v>
      </c>
      <c r="C54" s="1" t="n">
        <v>45976</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45976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45976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45976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67528-2021</t>
        </is>
      </c>
      <c r="B58" s="1" t="n">
        <v>44524</v>
      </c>
      <c r="C58" s="1" t="n">
        <v>45976</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5680-2024</t>
        </is>
      </c>
      <c r="B59" s="1" t="n">
        <v>45334</v>
      </c>
      <c r="C59" s="1" t="n">
        <v>45976</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42590-2023</t>
        </is>
      </c>
      <c r="B60" s="1" t="n">
        <v>45181</v>
      </c>
      <c r="C60" s="1" t="n">
        <v>45976</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59789-2024</t>
        </is>
      </c>
      <c r="B61" s="1" t="n">
        <v>45639</v>
      </c>
      <c r="C61" s="1" t="n">
        <v>45976</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16545-2021</t>
        </is>
      </c>
      <c r="B62" s="1" t="n">
        <v>44293</v>
      </c>
      <c r="C62" s="1" t="n">
        <v>45976</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42595-2025</t>
        </is>
      </c>
      <c r="B63" s="1" t="n">
        <v>45905</v>
      </c>
      <c r="C63" s="1" t="n">
        <v>45976</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3099-2024</t>
        </is>
      </c>
      <c r="B64" s="1" t="n">
        <v>45316</v>
      </c>
      <c r="C64" s="1" t="n">
        <v>45976</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45976</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57190-2024</t>
        </is>
      </c>
      <c r="B66" s="1" t="n">
        <v>45629</v>
      </c>
      <c r="C66" s="1" t="n">
        <v>45976</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19030-2025</t>
        </is>
      </c>
      <c r="B67" s="1" t="n">
        <v>45764.65658564815</v>
      </c>
      <c r="C67" s="1" t="n">
        <v>45976</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45976</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45468-2025</t>
        </is>
      </c>
      <c r="B69" s="1" t="n">
        <v>45922</v>
      </c>
      <c r="C69" s="1" t="n">
        <v>45976</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17740-2025</t>
        </is>
      </c>
      <c r="B70" s="1" t="n">
        <v>45758</v>
      </c>
      <c r="C70" s="1" t="n">
        <v>45976</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31835-2024</t>
        </is>
      </c>
      <c r="B71" s="1" t="n">
        <v>45509</v>
      </c>
      <c r="C71" s="1" t="n">
        <v>45976</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1524-2021</t>
        </is>
      </c>
      <c r="B72" s="1" t="n">
        <v>44209</v>
      </c>
      <c r="C72" s="1" t="n">
        <v>45976</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45976</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17747-2025</t>
        </is>
      </c>
      <c r="B74" s="1" t="n">
        <v>45758</v>
      </c>
      <c r="C74" s="1" t="n">
        <v>45976</v>
      </c>
      <c r="D74" t="inlineStr">
        <is>
          <t>VÄRMLANDS LÄN</t>
        </is>
      </c>
      <c r="E74" t="inlineStr">
        <is>
          <t>TORSBY</t>
        </is>
      </c>
      <c r="G74" t="n">
        <v>14.1</v>
      </c>
      <c r="H74" t="n">
        <v>0</v>
      </c>
      <c r="I74" t="n">
        <v>0</v>
      </c>
      <c r="J74" t="n">
        <v>2</v>
      </c>
      <c r="K74" t="n">
        <v>0</v>
      </c>
      <c r="L74" t="n">
        <v>0</v>
      </c>
      <c r="M74" t="n">
        <v>0</v>
      </c>
      <c r="N74" t="n">
        <v>0</v>
      </c>
      <c r="O74" t="n">
        <v>2</v>
      </c>
      <c r="P74" t="n">
        <v>0</v>
      </c>
      <c r="Q74" t="n">
        <v>2</v>
      </c>
      <c r="R74" s="2" t="inlineStr">
        <is>
          <t>Garnlav
Vedtrappmossa</t>
        </is>
      </c>
      <c r="S74">
        <f>HYPERLINK("https://klasma.github.io/Logging_1737/artfynd/A 17747-2025 artfynd.xlsx", "A 17747-2025")</f>
        <v/>
      </c>
      <c r="T74">
        <f>HYPERLINK("https://klasma.github.io/Logging_1737/kartor/A 17747-2025 karta.png", "A 17747-2025")</f>
        <v/>
      </c>
      <c r="V74">
        <f>HYPERLINK("https://klasma.github.io/Logging_1737/klagomål/A 17747-2025 FSC-klagomål.docx", "A 17747-2025")</f>
        <v/>
      </c>
      <c r="W74">
        <f>HYPERLINK("https://klasma.github.io/Logging_1737/klagomålsmail/A 17747-2025 FSC-klagomål mail.docx", "A 17747-2025")</f>
        <v/>
      </c>
      <c r="X74">
        <f>HYPERLINK("https://klasma.github.io/Logging_1737/tillsyn/A 17747-2025 tillsynsbegäran.docx", "A 17747-2025")</f>
        <v/>
      </c>
      <c r="Y74">
        <f>HYPERLINK("https://klasma.github.io/Logging_1737/tillsynsmail/A 17747-2025 tillsynsbegäran mail.docx", "A 17747-2025")</f>
        <v/>
      </c>
    </row>
    <row r="75" ht="15" customHeight="1">
      <c r="A75" t="inlineStr">
        <is>
          <t>A 37388-2025</t>
        </is>
      </c>
      <c r="B75" s="1" t="n">
        <v>45877</v>
      </c>
      <c r="C75" s="1" t="n">
        <v>45976</v>
      </c>
      <c r="D75" t="inlineStr">
        <is>
          <t>VÄRMLANDS LÄN</t>
        </is>
      </c>
      <c r="E75" t="inlineStr">
        <is>
          <t>TORSBY</t>
        </is>
      </c>
      <c r="G75" t="n">
        <v>14.1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37388-2025 artfynd.xlsx", "A 37388-2025")</f>
        <v/>
      </c>
      <c r="T75">
        <f>HYPERLINK("https://klasma.github.io/Logging_1737/kartor/A 37388-2025 karta.png", "A 37388-2025")</f>
        <v/>
      </c>
      <c r="V75">
        <f>HYPERLINK("https://klasma.github.io/Logging_1737/klagomål/A 37388-2025 FSC-klagomål.docx", "A 37388-2025")</f>
        <v/>
      </c>
      <c r="W75">
        <f>HYPERLINK("https://klasma.github.io/Logging_1737/klagomålsmail/A 37388-2025 FSC-klagomål mail.docx", "A 37388-2025")</f>
        <v/>
      </c>
      <c r="X75">
        <f>HYPERLINK("https://klasma.github.io/Logging_1737/tillsyn/A 37388-2025 tillsynsbegäran.docx", "A 37388-2025")</f>
        <v/>
      </c>
      <c r="Y75">
        <f>HYPERLINK("https://klasma.github.io/Logging_1737/tillsynsmail/A 37388-2025 tillsynsbegäran mail.docx", "A 37388-2025")</f>
        <v/>
      </c>
    </row>
    <row r="76" ht="15" customHeight="1">
      <c r="A76" t="inlineStr">
        <is>
          <t>A 33906-2025</t>
        </is>
      </c>
      <c r="B76" s="1" t="n">
        <v>45842.59878472222</v>
      </c>
      <c r="C76" s="1" t="n">
        <v>45976</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16442-2023</t>
        </is>
      </c>
      <c r="B77" s="1" t="n">
        <v>45026</v>
      </c>
      <c r="C77" s="1" t="n">
        <v>45976</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48970-2025</t>
        </is>
      </c>
      <c r="B78" s="1" t="n">
        <v>45937.56392361111</v>
      </c>
      <c r="C78" s="1" t="n">
        <v>45976</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23091-2024</t>
        </is>
      </c>
      <c r="B79" s="1" t="n">
        <v>45450</v>
      </c>
      <c r="C79" s="1" t="n">
        <v>45976</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45976</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42488-2025</t>
        </is>
      </c>
      <c r="B81" s="1" t="n">
        <v>45905</v>
      </c>
      <c r="C81" s="1" t="n">
        <v>45976</v>
      </c>
      <c r="D81" t="inlineStr">
        <is>
          <t>VÄRMLANDS LÄN</t>
        </is>
      </c>
      <c r="E81" t="inlineStr">
        <is>
          <t>TORSBY</t>
        </is>
      </c>
      <c r="G81" t="n">
        <v>4.1</v>
      </c>
      <c r="H81" t="n">
        <v>0</v>
      </c>
      <c r="I81" t="n">
        <v>2</v>
      </c>
      <c r="J81" t="n">
        <v>0</v>
      </c>
      <c r="K81" t="n">
        <v>0</v>
      </c>
      <c r="L81" t="n">
        <v>0</v>
      </c>
      <c r="M81" t="n">
        <v>0</v>
      </c>
      <c r="N81" t="n">
        <v>0</v>
      </c>
      <c r="O81" t="n">
        <v>0</v>
      </c>
      <c r="P81" t="n">
        <v>0</v>
      </c>
      <c r="Q81" t="n">
        <v>2</v>
      </c>
      <c r="R81" s="2" t="inlineStr">
        <is>
          <t>Skuggblåslav
Vedticka</t>
        </is>
      </c>
      <c r="S81">
        <f>HYPERLINK("https://klasma.github.io/Logging_1737/artfynd/A 42488-2025 artfynd.xlsx", "A 42488-2025")</f>
        <v/>
      </c>
      <c r="T81">
        <f>HYPERLINK("https://klasma.github.io/Logging_1737/kartor/A 42488-2025 karta.png", "A 42488-2025")</f>
        <v/>
      </c>
      <c r="V81">
        <f>HYPERLINK("https://klasma.github.io/Logging_1737/klagomål/A 42488-2025 FSC-klagomål.docx", "A 42488-2025")</f>
        <v/>
      </c>
      <c r="W81">
        <f>HYPERLINK("https://klasma.github.io/Logging_1737/klagomålsmail/A 42488-2025 FSC-klagomål mail.docx", "A 42488-2025")</f>
        <v/>
      </c>
      <c r="X81">
        <f>HYPERLINK("https://klasma.github.io/Logging_1737/tillsyn/A 42488-2025 tillsynsbegäran.docx", "A 42488-2025")</f>
        <v/>
      </c>
      <c r="Y81">
        <f>HYPERLINK("https://klasma.github.io/Logging_1737/tillsynsmail/A 42488-2025 tillsynsbegäran mail.docx", "A 42488-2025")</f>
        <v/>
      </c>
    </row>
    <row r="82" ht="15" customHeight="1">
      <c r="A82" t="inlineStr">
        <is>
          <t>A 16011-2025</t>
        </is>
      </c>
      <c r="B82" s="1" t="n">
        <v>45749</v>
      </c>
      <c r="C82" s="1" t="n">
        <v>45976</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61950-2024</t>
        </is>
      </c>
      <c r="B83" s="1" t="n">
        <v>45653</v>
      </c>
      <c r="C83" s="1" t="n">
        <v>45976</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16414-2023</t>
        </is>
      </c>
      <c r="B84" s="1" t="n">
        <v>45022</v>
      </c>
      <c r="C84" s="1" t="n">
        <v>45976</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42610-2023</t>
        </is>
      </c>
      <c r="B85" s="1" t="n">
        <v>45181</v>
      </c>
      <c r="C85" s="1" t="n">
        <v>45976</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62955-2023</t>
        </is>
      </c>
      <c r="B86" s="1" t="n">
        <v>45271</v>
      </c>
      <c r="C86" s="1" t="n">
        <v>45976</v>
      </c>
      <c r="D86" t="inlineStr">
        <is>
          <t>VÄRMLANDS LÄN</t>
        </is>
      </c>
      <c r="E86" t="inlineStr">
        <is>
          <t>TORSBY</t>
        </is>
      </c>
      <c r="F86" t="inlineStr">
        <is>
          <t>Övriga statliga verk och myndigheter</t>
        </is>
      </c>
      <c r="G86" t="n">
        <v>4.2</v>
      </c>
      <c r="H86" t="n">
        <v>0</v>
      </c>
      <c r="I86" t="n">
        <v>0</v>
      </c>
      <c r="J86" t="n">
        <v>2</v>
      </c>
      <c r="K86" t="n">
        <v>0</v>
      </c>
      <c r="L86" t="n">
        <v>0</v>
      </c>
      <c r="M86" t="n">
        <v>0</v>
      </c>
      <c r="N86" t="n">
        <v>0</v>
      </c>
      <c r="O86" t="n">
        <v>2</v>
      </c>
      <c r="P86" t="n">
        <v>0</v>
      </c>
      <c r="Q86" t="n">
        <v>2</v>
      </c>
      <c r="R86" s="2" t="inlineStr">
        <is>
          <t>Garnlav
Vedtrappmossa</t>
        </is>
      </c>
      <c r="S86">
        <f>HYPERLINK("https://klasma.github.io/Logging_1737/artfynd/A 62955-2023 artfynd.xlsx", "A 62955-2023")</f>
        <v/>
      </c>
      <c r="T86">
        <f>HYPERLINK("https://klasma.github.io/Logging_1737/kartor/A 62955-2023 karta.png", "A 62955-2023")</f>
        <v/>
      </c>
      <c r="V86">
        <f>HYPERLINK("https://klasma.github.io/Logging_1737/klagomål/A 62955-2023 FSC-klagomål.docx", "A 62955-2023")</f>
        <v/>
      </c>
      <c r="W86">
        <f>HYPERLINK("https://klasma.github.io/Logging_1737/klagomålsmail/A 62955-2023 FSC-klagomål mail.docx", "A 62955-2023")</f>
        <v/>
      </c>
      <c r="X86">
        <f>HYPERLINK("https://klasma.github.io/Logging_1737/tillsyn/A 62955-2023 tillsynsbegäran.docx", "A 62955-2023")</f>
        <v/>
      </c>
      <c r="Y86">
        <f>HYPERLINK("https://klasma.github.io/Logging_1737/tillsynsmail/A 62955-2023 tillsynsbegäran mail.docx", "A 62955-2023")</f>
        <v/>
      </c>
    </row>
    <row r="87" ht="15" customHeight="1">
      <c r="A87" t="inlineStr">
        <is>
          <t>A 46580-2025</t>
        </is>
      </c>
      <c r="B87" s="1" t="n">
        <v>45926</v>
      </c>
      <c r="C87" s="1" t="n">
        <v>45976</v>
      </c>
      <c r="D87" t="inlineStr">
        <is>
          <t>VÄRMLANDS LÄN</t>
        </is>
      </c>
      <c r="E87" t="inlineStr">
        <is>
          <t>TORSBY</t>
        </is>
      </c>
      <c r="G87" t="n">
        <v>1.4</v>
      </c>
      <c r="H87" t="n">
        <v>0</v>
      </c>
      <c r="I87" t="n">
        <v>0</v>
      </c>
      <c r="J87" t="n">
        <v>2</v>
      </c>
      <c r="K87" t="n">
        <v>0</v>
      </c>
      <c r="L87" t="n">
        <v>0</v>
      </c>
      <c r="M87" t="n">
        <v>0</v>
      </c>
      <c r="N87" t="n">
        <v>0</v>
      </c>
      <c r="O87" t="n">
        <v>2</v>
      </c>
      <c r="P87" t="n">
        <v>0</v>
      </c>
      <c r="Q87" t="n">
        <v>2</v>
      </c>
      <c r="R87" s="2" t="inlineStr">
        <is>
          <t>Garnlav
Vedskivlav</t>
        </is>
      </c>
      <c r="S87">
        <f>HYPERLINK("https://klasma.github.io/Logging_1737/artfynd/A 46580-2025 artfynd.xlsx", "A 46580-2025")</f>
        <v/>
      </c>
      <c r="T87">
        <f>HYPERLINK("https://klasma.github.io/Logging_1737/kartor/A 46580-2025 karta.png", "A 46580-2025")</f>
        <v/>
      </c>
      <c r="V87">
        <f>HYPERLINK("https://klasma.github.io/Logging_1737/klagomål/A 46580-2025 FSC-klagomål.docx", "A 46580-2025")</f>
        <v/>
      </c>
      <c r="W87">
        <f>HYPERLINK("https://klasma.github.io/Logging_1737/klagomålsmail/A 46580-2025 FSC-klagomål mail.docx", "A 46580-2025")</f>
        <v/>
      </c>
      <c r="X87">
        <f>HYPERLINK("https://klasma.github.io/Logging_1737/tillsyn/A 46580-2025 tillsynsbegäran.docx", "A 46580-2025")</f>
        <v/>
      </c>
      <c r="Y87">
        <f>HYPERLINK("https://klasma.github.io/Logging_1737/tillsynsmail/A 46580-2025 tillsynsbegäran mail.docx", "A 46580-2025")</f>
        <v/>
      </c>
    </row>
    <row r="88" ht="15" customHeight="1">
      <c r="A88" t="inlineStr">
        <is>
          <t>A 2000-2023</t>
        </is>
      </c>
      <c r="B88" s="1" t="n">
        <v>44939</v>
      </c>
      <c r="C88" s="1" t="n">
        <v>45976</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45976</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28156-2022</t>
        </is>
      </c>
      <c r="B90" s="1" t="n">
        <v>44746</v>
      </c>
      <c r="C90" s="1" t="n">
        <v>45976</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25212-2025</t>
        </is>
      </c>
      <c r="B91" s="1" t="n">
        <v>45800</v>
      </c>
      <c r="C91" s="1" t="n">
        <v>45976</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12375-2022</t>
        </is>
      </c>
      <c r="B92" s="1" t="n">
        <v>44637</v>
      </c>
      <c r="C92" s="1" t="n">
        <v>45976</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34930-2022</t>
        </is>
      </c>
      <c r="B93" s="1" t="n">
        <v>44796</v>
      </c>
      <c r="C93" s="1" t="n">
        <v>45976</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48292-2023</t>
        </is>
      </c>
      <c r="B94" s="1" t="n">
        <v>45205</v>
      </c>
      <c r="C94" s="1" t="n">
        <v>45976</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34853-2021</t>
        </is>
      </c>
      <c r="B95" s="1" t="n">
        <v>44383</v>
      </c>
      <c r="C95" s="1" t="n">
        <v>45976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45976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45976</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45976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45976</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15548-2023</t>
        </is>
      </c>
      <c r="B100" s="1" t="n">
        <v>45020</v>
      </c>
      <c r="C100" s="1" t="n">
        <v>45976</v>
      </c>
      <c r="D100" t="inlineStr">
        <is>
          <t>VÄRMLANDS LÄN</t>
        </is>
      </c>
      <c r="E100" t="inlineStr">
        <is>
          <t>TORSBY</t>
        </is>
      </c>
      <c r="G100" t="n">
        <v>0.6</v>
      </c>
      <c r="H100" t="n">
        <v>1</v>
      </c>
      <c r="I100" t="n">
        <v>0</v>
      </c>
      <c r="J100" t="n">
        <v>1</v>
      </c>
      <c r="K100" t="n">
        <v>0</v>
      </c>
      <c r="L100" t="n">
        <v>0</v>
      </c>
      <c r="M100" t="n">
        <v>0</v>
      </c>
      <c r="N100" t="n">
        <v>0</v>
      </c>
      <c r="O100" t="n">
        <v>1</v>
      </c>
      <c r="P100" t="n">
        <v>0</v>
      </c>
      <c r="Q100" t="n">
        <v>1</v>
      </c>
      <c r="R100" s="2" t="inlineStr">
        <is>
          <t>Spillkråka</t>
        </is>
      </c>
      <c r="S100">
        <f>HYPERLINK("https://klasma.github.io/Logging_1737/artfynd/A 15548-2023 artfynd.xlsx", "A 15548-2023")</f>
        <v/>
      </c>
      <c r="T100">
        <f>HYPERLINK("https://klasma.github.io/Logging_1737/kartor/A 15548-2023 karta.png", "A 15548-2023")</f>
        <v/>
      </c>
      <c r="V100">
        <f>HYPERLINK("https://klasma.github.io/Logging_1737/klagomål/A 15548-2023 FSC-klagomål.docx", "A 15548-2023")</f>
        <v/>
      </c>
      <c r="W100">
        <f>HYPERLINK("https://klasma.github.io/Logging_1737/klagomålsmail/A 15548-2023 FSC-klagomål mail.docx", "A 15548-2023")</f>
        <v/>
      </c>
      <c r="X100">
        <f>HYPERLINK("https://klasma.github.io/Logging_1737/tillsyn/A 15548-2023 tillsynsbegäran.docx", "A 15548-2023")</f>
        <v/>
      </c>
      <c r="Y100">
        <f>HYPERLINK("https://klasma.github.io/Logging_1737/tillsynsmail/A 15548-2023 tillsynsbegäran mail.docx", "A 15548-2023")</f>
        <v/>
      </c>
      <c r="Z100">
        <f>HYPERLINK("https://klasma.github.io/Logging_1737/fåglar/A 15548-2023 prioriterade fågelarter.docx", "A 15548-2023")</f>
        <v/>
      </c>
    </row>
    <row r="101" ht="15" customHeight="1">
      <c r="A101" t="inlineStr">
        <is>
          <t>A 37292-2024</t>
        </is>
      </c>
      <c r="B101" s="1" t="n">
        <v>45540</v>
      </c>
      <c r="C101" s="1" t="n">
        <v>45976</v>
      </c>
      <c r="D101" t="inlineStr">
        <is>
          <t>VÄRMLANDS LÄN</t>
        </is>
      </c>
      <c r="E101" t="inlineStr">
        <is>
          <t>TORSBY</t>
        </is>
      </c>
      <c r="G101" t="n">
        <v>5.4</v>
      </c>
      <c r="H101" t="n">
        <v>0</v>
      </c>
      <c r="I101" t="n">
        <v>0</v>
      </c>
      <c r="J101" t="n">
        <v>1</v>
      </c>
      <c r="K101" t="n">
        <v>0</v>
      </c>
      <c r="L101" t="n">
        <v>0</v>
      </c>
      <c r="M101" t="n">
        <v>0</v>
      </c>
      <c r="N101" t="n">
        <v>0</v>
      </c>
      <c r="O101" t="n">
        <v>1</v>
      </c>
      <c r="P101" t="n">
        <v>0</v>
      </c>
      <c r="Q101" t="n">
        <v>1</v>
      </c>
      <c r="R101" s="2" t="inlineStr">
        <is>
          <t>Garnlav</t>
        </is>
      </c>
      <c r="S101">
        <f>HYPERLINK("https://klasma.github.io/Logging_1737/artfynd/A 37292-2024 artfynd.xlsx", "A 37292-2024")</f>
        <v/>
      </c>
      <c r="T101">
        <f>HYPERLINK("https://klasma.github.io/Logging_1737/kartor/A 37292-2024 karta.png", "A 37292-2024")</f>
        <v/>
      </c>
      <c r="V101">
        <f>HYPERLINK("https://klasma.github.io/Logging_1737/klagomål/A 37292-2024 FSC-klagomål.docx", "A 37292-2024")</f>
        <v/>
      </c>
      <c r="W101">
        <f>HYPERLINK("https://klasma.github.io/Logging_1737/klagomålsmail/A 37292-2024 FSC-klagomål mail.docx", "A 37292-2024")</f>
        <v/>
      </c>
      <c r="X101">
        <f>HYPERLINK("https://klasma.github.io/Logging_1737/tillsyn/A 37292-2024 tillsynsbegäran.docx", "A 37292-2024")</f>
        <v/>
      </c>
      <c r="Y101">
        <f>HYPERLINK("https://klasma.github.io/Logging_1737/tillsynsmail/A 37292-2024 tillsynsbegäran mail.docx", "A 37292-2024")</f>
        <v/>
      </c>
    </row>
    <row r="102" ht="15" customHeight="1">
      <c r="A102" t="inlineStr">
        <is>
          <t>A 37327-2025</t>
        </is>
      </c>
      <c r="B102" s="1" t="n">
        <v>45876.64902777778</v>
      </c>
      <c r="C102" s="1" t="n">
        <v>45976</v>
      </c>
      <c r="D102" t="inlineStr">
        <is>
          <t>VÄRMLANDS LÄN</t>
        </is>
      </c>
      <c r="E102" t="inlineStr">
        <is>
          <t>TORSBY</t>
        </is>
      </c>
      <c r="G102" t="n">
        <v>2</v>
      </c>
      <c r="H102" t="n">
        <v>0</v>
      </c>
      <c r="I102" t="n">
        <v>0</v>
      </c>
      <c r="J102" t="n">
        <v>1</v>
      </c>
      <c r="K102" t="n">
        <v>0</v>
      </c>
      <c r="L102" t="n">
        <v>0</v>
      </c>
      <c r="M102" t="n">
        <v>0</v>
      </c>
      <c r="N102" t="n">
        <v>0</v>
      </c>
      <c r="O102" t="n">
        <v>1</v>
      </c>
      <c r="P102" t="n">
        <v>0</v>
      </c>
      <c r="Q102" t="n">
        <v>1</v>
      </c>
      <c r="R102" s="2" t="inlineStr">
        <is>
          <t>Garnlav</t>
        </is>
      </c>
      <c r="S102">
        <f>HYPERLINK("https://klasma.github.io/Logging_1737/artfynd/A 37327-2025 artfynd.xlsx", "A 37327-2025")</f>
        <v/>
      </c>
      <c r="T102">
        <f>HYPERLINK("https://klasma.github.io/Logging_1737/kartor/A 37327-2025 karta.png", "A 37327-2025")</f>
        <v/>
      </c>
      <c r="V102">
        <f>HYPERLINK("https://klasma.github.io/Logging_1737/klagomål/A 37327-2025 FSC-klagomål.docx", "A 37327-2025")</f>
        <v/>
      </c>
      <c r="W102">
        <f>HYPERLINK("https://klasma.github.io/Logging_1737/klagomålsmail/A 37327-2025 FSC-klagomål mail.docx", "A 37327-2025")</f>
        <v/>
      </c>
      <c r="X102">
        <f>HYPERLINK("https://klasma.github.io/Logging_1737/tillsyn/A 37327-2025 tillsynsbegäran.docx", "A 37327-2025")</f>
        <v/>
      </c>
      <c r="Y102">
        <f>HYPERLINK("https://klasma.github.io/Logging_1737/tillsynsmail/A 37327-2025 tillsynsbegäran mail.docx", "A 37327-2025")</f>
        <v/>
      </c>
    </row>
    <row r="103" ht="15" customHeight="1">
      <c r="A103" t="inlineStr">
        <is>
          <t>A 37699-2025</t>
        </is>
      </c>
      <c r="B103" s="1" t="n">
        <v>45880</v>
      </c>
      <c r="C103" s="1" t="n">
        <v>45976</v>
      </c>
      <c r="D103" t="inlineStr">
        <is>
          <t>VÄRMLANDS LÄN</t>
        </is>
      </c>
      <c r="E103" t="inlineStr">
        <is>
          <t>TORSBY</t>
        </is>
      </c>
      <c r="G103" t="n">
        <v>1.8</v>
      </c>
      <c r="H103" t="n">
        <v>1</v>
      </c>
      <c r="I103" t="n">
        <v>0</v>
      </c>
      <c r="J103" t="n">
        <v>0</v>
      </c>
      <c r="K103" t="n">
        <v>1</v>
      </c>
      <c r="L103" t="n">
        <v>0</v>
      </c>
      <c r="M103" t="n">
        <v>0</v>
      </c>
      <c r="N103" t="n">
        <v>0</v>
      </c>
      <c r="O103" t="n">
        <v>1</v>
      </c>
      <c r="P103" t="n">
        <v>1</v>
      </c>
      <c r="Q103" t="n">
        <v>1</v>
      </c>
      <c r="R103" s="2" t="inlineStr">
        <is>
          <t>Bombmurkla</t>
        </is>
      </c>
      <c r="S103">
        <f>HYPERLINK("https://klasma.github.io/Logging_1737/artfynd/A 37699-2025 artfynd.xlsx", "A 37699-2025")</f>
        <v/>
      </c>
      <c r="T103">
        <f>HYPERLINK("https://klasma.github.io/Logging_1737/kartor/A 37699-2025 karta.png", "A 37699-2025")</f>
        <v/>
      </c>
      <c r="V103">
        <f>HYPERLINK("https://klasma.github.io/Logging_1737/klagomål/A 37699-2025 FSC-klagomål.docx", "A 37699-2025")</f>
        <v/>
      </c>
      <c r="W103">
        <f>HYPERLINK("https://klasma.github.io/Logging_1737/klagomålsmail/A 37699-2025 FSC-klagomål mail.docx", "A 37699-2025")</f>
        <v/>
      </c>
      <c r="X103">
        <f>HYPERLINK("https://klasma.github.io/Logging_1737/tillsyn/A 37699-2025 tillsynsbegäran.docx", "A 37699-2025")</f>
        <v/>
      </c>
      <c r="Y103">
        <f>HYPERLINK("https://klasma.github.io/Logging_1737/tillsynsmail/A 37699-2025 tillsynsbegäran mail.docx", "A 37699-2025")</f>
        <v/>
      </c>
    </row>
    <row r="104" ht="15" customHeight="1">
      <c r="A104" t="inlineStr">
        <is>
          <t>A 37548-2025</t>
        </is>
      </c>
      <c r="B104" s="1" t="n">
        <v>45879</v>
      </c>
      <c r="C104" s="1" t="n">
        <v>45976</v>
      </c>
      <c r="D104" t="inlineStr">
        <is>
          <t>VÄRMLANDS LÄN</t>
        </is>
      </c>
      <c r="E104" t="inlineStr">
        <is>
          <t>TORSBY</t>
        </is>
      </c>
      <c r="G104" t="n">
        <v>9.5</v>
      </c>
      <c r="H104" t="n">
        <v>1</v>
      </c>
      <c r="I104" t="n">
        <v>0</v>
      </c>
      <c r="J104" t="n">
        <v>1</v>
      </c>
      <c r="K104" t="n">
        <v>0</v>
      </c>
      <c r="L104" t="n">
        <v>0</v>
      </c>
      <c r="M104" t="n">
        <v>0</v>
      </c>
      <c r="N104" t="n">
        <v>0</v>
      </c>
      <c r="O104" t="n">
        <v>1</v>
      </c>
      <c r="P104" t="n">
        <v>0</v>
      </c>
      <c r="Q104" t="n">
        <v>1</v>
      </c>
      <c r="R104" s="2" t="inlineStr">
        <is>
          <t>Talltita</t>
        </is>
      </c>
      <c r="S104">
        <f>HYPERLINK("https://klasma.github.io/Logging_1737/artfynd/A 37548-2025 artfynd.xlsx", "A 37548-2025")</f>
        <v/>
      </c>
      <c r="T104">
        <f>HYPERLINK("https://klasma.github.io/Logging_1737/kartor/A 37548-2025 karta.png", "A 37548-2025")</f>
        <v/>
      </c>
      <c r="V104">
        <f>HYPERLINK("https://klasma.github.io/Logging_1737/klagomål/A 37548-2025 FSC-klagomål.docx", "A 37548-2025")</f>
        <v/>
      </c>
      <c r="W104">
        <f>HYPERLINK("https://klasma.github.io/Logging_1737/klagomålsmail/A 37548-2025 FSC-klagomål mail.docx", "A 37548-2025")</f>
        <v/>
      </c>
      <c r="X104">
        <f>HYPERLINK("https://klasma.github.io/Logging_1737/tillsyn/A 37548-2025 tillsynsbegäran.docx", "A 37548-2025")</f>
        <v/>
      </c>
      <c r="Y104">
        <f>HYPERLINK("https://klasma.github.io/Logging_1737/tillsynsmail/A 37548-2025 tillsynsbegäran mail.docx", "A 37548-2025")</f>
        <v/>
      </c>
      <c r="Z104">
        <f>HYPERLINK("https://klasma.github.io/Logging_1737/fåglar/A 37548-2025 prioriterade fågelarter.docx", "A 37548-2025")</f>
        <v/>
      </c>
    </row>
    <row r="105" ht="15" customHeight="1">
      <c r="A105" t="inlineStr">
        <is>
          <t>A 14212-2025</t>
        </is>
      </c>
      <c r="B105" s="1" t="n">
        <v>45740</v>
      </c>
      <c r="C105" s="1" t="n">
        <v>45976</v>
      </c>
      <c r="D105" t="inlineStr">
        <is>
          <t>VÄRMLANDS LÄN</t>
        </is>
      </c>
      <c r="E105" t="inlineStr">
        <is>
          <t>TORSBY</t>
        </is>
      </c>
      <c r="F105" t="inlineStr">
        <is>
          <t>Övriga statliga verk och myndigheter</t>
        </is>
      </c>
      <c r="G105" t="n">
        <v>2</v>
      </c>
      <c r="H105" t="n">
        <v>0</v>
      </c>
      <c r="I105" t="n">
        <v>0</v>
      </c>
      <c r="J105" t="n">
        <v>0</v>
      </c>
      <c r="K105" t="n">
        <v>1</v>
      </c>
      <c r="L105" t="n">
        <v>0</v>
      </c>
      <c r="M105" t="n">
        <v>0</v>
      </c>
      <c r="N105" t="n">
        <v>0</v>
      </c>
      <c r="O105" t="n">
        <v>1</v>
      </c>
      <c r="P105" t="n">
        <v>1</v>
      </c>
      <c r="Q105" t="n">
        <v>1</v>
      </c>
      <c r="R105" s="2" t="inlineStr">
        <is>
          <t>Raggbock</t>
        </is>
      </c>
      <c r="S105">
        <f>HYPERLINK("https://klasma.github.io/Logging_1737/artfynd/A 14212-2025 artfynd.xlsx", "A 14212-2025")</f>
        <v/>
      </c>
      <c r="T105">
        <f>HYPERLINK("https://klasma.github.io/Logging_1737/kartor/A 14212-2025 karta.png", "A 14212-2025")</f>
        <v/>
      </c>
      <c r="V105">
        <f>HYPERLINK("https://klasma.github.io/Logging_1737/klagomål/A 14212-2025 FSC-klagomål.docx", "A 14212-2025")</f>
        <v/>
      </c>
      <c r="W105">
        <f>HYPERLINK("https://klasma.github.io/Logging_1737/klagomålsmail/A 14212-2025 FSC-klagomål mail.docx", "A 14212-2025")</f>
        <v/>
      </c>
      <c r="X105">
        <f>HYPERLINK("https://klasma.github.io/Logging_1737/tillsyn/A 14212-2025 tillsynsbegäran.docx", "A 14212-2025")</f>
        <v/>
      </c>
      <c r="Y105">
        <f>HYPERLINK("https://klasma.github.io/Logging_1737/tillsynsmail/A 14212-2025 tillsynsbegäran mail.docx", "A 14212-2025")</f>
        <v/>
      </c>
    </row>
    <row r="106" ht="15" customHeight="1">
      <c r="A106" t="inlineStr">
        <is>
          <t>A 38015-2025</t>
        </is>
      </c>
      <c r="B106" s="1" t="n">
        <v>45882</v>
      </c>
      <c r="C106" s="1" t="n">
        <v>45976</v>
      </c>
      <c r="D106" t="inlineStr">
        <is>
          <t>VÄRMLANDS LÄN</t>
        </is>
      </c>
      <c r="E106" t="inlineStr">
        <is>
          <t>TORSBY</t>
        </is>
      </c>
      <c r="F106" t="inlineStr">
        <is>
          <t>Bergvik skog väst AB</t>
        </is>
      </c>
      <c r="G106" t="n">
        <v>5</v>
      </c>
      <c r="H106" t="n">
        <v>0</v>
      </c>
      <c r="I106" t="n">
        <v>0</v>
      </c>
      <c r="J106" t="n">
        <v>1</v>
      </c>
      <c r="K106" t="n">
        <v>0</v>
      </c>
      <c r="L106" t="n">
        <v>0</v>
      </c>
      <c r="M106" t="n">
        <v>0</v>
      </c>
      <c r="N106" t="n">
        <v>0</v>
      </c>
      <c r="O106" t="n">
        <v>1</v>
      </c>
      <c r="P106" t="n">
        <v>0</v>
      </c>
      <c r="Q106" t="n">
        <v>1</v>
      </c>
      <c r="R106" s="2" t="inlineStr">
        <is>
          <t>Mörk kolflarnlav</t>
        </is>
      </c>
      <c r="S106">
        <f>HYPERLINK("https://klasma.github.io/Logging_1737/artfynd/A 38015-2025 artfynd.xlsx", "A 38015-2025")</f>
        <v/>
      </c>
      <c r="T106">
        <f>HYPERLINK("https://klasma.github.io/Logging_1737/kartor/A 38015-2025 karta.png", "A 38015-2025")</f>
        <v/>
      </c>
      <c r="V106">
        <f>HYPERLINK("https://klasma.github.io/Logging_1737/klagomål/A 38015-2025 FSC-klagomål.docx", "A 38015-2025")</f>
        <v/>
      </c>
      <c r="W106">
        <f>HYPERLINK("https://klasma.github.io/Logging_1737/klagomålsmail/A 38015-2025 FSC-klagomål mail.docx", "A 38015-2025")</f>
        <v/>
      </c>
      <c r="X106">
        <f>HYPERLINK("https://klasma.github.io/Logging_1737/tillsyn/A 38015-2025 tillsynsbegäran.docx", "A 38015-2025")</f>
        <v/>
      </c>
      <c r="Y106">
        <f>HYPERLINK("https://klasma.github.io/Logging_1737/tillsynsmail/A 38015-2025 tillsynsbegäran mail.docx", "A 38015-2025")</f>
        <v/>
      </c>
    </row>
    <row r="107" ht="15" customHeight="1">
      <c r="A107" t="inlineStr">
        <is>
          <t>A 58014-2024</t>
        </is>
      </c>
      <c r="B107" s="1" t="n">
        <v>45631</v>
      </c>
      <c r="C107" s="1" t="n">
        <v>45976</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47689-2024</t>
        </is>
      </c>
      <c r="B108" s="1" t="n">
        <v>45588</v>
      </c>
      <c r="C108" s="1" t="n">
        <v>45976</v>
      </c>
      <c r="D108" t="inlineStr">
        <is>
          <t>VÄRMLANDS LÄN</t>
        </is>
      </c>
      <c r="E108" t="inlineStr">
        <is>
          <t>TORSBY</t>
        </is>
      </c>
      <c r="G108" t="n">
        <v>3.1</v>
      </c>
      <c r="H108" t="n">
        <v>0</v>
      </c>
      <c r="I108" t="n">
        <v>0</v>
      </c>
      <c r="J108" t="n">
        <v>1</v>
      </c>
      <c r="K108" t="n">
        <v>0</v>
      </c>
      <c r="L108" t="n">
        <v>0</v>
      </c>
      <c r="M108" t="n">
        <v>0</v>
      </c>
      <c r="N108" t="n">
        <v>0</v>
      </c>
      <c r="O108" t="n">
        <v>1</v>
      </c>
      <c r="P108" t="n">
        <v>0</v>
      </c>
      <c r="Q108" t="n">
        <v>1</v>
      </c>
      <c r="R108" s="2" t="inlineStr">
        <is>
          <t>Garnlav</t>
        </is>
      </c>
      <c r="S108">
        <f>HYPERLINK("https://klasma.github.io/Logging_1737/artfynd/A 47689-2024 artfynd.xlsx", "A 47689-2024")</f>
        <v/>
      </c>
      <c r="T108">
        <f>HYPERLINK("https://klasma.github.io/Logging_1737/kartor/A 47689-2024 karta.png", "A 47689-2024")</f>
        <v/>
      </c>
      <c r="V108">
        <f>HYPERLINK("https://klasma.github.io/Logging_1737/klagomål/A 47689-2024 FSC-klagomål.docx", "A 47689-2024")</f>
        <v/>
      </c>
      <c r="W108">
        <f>HYPERLINK("https://klasma.github.io/Logging_1737/klagomålsmail/A 47689-2024 FSC-klagomål mail.docx", "A 47689-2024")</f>
        <v/>
      </c>
      <c r="X108">
        <f>HYPERLINK("https://klasma.github.io/Logging_1737/tillsyn/A 47689-2024 tillsynsbegäran.docx", "A 47689-2024")</f>
        <v/>
      </c>
      <c r="Y108">
        <f>HYPERLINK("https://klasma.github.io/Logging_1737/tillsynsmail/A 47689-2024 tillsynsbegäran mail.docx", "A 47689-2024")</f>
        <v/>
      </c>
    </row>
    <row r="109" ht="15" customHeight="1">
      <c r="A109" t="inlineStr">
        <is>
          <t>A 40033-2024</t>
        </is>
      </c>
      <c r="B109" s="1" t="n">
        <v>45553</v>
      </c>
      <c r="C109" s="1" t="n">
        <v>45976</v>
      </c>
      <c r="D109" t="inlineStr">
        <is>
          <t>VÄRMLANDS LÄN</t>
        </is>
      </c>
      <c r="E109" t="inlineStr">
        <is>
          <t>TORSBY</t>
        </is>
      </c>
      <c r="G109" t="n">
        <v>6.2</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40033-2024 artfynd.xlsx", "A 40033-2024")</f>
        <v/>
      </c>
      <c r="T109">
        <f>HYPERLINK("https://klasma.github.io/Logging_1737/kartor/A 40033-2024 karta.png", "A 40033-2024")</f>
        <v/>
      </c>
      <c r="V109">
        <f>HYPERLINK("https://klasma.github.io/Logging_1737/klagomål/A 40033-2024 FSC-klagomål.docx", "A 40033-2024")</f>
        <v/>
      </c>
      <c r="W109">
        <f>HYPERLINK("https://klasma.github.io/Logging_1737/klagomålsmail/A 40033-2024 FSC-klagomål mail.docx", "A 40033-2024")</f>
        <v/>
      </c>
      <c r="X109">
        <f>HYPERLINK("https://klasma.github.io/Logging_1737/tillsyn/A 40033-2024 tillsynsbegäran.docx", "A 40033-2024")</f>
        <v/>
      </c>
      <c r="Y109">
        <f>HYPERLINK("https://klasma.github.io/Logging_1737/tillsynsmail/A 40033-2024 tillsynsbegäran mail.docx", "A 40033-2024")</f>
        <v/>
      </c>
    </row>
    <row r="110" ht="15" customHeight="1">
      <c r="A110" t="inlineStr">
        <is>
          <t>A 39681-2023</t>
        </is>
      </c>
      <c r="B110" s="1" t="n">
        <v>45167</v>
      </c>
      <c r="C110" s="1" t="n">
        <v>45976</v>
      </c>
      <c r="D110" t="inlineStr">
        <is>
          <t>VÄRMLANDS LÄN</t>
        </is>
      </c>
      <c r="E110" t="inlineStr">
        <is>
          <t>TORSBY</t>
        </is>
      </c>
      <c r="G110" t="n">
        <v>5.2</v>
      </c>
      <c r="H110" t="n">
        <v>0</v>
      </c>
      <c r="I110" t="n">
        <v>0</v>
      </c>
      <c r="J110" t="n">
        <v>1</v>
      </c>
      <c r="K110" t="n">
        <v>0</v>
      </c>
      <c r="L110" t="n">
        <v>0</v>
      </c>
      <c r="M110" t="n">
        <v>0</v>
      </c>
      <c r="N110" t="n">
        <v>0</v>
      </c>
      <c r="O110" t="n">
        <v>1</v>
      </c>
      <c r="P110" t="n">
        <v>0</v>
      </c>
      <c r="Q110" t="n">
        <v>1</v>
      </c>
      <c r="R110" s="2" t="inlineStr">
        <is>
          <t>Garnlav</t>
        </is>
      </c>
      <c r="S110">
        <f>HYPERLINK("https://klasma.github.io/Logging_1737/artfynd/A 39681-2023 artfynd.xlsx", "A 39681-2023")</f>
        <v/>
      </c>
      <c r="T110">
        <f>HYPERLINK("https://klasma.github.io/Logging_1737/kartor/A 39681-2023 karta.png", "A 39681-2023")</f>
        <v/>
      </c>
      <c r="V110">
        <f>HYPERLINK("https://klasma.github.io/Logging_1737/klagomål/A 39681-2023 FSC-klagomål.docx", "A 39681-2023")</f>
        <v/>
      </c>
      <c r="W110">
        <f>HYPERLINK("https://klasma.github.io/Logging_1737/klagomålsmail/A 39681-2023 FSC-klagomål mail.docx", "A 39681-2023")</f>
        <v/>
      </c>
      <c r="X110">
        <f>HYPERLINK("https://klasma.github.io/Logging_1737/tillsyn/A 39681-2023 tillsynsbegäran.docx", "A 39681-2023")</f>
        <v/>
      </c>
      <c r="Y110">
        <f>HYPERLINK("https://klasma.github.io/Logging_1737/tillsynsmail/A 39681-2023 tillsynsbegäran mail.docx", "A 39681-2023")</f>
        <v/>
      </c>
    </row>
    <row r="111" ht="15" customHeight="1">
      <c r="A111" t="inlineStr">
        <is>
          <t>A 54982-2021</t>
        </is>
      </c>
      <c r="B111" s="1" t="n">
        <v>44469</v>
      </c>
      <c r="C111" s="1" t="n">
        <v>45976</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45976</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42500-2022</t>
        </is>
      </c>
      <c r="B113" s="1" t="n">
        <v>44831</v>
      </c>
      <c r="C113" s="1" t="n">
        <v>45976</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5726-2025</t>
        </is>
      </c>
      <c r="B114" s="1" t="n">
        <v>45694</v>
      </c>
      <c r="C114" s="1" t="n">
        <v>45976</v>
      </c>
      <c r="D114" t="inlineStr">
        <is>
          <t>VÄRMLANDS LÄN</t>
        </is>
      </c>
      <c r="E114" t="inlineStr">
        <is>
          <t>TORSBY</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5726-2025 artfynd.xlsx", "A 5726-2025")</f>
        <v/>
      </c>
      <c r="T114">
        <f>HYPERLINK("https://klasma.github.io/Logging_1737/kartor/A 5726-2025 karta.png", "A 5726-2025")</f>
        <v/>
      </c>
      <c r="V114">
        <f>HYPERLINK("https://klasma.github.io/Logging_1737/klagomål/A 5726-2025 FSC-klagomål.docx", "A 5726-2025")</f>
        <v/>
      </c>
      <c r="W114">
        <f>HYPERLINK("https://klasma.github.io/Logging_1737/klagomålsmail/A 5726-2025 FSC-klagomål mail.docx", "A 5726-2025")</f>
        <v/>
      </c>
      <c r="X114">
        <f>HYPERLINK("https://klasma.github.io/Logging_1737/tillsyn/A 5726-2025 tillsynsbegäran.docx", "A 5726-2025")</f>
        <v/>
      </c>
      <c r="Y114">
        <f>HYPERLINK("https://klasma.github.io/Logging_1737/tillsynsmail/A 5726-2025 tillsynsbegäran mail.docx", "A 5726-2025")</f>
        <v/>
      </c>
    </row>
    <row r="115" ht="15" customHeight="1">
      <c r="A115" t="inlineStr">
        <is>
          <t>A 49724-2023</t>
        </is>
      </c>
      <c r="B115" s="1" t="n">
        <v>45208</v>
      </c>
      <c r="C115" s="1" t="n">
        <v>45976</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50712-2025</t>
        </is>
      </c>
      <c r="B116" s="1" t="n">
        <v>45946.34440972222</v>
      </c>
      <c r="C116" s="1" t="n">
        <v>45976</v>
      </c>
      <c r="D116" t="inlineStr">
        <is>
          <t>VÄRMLANDS LÄN</t>
        </is>
      </c>
      <c r="E116" t="inlineStr">
        <is>
          <t>TORSBY</t>
        </is>
      </c>
      <c r="F116" t="inlineStr">
        <is>
          <t>Bergvik skog väst AB</t>
        </is>
      </c>
      <c r="G116" t="n">
        <v>7.6</v>
      </c>
      <c r="H116" t="n">
        <v>0</v>
      </c>
      <c r="I116" t="n">
        <v>0</v>
      </c>
      <c r="J116" t="n">
        <v>1</v>
      </c>
      <c r="K116" t="n">
        <v>0</v>
      </c>
      <c r="L116" t="n">
        <v>0</v>
      </c>
      <c r="M116" t="n">
        <v>0</v>
      </c>
      <c r="N116" t="n">
        <v>0</v>
      </c>
      <c r="O116" t="n">
        <v>1</v>
      </c>
      <c r="P116" t="n">
        <v>0</v>
      </c>
      <c r="Q116" t="n">
        <v>1</v>
      </c>
      <c r="R116" s="2" t="inlineStr">
        <is>
          <t>Vedskivlav</t>
        </is>
      </c>
      <c r="S116">
        <f>HYPERLINK("https://klasma.github.io/Logging_1737/artfynd/A 50712-2025 artfynd.xlsx", "A 50712-2025")</f>
        <v/>
      </c>
      <c r="T116">
        <f>HYPERLINK("https://klasma.github.io/Logging_1737/kartor/A 50712-2025 karta.png", "A 50712-2025")</f>
        <v/>
      </c>
      <c r="V116">
        <f>HYPERLINK("https://klasma.github.io/Logging_1737/klagomål/A 50712-2025 FSC-klagomål.docx", "A 50712-2025")</f>
        <v/>
      </c>
      <c r="W116">
        <f>HYPERLINK("https://klasma.github.io/Logging_1737/klagomålsmail/A 50712-2025 FSC-klagomål mail.docx", "A 50712-2025")</f>
        <v/>
      </c>
      <c r="X116">
        <f>HYPERLINK("https://klasma.github.io/Logging_1737/tillsyn/A 50712-2025 tillsynsbegäran.docx", "A 50712-2025")</f>
        <v/>
      </c>
      <c r="Y116">
        <f>HYPERLINK("https://klasma.github.io/Logging_1737/tillsynsmail/A 50712-2025 tillsynsbegäran mail.docx", "A 50712-2025")</f>
        <v/>
      </c>
    </row>
    <row r="117" ht="15" customHeight="1">
      <c r="A117" t="inlineStr">
        <is>
          <t>A 58470-2021</t>
        </is>
      </c>
      <c r="B117" s="1" t="n">
        <v>44488</v>
      </c>
      <c r="C117" s="1" t="n">
        <v>45976</v>
      </c>
      <c r="D117" t="inlineStr">
        <is>
          <t>VÄRMLANDS LÄN</t>
        </is>
      </c>
      <c r="E117" t="inlineStr">
        <is>
          <t>TORSBY</t>
        </is>
      </c>
      <c r="G117" t="n">
        <v>8.699999999999999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58470-2021 artfynd.xlsx", "A 58470-2021")</f>
        <v/>
      </c>
      <c r="T117">
        <f>HYPERLINK("https://klasma.github.io/Logging_1737/kartor/A 58470-2021 karta.png", "A 58470-2021")</f>
        <v/>
      </c>
      <c r="V117">
        <f>HYPERLINK("https://klasma.github.io/Logging_1737/klagomål/A 58470-2021 FSC-klagomål.docx", "A 58470-2021")</f>
        <v/>
      </c>
      <c r="W117">
        <f>HYPERLINK("https://klasma.github.io/Logging_1737/klagomålsmail/A 58470-2021 FSC-klagomål mail.docx", "A 58470-2021")</f>
        <v/>
      </c>
      <c r="X117">
        <f>HYPERLINK("https://klasma.github.io/Logging_1737/tillsyn/A 58470-2021 tillsynsbegäran.docx", "A 58470-2021")</f>
        <v/>
      </c>
      <c r="Y117">
        <f>HYPERLINK("https://klasma.github.io/Logging_1737/tillsynsmail/A 58470-2021 tillsynsbegäran mail.docx", "A 58470-2021")</f>
        <v/>
      </c>
    </row>
    <row r="118" ht="15" customHeight="1">
      <c r="A118" t="inlineStr">
        <is>
          <t>A 41477-2024</t>
        </is>
      </c>
      <c r="B118" s="1" t="n">
        <v>45560</v>
      </c>
      <c r="C118" s="1" t="n">
        <v>45976</v>
      </c>
      <c r="D118" t="inlineStr">
        <is>
          <t>VÄRMLANDS LÄN</t>
        </is>
      </c>
      <c r="E118" t="inlineStr">
        <is>
          <t>TORSBY</t>
        </is>
      </c>
      <c r="G118" t="n">
        <v>6.7</v>
      </c>
      <c r="H118" t="n">
        <v>0</v>
      </c>
      <c r="I118" t="n">
        <v>0</v>
      </c>
      <c r="J118" t="n">
        <v>1</v>
      </c>
      <c r="K118" t="n">
        <v>0</v>
      </c>
      <c r="L118" t="n">
        <v>0</v>
      </c>
      <c r="M118" t="n">
        <v>0</v>
      </c>
      <c r="N118" t="n">
        <v>0</v>
      </c>
      <c r="O118" t="n">
        <v>1</v>
      </c>
      <c r="P118" t="n">
        <v>0</v>
      </c>
      <c r="Q118" t="n">
        <v>1</v>
      </c>
      <c r="R118" s="2" t="inlineStr">
        <is>
          <t>Garnlav</t>
        </is>
      </c>
      <c r="S118">
        <f>HYPERLINK("https://klasma.github.io/Logging_1737/artfynd/A 41477-2024 artfynd.xlsx", "A 41477-2024")</f>
        <v/>
      </c>
      <c r="T118">
        <f>HYPERLINK("https://klasma.github.io/Logging_1737/kartor/A 41477-2024 karta.png", "A 41477-2024")</f>
        <v/>
      </c>
      <c r="V118">
        <f>HYPERLINK("https://klasma.github.io/Logging_1737/klagomål/A 41477-2024 FSC-klagomål.docx", "A 41477-2024")</f>
        <v/>
      </c>
      <c r="W118">
        <f>HYPERLINK("https://klasma.github.io/Logging_1737/klagomålsmail/A 41477-2024 FSC-klagomål mail.docx", "A 41477-2024")</f>
        <v/>
      </c>
      <c r="X118">
        <f>HYPERLINK("https://klasma.github.io/Logging_1737/tillsyn/A 41477-2024 tillsynsbegäran.docx", "A 41477-2024")</f>
        <v/>
      </c>
      <c r="Y118">
        <f>HYPERLINK("https://klasma.github.io/Logging_1737/tillsynsmail/A 41477-2024 tillsynsbegäran mail.docx", "A 41477-2024")</f>
        <v/>
      </c>
    </row>
    <row r="119" ht="15" customHeight="1">
      <c r="A119" t="inlineStr">
        <is>
          <t>A 16164-2025</t>
        </is>
      </c>
      <c r="B119" s="1" t="n">
        <v>45750</v>
      </c>
      <c r="C119" s="1" t="n">
        <v>45976</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45976</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13359-2023</t>
        </is>
      </c>
      <c r="B121" s="1" t="n">
        <v>45005.46405092593</v>
      </c>
      <c r="C121" s="1" t="n">
        <v>45976</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45976</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46099-2023</t>
        </is>
      </c>
      <c r="B123" s="1" t="n">
        <v>45196</v>
      </c>
      <c r="C123" s="1" t="n">
        <v>45976</v>
      </c>
      <c r="D123" t="inlineStr">
        <is>
          <t>VÄRMLANDS LÄN</t>
        </is>
      </c>
      <c r="E123" t="inlineStr">
        <is>
          <t>TORSBY</t>
        </is>
      </c>
      <c r="G123" t="n">
        <v>8.4</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46099-2023 artfynd.xlsx", "A 46099-2023")</f>
        <v/>
      </c>
      <c r="T123">
        <f>HYPERLINK("https://klasma.github.io/Logging_1737/kartor/A 46099-2023 karta.png", "A 46099-2023")</f>
        <v/>
      </c>
      <c r="V123">
        <f>HYPERLINK("https://klasma.github.io/Logging_1737/klagomål/A 46099-2023 FSC-klagomål.docx", "A 46099-2023")</f>
        <v/>
      </c>
      <c r="W123">
        <f>HYPERLINK("https://klasma.github.io/Logging_1737/klagomålsmail/A 46099-2023 FSC-klagomål mail.docx", "A 46099-2023")</f>
        <v/>
      </c>
      <c r="X123">
        <f>HYPERLINK("https://klasma.github.io/Logging_1737/tillsyn/A 46099-2023 tillsynsbegäran.docx", "A 46099-2023")</f>
        <v/>
      </c>
      <c r="Y123">
        <f>HYPERLINK("https://klasma.github.io/Logging_1737/tillsynsmail/A 46099-2023 tillsynsbegäran mail.docx", "A 46099-2023")</f>
        <v/>
      </c>
    </row>
    <row r="124" ht="15" customHeight="1">
      <c r="A124" t="inlineStr">
        <is>
          <t>A 54029-2024</t>
        </is>
      </c>
      <c r="B124" s="1" t="n">
        <v>45616</v>
      </c>
      <c r="C124" s="1" t="n">
        <v>45976</v>
      </c>
      <c r="D124" t="inlineStr">
        <is>
          <t>VÄRMLANDS LÄN</t>
        </is>
      </c>
      <c r="E124" t="inlineStr">
        <is>
          <t>TORSBY</t>
        </is>
      </c>
      <c r="G124" t="n">
        <v>10.2</v>
      </c>
      <c r="H124" t="n">
        <v>0</v>
      </c>
      <c r="I124" t="n">
        <v>1</v>
      </c>
      <c r="J124" t="n">
        <v>0</v>
      </c>
      <c r="K124" t="n">
        <v>0</v>
      </c>
      <c r="L124" t="n">
        <v>0</v>
      </c>
      <c r="M124" t="n">
        <v>0</v>
      </c>
      <c r="N124" t="n">
        <v>0</v>
      </c>
      <c r="O124" t="n">
        <v>0</v>
      </c>
      <c r="P124" t="n">
        <v>0</v>
      </c>
      <c r="Q124" t="n">
        <v>1</v>
      </c>
      <c r="R124" s="2" t="inlineStr">
        <is>
          <t>Vedticka</t>
        </is>
      </c>
      <c r="S124">
        <f>HYPERLINK("https://klasma.github.io/Logging_1737/artfynd/A 54029-2024 artfynd.xlsx", "A 54029-2024")</f>
        <v/>
      </c>
      <c r="T124">
        <f>HYPERLINK("https://klasma.github.io/Logging_1737/kartor/A 54029-2024 karta.png", "A 54029-2024")</f>
        <v/>
      </c>
      <c r="V124">
        <f>HYPERLINK("https://klasma.github.io/Logging_1737/klagomål/A 54029-2024 FSC-klagomål.docx", "A 54029-2024")</f>
        <v/>
      </c>
      <c r="W124">
        <f>HYPERLINK("https://klasma.github.io/Logging_1737/klagomålsmail/A 54029-2024 FSC-klagomål mail.docx", "A 54029-2024")</f>
        <v/>
      </c>
      <c r="X124">
        <f>HYPERLINK("https://klasma.github.io/Logging_1737/tillsyn/A 54029-2024 tillsynsbegäran.docx", "A 54029-2024")</f>
        <v/>
      </c>
      <c r="Y124">
        <f>HYPERLINK("https://klasma.github.io/Logging_1737/tillsynsmail/A 54029-2024 tillsynsbegäran mail.docx", "A 54029-2024")</f>
        <v/>
      </c>
    </row>
    <row r="125" ht="15" customHeight="1">
      <c r="A125" t="inlineStr">
        <is>
          <t>A 52418-2025</t>
        </is>
      </c>
      <c r="B125" s="1" t="n">
        <v>45954.36844907407</v>
      </c>
      <c r="C125" s="1" t="n">
        <v>45976</v>
      </c>
      <c r="D125" t="inlineStr">
        <is>
          <t>VÄRMLANDS LÄN</t>
        </is>
      </c>
      <c r="E125" t="inlineStr">
        <is>
          <t>TORSBY</t>
        </is>
      </c>
      <c r="G125" t="n">
        <v>4.1</v>
      </c>
      <c r="H125" t="n">
        <v>1</v>
      </c>
      <c r="I125" t="n">
        <v>0</v>
      </c>
      <c r="J125" t="n">
        <v>1</v>
      </c>
      <c r="K125" t="n">
        <v>0</v>
      </c>
      <c r="L125" t="n">
        <v>0</v>
      </c>
      <c r="M125" t="n">
        <v>0</v>
      </c>
      <c r="N125" t="n">
        <v>0</v>
      </c>
      <c r="O125" t="n">
        <v>1</v>
      </c>
      <c r="P125" t="n">
        <v>0</v>
      </c>
      <c r="Q125" t="n">
        <v>1</v>
      </c>
      <c r="R125" s="2" t="inlineStr">
        <is>
          <t>Mindre hackspett</t>
        </is>
      </c>
      <c r="S125">
        <f>HYPERLINK("https://klasma.github.io/Logging_1737/artfynd/A 52418-2025 artfynd.xlsx", "A 52418-2025")</f>
        <v/>
      </c>
      <c r="T125">
        <f>HYPERLINK("https://klasma.github.io/Logging_1737/kartor/A 52418-2025 karta.png", "A 52418-2025")</f>
        <v/>
      </c>
      <c r="V125">
        <f>HYPERLINK("https://klasma.github.io/Logging_1737/klagomål/A 52418-2025 FSC-klagomål.docx", "A 52418-2025")</f>
        <v/>
      </c>
      <c r="W125">
        <f>HYPERLINK("https://klasma.github.io/Logging_1737/klagomålsmail/A 52418-2025 FSC-klagomål mail.docx", "A 52418-2025")</f>
        <v/>
      </c>
      <c r="X125">
        <f>HYPERLINK("https://klasma.github.io/Logging_1737/tillsyn/A 52418-2025 tillsynsbegäran.docx", "A 52418-2025")</f>
        <v/>
      </c>
      <c r="Y125">
        <f>HYPERLINK("https://klasma.github.io/Logging_1737/tillsynsmail/A 52418-2025 tillsynsbegäran mail.docx", "A 52418-2025")</f>
        <v/>
      </c>
      <c r="Z125">
        <f>HYPERLINK("https://klasma.github.io/Logging_1737/fåglar/A 52418-2025 prioriterade fågelarter.docx", "A 52418-2025")</f>
        <v/>
      </c>
    </row>
    <row r="126" ht="15" customHeight="1">
      <c r="A126" t="inlineStr">
        <is>
          <t>A 53388-2025</t>
        </is>
      </c>
      <c r="B126" s="1" t="n">
        <v>45959.54763888889</v>
      </c>
      <c r="C126" s="1" t="n">
        <v>45976</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1811-2024</t>
        </is>
      </c>
      <c r="B127" s="1" t="n">
        <v>45307</v>
      </c>
      <c r="C127" s="1" t="n">
        <v>45976</v>
      </c>
      <c r="D127" t="inlineStr">
        <is>
          <t>VÄRMLANDS LÄN</t>
        </is>
      </c>
      <c r="E127" t="inlineStr">
        <is>
          <t>TORSBY</t>
        </is>
      </c>
      <c r="G127" t="n">
        <v>12.1</v>
      </c>
      <c r="H127" t="n">
        <v>1</v>
      </c>
      <c r="I127" t="n">
        <v>0</v>
      </c>
      <c r="J127" t="n">
        <v>0</v>
      </c>
      <c r="K127" t="n">
        <v>0</v>
      </c>
      <c r="L127" t="n">
        <v>0</v>
      </c>
      <c r="M127" t="n">
        <v>0</v>
      </c>
      <c r="N127" t="n">
        <v>0</v>
      </c>
      <c r="O127" t="n">
        <v>0</v>
      </c>
      <c r="P127" t="n">
        <v>0</v>
      </c>
      <c r="Q127" t="n">
        <v>1</v>
      </c>
      <c r="R127" s="2" t="inlineStr">
        <is>
          <t>Revlummer</t>
        </is>
      </c>
      <c r="S127">
        <f>HYPERLINK("https://klasma.github.io/Logging_1737/artfynd/A 1811-2024 artfynd.xlsx", "A 1811-2024")</f>
        <v/>
      </c>
      <c r="T127">
        <f>HYPERLINK("https://klasma.github.io/Logging_1737/kartor/A 1811-2024 karta.png", "A 1811-2024")</f>
        <v/>
      </c>
      <c r="V127">
        <f>HYPERLINK("https://klasma.github.io/Logging_1737/klagomål/A 1811-2024 FSC-klagomål.docx", "A 1811-2024")</f>
        <v/>
      </c>
      <c r="W127">
        <f>HYPERLINK("https://klasma.github.io/Logging_1737/klagomålsmail/A 1811-2024 FSC-klagomål mail.docx", "A 1811-2024")</f>
        <v/>
      </c>
      <c r="X127">
        <f>HYPERLINK("https://klasma.github.io/Logging_1737/tillsyn/A 1811-2024 tillsynsbegäran.docx", "A 1811-2024")</f>
        <v/>
      </c>
      <c r="Y127">
        <f>HYPERLINK("https://klasma.github.io/Logging_1737/tillsynsmail/A 1811-2024 tillsynsbegäran mail.docx", "A 1811-2024")</f>
        <v/>
      </c>
    </row>
    <row r="128" ht="15" customHeight="1">
      <c r="A128" t="inlineStr">
        <is>
          <t>A 16572-2022</t>
        </is>
      </c>
      <c r="B128" s="1" t="n">
        <v>44672</v>
      </c>
      <c r="C128" s="1" t="n">
        <v>45976</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56133-2024</t>
        </is>
      </c>
      <c r="B129" s="1" t="n">
        <v>45624</v>
      </c>
      <c r="C129" s="1" t="n">
        <v>45976</v>
      </c>
      <c r="D129" t="inlineStr">
        <is>
          <t>VÄRMLANDS LÄN</t>
        </is>
      </c>
      <c r="E129" t="inlineStr">
        <is>
          <t>TORSBY</t>
        </is>
      </c>
      <c r="G129" t="n">
        <v>2.4</v>
      </c>
      <c r="H129" t="n">
        <v>0</v>
      </c>
      <c r="I129" t="n">
        <v>1</v>
      </c>
      <c r="J129" t="n">
        <v>0</v>
      </c>
      <c r="K129" t="n">
        <v>0</v>
      </c>
      <c r="L129" t="n">
        <v>0</v>
      </c>
      <c r="M129" t="n">
        <v>0</v>
      </c>
      <c r="N129" t="n">
        <v>0</v>
      </c>
      <c r="O129" t="n">
        <v>0</v>
      </c>
      <c r="P129" t="n">
        <v>0</v>
      </c>
      <c r="Q129" t="n">
        <v>1</v>
      </c>
      <c r="R129" s="2" t="inlineStr">
        <is>
          <t>Vedticka</t>
        </is>
      </c>
      <c r="S129">
        <f>HYPERLINK("https://klasma.github.io/Logging_1737/artfynd/A 56133-2024 artfynd.xlsx", "A 56133-2024")</f>
        <v/>
      </c>
      <c r="T129">
        <f>HYPERLINK("https://klasma.github.io/Logging_1737/kartor/A 56133-2024 karta.png", "A 56133-2024")</f>
        <v/>
      </c>
      <c r="V129">
        <f>HYPERLINK("https://klasma.github.io/Logging_1737/klagomål/A 56133-2024 FSC-klagomål.docx", "A 56133-2024")</f>
        <v/>
      </c>
      <c r="W129">
        <f>HYPERLINK("https://klasma.github.io/Logging_1737/klagomålsmail/A 56133-2024 FSC-klagomål mail.docx", "A 56133-2024")</f>
        <v/>
      </c>
      <c r="X129">
        <f>HYPERLINK("https://klasma.github.io/Logging_1737/tillsyn/A 56133-2024 tillsynsbegäran.docx", "A 56133-2024")</f>
        <v/>
      </c>
      <c r="Y129">
        <f>HYPERLINK("https://klasma.github.io/Logging_1737/tillsynsmail/A 56133-2024 tillsynsbegäran mail.docx", "A 56133-2024")</f>
        <v/>
      </c>
    </row>
    <row r="130" ht="15" customHeight="1">
      <c r="A130" t="inlineStr">
        <is>
          <t>A 54009-2024</t>
        </is>
      </c>
      <c r="B130" s="1" t="n">
        <v>45616</v>
      </c>
      <c r="C130" s="1" t="n">
        <v>45976</v>
      </c>
      <c r="D130" t="inlineStr">
        <is>
          <t>VÄRMLANDS LÄN</t>
        </is>
      </c>
      <c r="E130" t="inlineStr">
        <is>
          <t>TORSBY</t>
        </is>
      </c>
      <c r="F130" t="inlineStr">
        <is>
          <t>Bergvik skog väst AB</t>
        </is>
      </c>
      <c r="G130" t="n">
        <v>8.800000000000001</v>
      </c>
      <c r="H130" t="n">
        <v>1</v>
      </c>
      <c r="I130" t="n">
        <v>1</v>
      </c>
      <c r="J130" t="n">
        <v>0</v>
      </c>
      <c r="K130" t="n">
        <v>0</v>
      </c>
      <c r="L130" t="n">
        <v>0</v>
      </c>
      <c r="M130" t="n">
        <v>0</v>
      </c>
      <c r="N130" t="n">
        <v>0</v>
      </c>
      <c r="O130" t="n">
        <v>0</v>
      </c>
      <c r="P130" t="n">
        <v>0</v>
      </c>
      <c r="Q130" t="n">
        <v>1</v>
      </c>
      <c r="R130" s="2" t="inlineStr">
        <is>
          <t>Korallrot</t>
        </is>
      </c>
      <c r="S130">
        <f>HYPERLINK("https://klasma.github.io/Logging_1737/artfynd/A 54009-2024 artfynd.xlsx", "A 54009-2024")</f>
        <v/>
      </c>
      <c r="T130">
        <f>HYPERLINK("https://klasma.github.io/Logging_1737/kartor/A 54009-2024 karta.png", "A 54009-2024")</f>
        <v/>
      </c>
      <c r="V130">
        <f>HYPERLINK("https://klasma.github.io/Logging_1737/klagomål/A 54009-2024 FSC-klagomål.docx", "A 54009-2024")</f>
        <v/>
      </c>
      <c r="W130">
        <f>HYPERLINK("https://klasma.github.io/Logging_1737/klagomålsmail/A 54009-2024 FSC-klagomål mail.docx", "A 54009-2024")</f>
        <v/>
      </c>
      <c r="X130">
        <f>HYPERLINK("https://klasma.github.io/Logging_1737/tillsyn/A 54009-2024 tillsynsbegäran.docx", "A 54009-2024")</f>
        <v/>
      </c>
      <c r="Y130">
        <f>HYPERLINK("https://klasma.github.io/Logging_1737/tillsynsmail/A 54009-2024 tillsynsbegäran mail.docx", "A 54009-2024")</f>
        <v/>
      </c>
    </row>
    <row r="131" ht="15" customHeight="1">
      <c r="A131" t="inlineStr">
        <is>
          <t>A 50318-2024</t>
        </is>
      </c>
      <c r="B131" s="1" t="n">
        <v>45600</v>
      </c>
      <c r="C131" s="1" t="n">
        <v>45976</v>
      </c>
      <c r="D131" t="inlineStr">
        <is>
          <t>VÄRMLANDS LÄN</t>
        </is>
      </c>
      <c r="E131" t="inlineStr">
        <is>
          <t>TORSBY</t>
        </is>
      </c>
      <c r="F131" t="inlineStr">
        <is>
          <t>Bergvik skog väst AB</t>
        </is>
      </c>
      <c r="G131" t="n">
        <v>3.5</v>
      </c>
      <c r="H131" t="n">
        <v>0</v>
      </c>
      <c r="I131" t="n">
        <v>1</v>
      </c>
      <c r="J131" t="n">
        <v>0</v>
      </c>
      <c r="K131" t="n">
        <v>0</v>
      </c>
      <c r="L131" t="n">
        <v>0</v>
      </c>
      <c r="M131" t="n">
        <v>0</v>
      </c>
      <c r="N131" t="n">
        <v>0</v>
      </c>
      <c r="O131" t="n">
        <v>0</v>
      </c>
      <c r="P131" t="n">
        <v>0</v>
      </c>
      <c r="Q131" t="n">
        <v>1</v>
      </c>
      <c r="R131" s="2" t="inlineStr">
        <is>
          <t>Vedticka</t>
        </is>
      </c>
      <c r="S131">
        <f>HYPERLINK("https://klasma.github.io/Logging_1737/artfynd/A 50318-2024 artfynd.xlsx", "A 50318-2024")</f>
        <v/>
      </c>
      <c r="T131">
        <f>HYPERLINK("https://klasma.github.io/Logging_1737/kartor/A 50318-2024 karta.png", "A 50318-2024")</f>
        <v/>
      </c>
      <c r="V131">
        <f>HYPERLINK("https://klasma.github.io/Logging_1737/klagomål/A 50318-2024 FSC-klagomål.docx", "A 50318-2024")</f>
        <v/>
      </c>
      <c r="W131">
        <f>HYPERLINK("https://klasma.github.io/Logging_1737/klagomålsmail/A 50318-2024 FSC-klagomål mail.docx", "A 50318-2024")</f>
        <v/>
      </c>
      <c r="X131">
        <f>HYPERLINK("https://klasma.github.io/Logging_1737/tillsyn/A 50318-2024 tillsynsbegäran.docx", "A 50318-2024")</f>
        <v/>
      </c>
      <c r="Y131">
        <f>HYPERLINK("https://klasma.github.io/Logging_1737/tillsynsmail/A 50318-2024 tillsynsbegäran mail.docx", "A 50318-2024")</f>
        <v/>
      </c>
    </row>
    <row r="132" ht="15" customHeight="1">
      <c r="A132" t="inlineStr">
        <is>
          <t>A 25217-2025</t>
        </is>
      </c>
      <c r="B132" s="1" t="n">
        <v>45800.4756712963</v>
      </c>
      <c r="C132" s="1" t="n">
        <v>45976</v>
      </c>
      <c r="D132" t="inlineStr">
        <is>
          <t>VÄRMLANDS LÄN</t>
        </is>
      </c>
      <c r="E132" t="inlineStr">
        <is>
          <t>TORSBY</t>
        </is>
      </c>
      <c r="G132" t="n">
        <v>10.9</v>
      </c>
      <c r="H132" t="n">
        <v>0</v>
      </c>
      <c r="I132" t="n">
        <v>0</v>
      </c>
      <c r="J132" t="n">
        <v>1</v>
      </c>
      <c r="K132" t="n">
        <v>0</v>
      </c>
      <c r="L132" t="n">
        <v>0</v>
      </c>
      <c r="M132" t="n">
        <v>0</v>
      </c>
      <c r="N132" t="n">
        <v>0</v>
      </c>
      <c r="O132" t="n">
        <v>1</v>
      </c>
      <c r="P132" t="n">
        <v>0</v>
      </c>
      <c r="Q132" t="n">
        <v>1</v>
      </c>
      <c r="R132" s="2" t="inlineStr">
        <is>
          <t>Dvärgbägarlav</t>
        </is>
      </c>
      <c r="S132">
        <f>HYPERLINK("https://klasma.github.io/Logging_1737/artfynd/A 25217-2025 artfynd.xlsx", "A 25217-2025")</f>
        <v/>
      </c>
      <c r="T132">
        <f>HYPERLINK("https://klasma.github.io/Logging_1737/kartor/A 25217-2025 karta.png", "A 25217-2025")</f>
        <v/>
      </c>
      <c r="V132">
        <f>HYPERLINK("https://klasma.github.io/Logging_1737/klagomål/A 25217-2025 FSC-klagomål.docx", "A 25217-2025")</f>
        <v/>
      </c>
      <c r="W132">
        <f>HYPERLINK("https://klasma.github.io/Logging_1737/klagomålsmail/A 25217-2025 FSC-klagomål mail.docx", "A 25217-2025")</f>
        <v/>
      </c>
      <c r="X132">
        <f>HYPERLINK("https://klasma.github.io/Logging_1737/tillsyn/A 25217-2025 tillsynsbegäran.docx", "A 25217-2025")</f>
        <v/>
      </c>
      <c r="Y132">
        <f>HYPERLINK("https://klasma.github.io/Logging_1737/tillsynsmail/A 25217-2025 tillsynsbegäran mail.docx", "A 25217-2025")</f>
        <v/>
      </c>
    </row>
    <row r="133" ht="15" customHeight="1">
      <c r="A133" t="inlineStr">
        <is>
          <t>A 25802-2025</t>
        </is>
      </c>
      <c r="B133" s="1" t="n">
        <v>45804.40766203704</v>
      </c>
      <c r="C133" s="1" t="n">
        <v>45976</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Tallticka</t>
        </is>
      </c>
      <c r="S133">
        <f>HYPERLINK("https://klasma.github.io/Logging_1737/artfynd/A 25802-2025 artfynd.xlsx", "A 25802-2025")</f>
        <v/>
      </c>
      <c r="T133">
        <f>HYPERLINK("https://klasma.github.io/Logging_1737/kartor/A 25802-2025 karta.png", "A 25802-2025")</f>
        <v/>
      </c>
      <c r="V133">
        <f>HYPERLINK("https://klasma.github.io/Logging_1737/klagomål/A 25802-2025 FSC-klagomål.docx", "A 25802-2025")</f>
        <v/>
      </c>
      <c r="W133">
        <f>HYPERLINK("https://klasma.github.io/Logging_1737/klagomålsmail/A 25802-2025 FSC-klagomål mail.docx", "A 25802-2025")</f>
        <v/>
      </c>
      <c r="X133">
        <f>HYPERLINK("https://klasma.github.io/Logging_1737/tillsyn/A 25802-2025 tillsynsbegäran.docx", "A 25802-2025")</f>
        <v/>
      </c>
      <c r="Y133">
        <f>HYPERLINK("https://klasma.github.io/Logging_1737/tillsynsmail/A 25802-2025 tillsynsbegäran mail.docx", "A 25802-2025")</f>
        <v/>
      </c>
    </row>
    <row r="134" ht="15" customHeight="1">
      <c r="A134" t="inlineStr">
        <is>
          <t>A 40934-2024</t>
        </is>
      </c>
      <c r="B134" s="1" t="n">
        <v>45558</v>
      </c>
      <c r="C134" s="1" t="n">
        <v>45976</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Lunglav</t>
        </is>
      </c>
      <c r="S134">
        <f>HYPERLINK("https://klasma.github.io/Logging_1737/artfynd/A 40934-2024 artfynd.xlsx", "A 40934-2024")</f>
        <v/>
      </c>
      <c r="T134">
        <f>HYPERLINK("https://klasma.github.io/Logging_1737/kartor/A 40934-2024 karta.png", "A 40934-2024")</f>
        <v/>
      </c>
      <c r="V134">
        <f>HYPERLINK("https://klasma.github.io/Logging_1737/klagomål/A 40934-2024 FSC-klagomål.docx", "A 40934-2024")</f>
        <v/>
      </c>
      <c r="W134">
        <f>HYPERLINK("https://klasma.github.io/Logging_1737/klagomålsmail/A 40934-2024 FSC-klagomål mail.docx", "A 40934-2024")</f>
        <v/>
      </c>
      <c r="X134">
        <f>HYPERLINK("https://klasma.github.io/Logging_1737/tillsyn/A 40934-2024 tillsynsbegäran.docx", "A 40934-2024")</f>
        <v/>
      </c>
      <c r="Y134">
        <f>HYPERLINK("https://klasma.github.io/Logging_1737/tillsynsmail/A 40934-2024 tillsynsbegäran mail.docx", "A 40934-2024")</f>
        <v/>
      </c>
    </row>
    <row r="135" ht="15" customHeight="1">
      <c r="A135" t="inlineStr">
        <is>
          <t>A 51288-2022</t>
        </is>
      </c>
      <c r="B135" s="1" t="n">
        <v>44868</v>
      </c>
      <c r="C135" s="1" t="n">
        <v>45976</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27108-2025</t>
        </is>
      </c>
      <c r="B136" s="1" t="n">
        <v>45811.72777777778</v>
      </c>
      <c r="C136" s="1" t="n">
        <v>45976</v>
      </c>
      <c r="D136" t="inlineStr">
        <is>
          <t>VÄRMLANDS LÄN</t>
        </is>
      </c>
      <c r="E136" t="inlineStr">
        <is>
          <t>TORSBY</t>
        </is>
      </c>
      <c r="G136" t="n">
        <v>1.5</v>
      </c>
      <c r="H136" t="n">
        <v>0</v>
      </c>
      <c r="I136" t="n">
        <v>0</v>
      </c>
      <c r="J136" t="n">
        <v>1</v>
      </c>
      <c r="K136" t="n">
        <v>0</v>
      </c>
      <c r="L136" t="n">
        <v>0</v>
      </c>
      <c r="M136" t="n">
        <v>0</v>
      </c>
      <c r="N136" t="n">
        <v>0</v>
      </c>
      <c r="O136" t="n">
        <v>1</v>
      </c>
      <c r="P136" t="n">
        <v>0</v>
      </c>
      <c r="Q136" t="n">
        <v>1</v>
      </c>
      <c r="R136" s="2" t="inlineStr">
        <is>
          <t>Garnlav</t>
        </is>
      </c>
      <c r="S136">
        <f>HYPERLINK("https://klasma.github.io/Logging_1737/artfynd/A 27108-2025 artfynd.xlsx", "A 27108-2025")</f>
        <v/>
      </c>
      <c r="T136">
        <f>HYPERLINK("https://klasma.github.io/Logging_1737/kartor/A 27108-2025 karta.png", "A 27108-2025")</f>
        <v/>
      </c>
      <c r="V136">
        <f>HYPERLINK("https://klasma.github.io/Logging_1737/klagomål/A 27108-2025 FSC-klagomål.docx", "A 27108-2025")</f>
        <v/>
      </c>
      <c r="W136">
        <f>HYPERLINK("https://klasma.github.io/Logging_1737/klagomålsmail/A 27108-2025 FSC-klagomål mail.docx", "A 27108-2025")</f>
        <v/>
      </c>
      <c r="X136">
        <f>HYPERLINK("https://klasma.github.io/Logging_1737/tillsyn/A 27108-2025 tillsynsbegäran.docx", "A 27108-2025")</f>
        <v/>
      </c>
      <c r="Y136">
        <f>HYPERLINK("https://klasma.github.io/Logging_1737/tillsynsmail/A 27108-2025 tillsynsbegäran mail.docx", "A 27108-2025")</f>
        <v/>
      </c>
    </row>
    <row r="137" ht="15" customHeight="1">
      <c r="A137" t="inlineStr">
        <is>
          <t>A 24042-2021</t>
        </is>
      </c>
      <c r="B137" s="1" t="n">
        <v>44336</v>
      </c>
      <c r="C137" s="1" t="n">
        <v>45976</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27301-2025</t>
        </is>
      </c>
      <c r="B138" s="1" t="n">
        <v>45812.57186342592</v>
      </c>
      <c r="C138" s="1" t="n">
        <v>45976</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56186-2025</t>
        </is>
      </c>
      <c r="B139" s="1" t="n">
        <v>45974.42410879629</v>
      </c>
      <c r="C139" s="1" t="n">
        <v>45976</v>
      </c>
      <c r="D139" t="inlineStr">
        <is>
          <t>VÄRMLANDS LÄN</t>
        </is>
      </c>
      <c r="E139" t="inlineStr">
        <is>
          <t>TORSBY</t>
        </is>
      </c>
      <c r="G139" t="n">
        <v>4.3</v>
      </c>
      <c r="H139" t="n">
        <v>0</v>
      </c>
      <c r="I139" t="n">
        <v>0</v>
      </c>
      <c r="J139" t="n">
        <v>0</v>
      </c>
      <c r="K139" t="n">
        <v>1</v>
      </c>
      <c r="L139" t="n">
        <v>0</v>
      </c>
      <c r="M139" t="n">
        <v>0</v>
      </c>
      <c r="N139" t="n">
        <v>0</v>
      </c>
      <c r="O139" t="n">
        <v>1</v>
      </c>
      <c r="P139" t="n">
        <v>1</v>
      </c>
      <c r="Q139" t="n">
        <v>1</v>
      </c>
      <c r="R139" s="2" t="inlineStr">
        <is>
          <t>Raggbock</t>
        </is>
      </c>
      <c r="S139">
        <f>HYPERLINK("https://klasma.github.io/Logging_1737/artfynd/A 56186-2025 artfynd.xlsx", "A 56186-2025")</f>
        <v/>
      </c>
      <c r="T139">
        <f>HYPERLINK("https://klasma.github.io/Logging_1737/kartor/A 56186-2025 karta.png", "A 56186-2025")</f>
        <v/>
      </c>
      <c r="V139">
        <f>HYPERLINK("https://klasma.github.io/Logging_1737/klagomål/A 56186-2025 FSC-klagomål.docx", "A 56186-2025")</f>
        <v/>
      </c>
      <c r="W139">
        <f>HYPERLINK("https://klasma.github.io/Logging_1737/klagomålsmail/A 56186-2025 FSC-klagomål mail.docx", "A 56186-2025")</f>
        <v/>
      </c>
      <c r="X139">
        <f>HYPERLINK("https://klasma.github.io/Logging_1737/tillsyn/A 56186-2025 tillsynsbegäran.docx", "A 56186-2025")</f>
        <v/>
      </c>
      <c r="Y139">
        <f>HYPERLINK("https://klasma.github.io/Logging_1737/tillsynsmail/A 56186-2025 tillsynsbegäran mail.docx", "A 56186-2025")</f>
        <v/>
      </c>
    </row>
    <row r="140" ht="15" customHeight="1">
      <c r="A140" t="inlineStr">
        <is>
          <t>A 29756-2025</t>
        </is>
      </c>
      <c r="B140" s="1" t="n">
        <v>45825.61525462963</v>
      </c>
      <c r="C140" s="1" t="n">
        <v>45976</v>
      </c>
      <c r="D140" t="inlineStr">
        <is>
          <t>VÄRMLANDS LÄN</t>
        </is>
      </c>
      <c r="E140" t="inlineStr">
        <is>
          <t>TORSBY</t>
        </is>
      </c>
      <c r="G140" t="n">
        <v>6.9</v>
      </c>
      <c r="H140" t="n">
        <v>0</v>
      </c>
      <c r="I140" t="n">
        <v>0</v>
      </c>
      <c r="J140" t="n">
        <v>1</v>
      </c>
      <c r="K140" t="n">
        <v>0</v>
      </c>
      <c r="L140" t="n">
        <v>0</v>
      </c>
      <c r="M140" t="n">
        <v>0</v>
      </c>
      <c r="N140" t="n">
        <v>0</v>
      </c>
      <c r="O140" t="n">
        <v>1</v>
      </c>
      <c r="P140" t="n">
        <v>0</v>
      </c>
      <c r="Q140" t="n">
        <v>1</v>
      </c>
      <c r="R140" s="2" t="inlineStr">
        <is>
          <t>Garnlav</t>
        </is>
      </c>
      <c r="S140">
        <f>HYPERLINK("https://klasma.github.io/Logging_1737/artfynd/A 29756-2025 artfynd.xlsx", "A 29756-2025")</f>
        <v/>
      </c>
      <c r="T140">
        <f>HYPERLINK("https://klasma.github.io/Logging_1737/kartor/A 29756-2025 karta.png", "A 29756-2025")</f>
        <v/>
      </c>
      <c r="V140">
        <f>HYPERLINK("https://klasma.github.io/Logging_1737/klagomål/A 29756-2025 FSC-klagomål.docx", "A 29756-2025")</f>
        <v/>
      </c>
      <c r="W140">
        <f>HYPERLINK("https://klasma.github.io/Logging_1737/klagomålsmail/A 29756-2025 FSC-klagomål mail.docx", "A 29756-2025")</f>
        <v/>
      </c>
      <c r="X140">
        <f>HYPERLINK("https://klasma.github.io/Logging_1737/tillsyn/A 29756-2025 tillsynsbegäran.docx", "A 29756-2025")</f>
        <v/>
      </c>
      <c r="Y140">
        <f>HYPERLINK("https://klasma.github.io/Logging_1737/tillsynsmail/A 29756-2025 tillsynsbegäran mail.docx", "A 29756-2025")</f>
        <v/>
      </c>
    </row>
    <row r="141" ht="15" customHeight="1">
      <c r="A141" t="inlineStr">
        <is>
          <t>A 8747-2021</t>
        </is>
      </c>
      <c r="B141" s="1" t="n">
        <v>44246</v>
      </c>
      <c r="C141" s="1" t="n">
        <v>45976</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44018-2025</t>
        </is>
      </c>
      <c r="B142" s="1" t="n">
        <v>45915</v>
      </c>
      <c r="C142" s="1" t="n">
        <v>45976</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32328-2025</t>
        </is>
      </c>
      <c r="B143" s="1" t="n">
        <v>45836.46289351852</v>
      </c>
      <c r="C143" s="1" t="n">
        <v>45976</v>
      </c>
      <c r="D143" t="inlineStr">
        <is>
          <t>VÄRMLANDS LÄN</t>
        </is>
      </c>
      <c r="E143" t="inlineStr">
        <is>
          <t>TORSBY</t>
        </is>
      </c>
      <c r="G143" t="n">
        <v>1.1</v>
      </c>
      <c r="H143" t="n">
        <v>0</v>
      </c>
      <c r="I143" t="n">
        <v>0</v>
      </c>
      <c r="J143" t="n">
        <v>1</v>
      </c>
      <c r="K143" t="n">
        <v>0</v>
      </c>
      <c r="L143" t="n">
        <v>0</v>
      </c>
      <c r="M143" t="n">
        <v>0</v>
      </c>
      <c r="N143" t="n">
        <v>0</v>
      </c>
      <c r="O143" t="n">
        <v>1</v>
      </c>
      <c r="P143" t="n">
        <v>0</v>
      </c>
      <c r="Q143" t="n">
        <v>1</v>
      </c>
      <c r="R143" s="2" t="inlineStr">
        <is>
          <t>Ullticka</t>
        </is>
      </c>
      <c r="S143">
        <f>HYPERLINK("https://klasma.github.io/Logging_1737/artfynd/A 32328-2025 artfynd.xlsx", "A 32328-2025")</f>
        <v/>
      </c>
      <c r="T143">
        <f>HYPERLINK("https://klasma.github.io/Logging_1737/kartor/A 32328-2025 karta.png", "A 32328-2025")</f>
        <v/>
      </c>
      <c r="V143">
        <f>HYPERLINK("https://klasma.github.io/Logging_1737/klagomål/A 32328-2025 FSC-klagomål.docx", "A 32328-2025")</f>
        <v/>
      </c>
      <c r="W143">
        <f>HYPERLINK("https://klasma.github.io/Logging_1737/klagomålsmail/A 32328-2025 FSC-klagomål mail.docx", "A 32328-2025")</f>
        <v/>
      </c>
      <c r="X143">
        <f>HYPERLINK("https://klasma.github.io/Logging_1737/tillsyn/A 32328-2025 tillsynsbegäran.docx", "A 32328-2025")</f>
        <v/>
      </c>
      <c r="Y143">
        <f>HYPERLINK("https://klasma.github.io/Logging_1737/tillsynsmail/A 32328-2025 tillsynsbegäran mail.docx", "A 32328-2025")</f>
        <v/>
      </c>
    </row>
    <row r="144" ht="15" customHeight="1">
      <c r="A144" t="inlineStr">
        <is>
          <t>A 25276-2025</t>
        </is>
      </c>
      <c r="B144" s="1" t="n">
        <v>45800</v>
      </c>
      <c r="C144" s="1" t="n">
        <v>45976</v>
      </c>
      <c r="D144" t="inlineStr">
        <is>
          <t>VÄRMLANDS LÄN</t>
        </is>
      </c>
      <c r="E144" t="inlineStr">
        <is>
          <t>TORSBY</t>
        </is>
      </c>
      <c r="G144" t="n">
        <v>27.6</v>
      </c>
      <c r="H144" t="n">
        <v>0</v>
      </c>
      <c r="I144" t="n">
        <v>0</v>
      </c>
      <c r="J144" t="n">
        <v>1</v>
      </c>
      <c r="K144" t="n">
        <v>0</v>
      </c>
      <c r="L144" t="n">
        <v>0</v>
      </c>
      <c r="M144" t="n">
        <v>0</v>
      </c>
      <c r="N144" t="n">
        <v>0</v>
      </c>
      <c r="O144" t="n">
        <v>1</v>
      </c>
      <c r="P144" t="n">
        <v>0</v>
      </c>
      <c r="Q144" t="n">
        <v>1</v>
      </c>
      <c r="R144" s="2" t="inlineStr">
        <is>
          <t>Lunglav</t>
        </is>
      </c>
      <c r="S144">
        <f>HYPERLINK("https://klasma.github.io/Logging_1737/artfynd/A 25276-2025 artfynd.xlsx", "A 25276-2025")</f>
        <v/>
      </c>
      <c r="T144">
        <f>HYPERLINK("https://klasma.github.io/Logging_1737/kartor/A 25276-2025 karta.png", "A 25276-2025")</f>
        <v/>
      </c>
      <c r="V144">
        <f>HYPERLINK("https://klasma.github.io/Logging_1737/klagomål/A 25276-2025 FSC-klagomål.docx", "A 25276-2025")</f>
        <v/>
      </c>
      <c r="W144">
        <f>HYPERLINK("https://klasma.github.io/Logging_1737/klagomålsmail/A 25276-2025 FSC-klagomål mail.docx", "A 25276-2025")</f>
        <v/>
      </c>
      <c r="X144">
        <f>HYPERLINK("https://klasma.github.io/Logging_1737/tillsyn/A 25276-2025 tillsynsbegäran.docx", "A 25276-2025")</f>
        <v/>
      </c>
      <c r="Y144">
        <f>HYPERLINK("https://klasma.github.io/Logging_1737/tillsynsmail/A 25276-2025 tillsynsbegäran mail.docx", "A 25276-2025")</f>
        <v/>
      </c>
    </row>
    <row r="145" ht="15" customHeight="1">
      <c r="A145" t="inlineStr">
        <is>
          <t>A 50236-2022</t>
        </is>
      </c>
      <c r="B145" s="1" t="n">
        <v>44865</v>
      </c>
      <c r="C145" s="1" t="n">
        <v>45976</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1526-2021</t>
        </is>
      </c>
      <c r="B146" s="1" t="n">
        <v>44209</v>
      </c>
      <c r="C146" s="1" t="n">
        <v>45976</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45976</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45976</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45976</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45976</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45976</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45976</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45976</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45976</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45976</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45976</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45976</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45976</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45976</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45976</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45976</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45976</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45976</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45976</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45976</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45976</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45976</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45976</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45976</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45976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45976</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45976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45976</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45976</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45976</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45976</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45976</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45976</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45976</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45976</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45976</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45976</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45976</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45976</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45976</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45976</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45976</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45976</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45976</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45976</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45976</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45976</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45976</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45976</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45976</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45976</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45976</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45976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45976</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45976</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45976</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45976</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45976</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45976</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45976</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45976</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45976</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45976</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45976</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45976</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45976</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45976</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45976</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45976</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45976</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45976</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45976</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45976</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45976</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45976</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45976</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2421-2022</t>
        </is>
      </c>
      <c r="B224" s="1" t="n">
        <v>44579.50670138889</v>
      </c>
      <c r="C224" s="1" t="n">
        <v>45976</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66080-2021</t>
        </is>
      </c>
      <c r="B225" s="1" t="n">
        <v>44517.66700231482</v>
      </c>
      <c r="C225" s="1" t="n">
        <v>45976</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28955-2022</t>
        </is>
      </c>
      <c r="B226" s="1" t="n">
        <v>44749.61657407408</v>
      </c>
      <c r="C226" s="1" t="n">
        <v>45976</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53906-2022</t>
        </is>
      </c>
      <c r="B227" s="1" t="n">
        <v>44880</v>
      </c>
      <c r="C227" s="1" t="n">
        <v>45976</v>
      </c>
      <c r="D227" t="inlineStr">
        <is>
          <t>VÄRMLANDS LÄN</t>
        </is>
      </c>
      <c r="E227" t="inlineStr">
        <is>
          <t>TORSBY</t>
        </is>
      </c>
      <c r="F227" t="inlineStr">
        <is>
          <t>Bergvik skog väst AB</t>
        </is>
      </c>
      <c r="G227" t="n">
        <v>5</v>
      </c>
      <c r="H227" t="n">
        <v>0</v>
      </c>
      <c r="I227" t="n">
        <v>0</v>
      </c>
      <c r="J227" t="n">
        <v>0</v>
      </c>
      <c r="K227" t="n">
        <v>0</v>
      </c>
      <c r="L227" t="n">
        <v>0</v>
      </c>
      <c r="M227" t="n">
        <v>0</v>
      </c>
      <c r="N227" t="n">
        <v>0</v>
      </c>
      <c r="O227" t="n">
        <v>0</v>
      </c>
      <c r="P227" t="n">
        <v>0</v>
      </c>
      <c r="Q227" t="n">
        <v>0</v>
      </c>
      <c r="R227" s="2" t="inlineStr"/>
    </row>
    <row r="228" ht="15" customHeight="1">
      <c r="A228" t="inlineStr">
        <is>
          <t>A 69275-2021</t>
        </is>
      </c>
      <c r="B228" s="1" t="n">
        <v>44526</v>
      </c>
      <c r="C228" s="1" t="n">
        <v>45976</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3369-2022</t>
        </is>
      </c>
      <c r="B229" s="1" t="n">
        <v>44585</v>
      </c>
      <c r="C229" s="1" t="n">
        <v>45976</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45976</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45976</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45976</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45976</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65678-2020</t>
        </is>
      </c>
      <c r="B234" s="1" t="n">
        <v>44172</v>
      </c>
      <c r="C234" s="1" t="n">
        <v>45976</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8034-2021</t>
        </is>
      </c>
      <c r="B235" s="1" t="n">
        <v>44243</v>
      </c>
      <c r="C235" s="1" t="n">
        <v>45976</v>
      </c>
      <c r="D235" t="inlineStr">
        <is>
          <t>VÄRMLANDS LÄN</t>
        </is>
      </c>
      <c r="E235" t="inlineStr">
        <is>
          <t>TORSBY</t>
        </is>
      </c>
      <c r="G235" t="n">
        <v>15.4</v>
      </c>
      <c r="H235" t="n">
        <v>0</v>
      </c>
      <c r="I235" t="n">
        <v>0</v>
      </c>
      <c r="J235" t="n">
        <v>0</v>
      </c>
      <c r="K235" t="n">
        <v>0</v>
      </c>
      <c r="L235" t="n">
        <v>0</v>
      </c>
      <c r="M235" t="n">
        <v>0</v>
      </c>
      <c r="N235" t="n">
        <v>0</v>
      </c>
      <c r="O235" t="n">
        <v>0</v>
      </c>
      <c r="P235" t="n">
        <v>0</v>
      </c>
      <c r="Q235" t="n">
        <v>0</v>
      </c>
      <c r="R235" s="2" t="inlineStr"/>
    </row>
    <row r="236" ht="15" customHeight="1">
      <c r="A236" t="inlineStr">
        <is>
          <t>A 28940-2021</t>
        </is>
      </c>
      <c r="B236" s="1" t="n">
        <v>44358</v>
      </c>
      <c r="C236" s="1" t="n">
        <v>45976</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31511-2021</t>
        </is>
      </c>
      <c r="B237" s="1" t="n">
        <v>44369.45956018518</v>
      </c>
      <c r="C237" s="1" t="n">
        <v>45976</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45976</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13857-2021</t>
        </is>
      </c>
      <c r="B239" s="1" t="n">
        <v>44277</v>
      </c>
      <c r="C239" s="1" t="n">
        <v>45976</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10118-2021</t>
        </is>
      </c>
      <c r="B240" s="1" t="n">
        <v>44256</v>
      </c>
      <c r="C240" s="1" t="n">
        <v>45976</v>
      </c>
      <c r="D240" t="inlineStr">
        <is>
          <t>VÄRMLANDS LÄN</t>
        </is>
      </c>
      <c r="E240" t="inlineStr">
        <is>
          <t>TORSBY</t>
        </is>
      </c>
      <c r="G240" t="n">
        <v>12.5</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45976</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18174-2021</t>
        </is>
      </c>
      <c r="B242" s="1" t="n">
        <v>44302.63314814815</v>
      </c>
      <c r="C242" s="1" t="n">
        <v>45976</v>
      </c>
      <c r="D242" t="inlineStr">
        <is>
          <t>VÄRMLANDS LÄN</t>
        </is>
      </c>
      <c r="E242" t="inlineStr">
        <is>
          <t>TORSBY</t>
        </is>
      </c>
      <c r="G242" t="n">
        <v>4.5</v>
      </c>
      <c r="H242" t="n">
        <v>0</v>
      </c>
      <c r="I242" t="n">
        <v>0</v>
      </c>
      <c r="J242" t="n">
        <v>0</v>
      </c>
      <c r="K242" t="n">
        <v>0</v>
      </c>
      <c r="L242" t="n">
        <v>0</v>
      </c>
      <c r="M242" t="n">
        <v>0</v>
      </c>
      <c r="N242" t="n">
        <v>0</v>
      </c>
      <c r="O242" t="n">
        <v>0</v>
      </c>
      <c r="P242" t="n">
        <v>0</v>
      </c>
      <c r="Q242" t="n">
        <v>0</v>
      </c>
      <c r="R242" s="2" t="inlineStr"/>
    </row>
    <row r="243" ht="15" customHeight="1">
      <c r="A243" t="inlineStr">
        <is>
          <t>A 44923-2021</t>
        </is>
      </c>
      <c r="B243" s="1" t="n">
        <v>44438.6662037037</v>
      </c>
      <c r="C243" s="1" t="n">
        <v>45976</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10778-2021</t>
        </is>
      </c>
      <c r="B244" s="1" t="n">
        <v>44259</v>
      </c>
      <c r="C244" s="1" t="n">
        <v>45976</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68238-2020</t>
        </is>
      </c>
      <c r="B245" s="1" t="n">
        <v>44183</v>
      </c>
      <c r="C245" s="1" t="n">
        <v>45976</v>
      </c>
      <c r="D245" t="inlineStr">
        <is>
          <t>VÄRMLANDS LÄN</t>
        </is>
      </c>
      <c r="E245" t="inlineStr">
        <is>
          <t>TORSBY</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45976</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45976</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23803-2022</t>
        </is>
      </c>
      <c r="B248" s="1" t="n">
        <v>44720</v>
      </c>
      <c r="C248" s="1" t="n">
        <v>45976</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33959-2022</t>
        </is>
      </c>
      <c r="B249" s="1" t="n">
        <v>44790.6815625</v>
      </c>
      <c r="C249" s="1" t="n">
        <v>45976</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11922-2022</t>
        </is>
      </c>
      <c r="B250" s="1" t="n">
        <v>44635</v>
      </c>
      <c r="C250" s="1" t="n">
        <v>45976</v>
      </c>
      <c r="D250" t="inlineStr">
        <is>
          <t>VÄRMLANDS LÄN</t>
        </is>
      </c>
      <c r="E250" t="inlineStr">
        <is>
          <t>TORSBY</t>
        </is>
      </c>
      <c r="G250" t="n">
        <v>2.6</v>
      </c>
      <c r="H250" t="n">
        <v>0</v>
      </c>
      <c r="I250" t="n">
        <v>0</v>
      </c>
      <c r="J250" t="n">
        <v>0</v>
      </c>
      <c r="K250" t="n">
        <v>0</v>
      </c>
      <c r="L250" t="n">
        <v>0</v>
      </c>
      <c r="M250" t="n">
        <v>0</v>
      </c>
      <c r="N250" t="n">
        <v>0</v>
      </c>
      <c r="O250" t="n">
        <v>0</v>
      </c>
      <c r="P250" t="n">
        <v>0</v>
      </c>
      <c r="Q250" t="n">
        <v>0</v>
      </c>
      <c r="R250" s="2" t="inlineStr"/>
    </row>
    <row r="251" ht="15" customHeight="1">
      <c r="A251" t="inlineStr">
        <is>
          <t>A 51510-2021</t>
        </is>
      </c>
      <c r="B251" s="1" t="n">
        <v>44460</v>
      </c>
      <c r="C251" s="1" t="n">
        <v>45976</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33254-2022</t>
        </is>
      </c>
      <c r="B252" s="1" t="n">
        <v>44787</v>
      </c>
      <c r="C252" s="1" t="n">
        <v>45976</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65827-2020</t>
        </is>
      </c>
      <c r="B253" s="1" t="n">
        <v>44173</v>
      </c>
      <c r="C253" s="1" t="n">
        <v>45976</v>
      </c>
      <c r="D253" t="inlineStr">
        <is>
          <t>VÄRMLANDS LÄN</t>
        </is>
      </c>
      <c r="E253" t="inlineStr">
        <is>
          <t>TORSBY</t>
        </is>
      </c>
      <c r="G253" t="n">
        <v>6.7</v>
      </c>
      <c r="H253" t="n">
        <v>0</v>
      </c>
      <c r="I253" t="n">
        <v>0</v>
      </c>
      <c r="J253" t="n">
        <v>0</v>
      </c>
      <c r="K253" t="n">
        <v>0</v>
      </c>
      <c r="L253" t="n">
        <v>0</v>
      </c>
      <c r="M253" t="n">
        <v>0</v>
      </c>
      <c r="N253" t="n">
        <v>0</v>
      </c>
      <c r="O253" t="n">
        <v>0</v>
      </c>
      <c r="P253" t="n">
        <v>0</v>
      </c>
      <c r="Q253" t="n">
        <v>0</v>
      </c>
      <c r="R253" s="2" t="inlineStr"/>
    </row>
    <row r="254" ht="15" customHeight="1">
      <c r="A254" t="inlineStr">
        <is>
          <t>A 17249-2021</t>
        </is>
      </c>
      <c r="B254" s="1" t="n">
        <v>44298</v>
      </c>
      <c r="C254" s="1" t="n">
        <v>45976</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31494-2021</t>
        </is>
      </c>
      <c r="B255" s="1" t="n">
        <v>44369</v>
      </c>
      <c r="C255" s="1" t="n">
        <v>45976</v>
      </c>
      <c r="D255" t="inlineStr">
        <is>
          <t>VÄRMLANDS LÄN</t>
        </is>
      </c>
      <c r="E255" t="inlineStr">
        <is>
          <t>TORSBY</t>
        </is>
      </c>
      <c r="G255" t="n">
        <v>3.5</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45976</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28172-2022</t>
        </is>
      </c>
      <c r="B257" s="1" t="n">
        <v>44746</v>
      </c>
      <c r="C257" s="1" t="n">
        <v>45976</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27362-2021</t>
        </is>
      </c>
      <c r="B258" s="1" t="n">
        <v>44351</v>
      </c>
      <c r="C258" s="1" t="n">
        <v>45976</v>
      </c>
      <c r="D258" t="inlineStr">
        <is>
          <t>VÄRMLANDS LÄN</t>
        </is>
      </c>
      <c r="E258" t="inlineStr">
        <is>
          <t>TORSBY</t>
        </is>
      </c>
      <c r="G258" t="n">
        <v>2.9</v>
      </c>
      <c r="H258" t="n">
        <v>0</v>
      </c>
      <c r="I258" t="n">
        <v>0</v>
      </c>
      <c r="J258" t="n">
        <v>0</v>
      </c>
      <c r="K258" t="n">
        <v>0</v>
      </c>
      <c r="L258" t="n">
        <v>0</v>
      </c>
      <c r="M258" t="n">
        <v>0</v>
      </c>
      <c r="N258" t="n">
        <v>0</v>
      </c>
      <c r="O258" t="n">
        <v>0</v>
      </c>
      <c r="P258" t="n">
        <v>0</v>
      </c>
      <c r="Q258" t="n">
        <v>0</v>
      </c>
      <c r="R258" s="2" t="inlineStr"/>
    </row>
    <row r="259" ht="15" customHeight="1">
      <c r="A259" t="inlineStr">
        <is>
          <t>A 37225-2021</t>
        </is>
      </c>
      <c r="B259" s="1" t="n">
        <v>44396</v>
      </c>
      <c r="C259" s="1" t="n">
        <v>45976</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44018-2021</t>
        </is>
      </c>
      <c r="B260" s="1" t="n">
        <v>44434</v>
      </c>
      <c r="C260" s="1" t="n">
        <v>45976</v>
      </c>
      <c r="D260" t="inlineStr">
        <is>
          <t>VÄRMLANDS LÄN</t>
        </is>
      </c>
      <c r="E260" t="inlineStr">
        <is>
          <t>TORSBY</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34626-2021</t>
        </is>
      </c>
      <c r="B261" s="1" t="n">
        <v>44382</v>
      </c>
      <c r="C261" s="1" t="n">
        <v>45976</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34885-2021</t>
        </is>
      </c>
      <c r="B262" s="1" t="n">
        <v>44383</v>
      </c>
      <c r="C262" s="1" t="n">
        <v>45976</v>
      </c>
      <c r="D262" t="inlineStr">
        <is>
          <t>VÄRMLANDS LÄN</t>
        </is>
      </c>
      <c r="E262" t="inlineStr">
        <is>
          <t>TORSBY</t>
        </is>
      </c>
      <c r="G262" t="n">
        <v>8.9</v>
      </c>
      <c r="H262" t="n">
        <v>0</v>
      </c>
      <c r="I262" t="n">
        <v>0</v>
      </c>
      <c r="J262" t="n">
        <v>0</v>
      </c>
      <c r="K262" t="n">
        <v>0</v>
      </c>
      <c r="L262" t="n">
        <v>0</v>
      </c>
      <c r="M262" t="n">
        <v>0</v>
      </c>
      <c r="N262" t="n">
        <v>0</v>
      </c>
      <c r="O262" t="n">
        <v>0</v>
      </c>
      <c r="P262" t="n">
        <v>0</v>
      </c>
      <c r="Q262" t="n">
        <v>0</v>
      </c>
      <c r="R262" s="2" t="inlineStr"/>
    </row>
    <row r="263" ht="15" customHeight="1">
      <c r="A263" t="inlineStr">
        <is>
          <t>A 65959-2021</t>
        </is>
      </c>
      <c r="B263" s="1" t="n">
        <v>44517</v>
      </c>
      <c r="C263" s="1" t="n">
        <v>45976</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69265-2021</t>
        </is>
      </c>
      <c r="B264" s="1" t="n">
        <v>44526</v>
      </c>
      <c r="C264" s="1" t="n">
        <v>45976</v>
      </c>
      <c r="D264" t="inlineStr">
        <is>
          <t>VÄRMLANDS LÄN</t>
        </is>
      </c>
      <c r="E264" t="inlineStr">
        <is>
          <t>TORSBY</t>
        </is>
      </c>
      <c r="G264" t="n">
        <v>11.1</v>
      </c>
      <c r="H264" t="n">
        <v>0</v>
      </c>
      <c r="I264" t="n">
        <v>0</v>
      </c>
      <c r="J264" t="n">
        <v>0</v>
      </c>
      <c r="K264" t="n">
        <v>0</v>
      </c>
      <c r="L264" t="n">
        <v>0</v>
      </c>
      <c r="M264" t="n">
        <v>0</v>
      </c>
      <c r="N264" t="n">
        <v>0</v>
      </c>
      <c r="O264" t="n">
        <v>0</v>
      </c>
      <c r="P264" t="n">
        <v>0</v>
      </c>
      <c r="Q264" t="n">
        <v>0</v>
      </c>
      <c r="R264" s="2" t="inlineStr"/>
    </row>
    <row r="265" ht="15" customHeight="1">
      <c r="A265" t="inlineStr">
        <is>
          <t>A 19877-2021</t>
        </is>
      </c>
      <c r="B265" s="1" t="n">
        <v>44313</v>
      </c>
      <c r="C265" s="1" t="n">
        <v>45976</v>
      </c>
      <c r="D265" t="inlineStr">
        <is>
          <t>VÄRMLANDS LÄN</t>
        </is>
      </c>
      <c r="E265" t="inlineStr">
        <is>
          <t>TORSBY</t>
        </is>
      </c>
      <c r="G265" t="n">
        <v>1.7</v>
      </c>
      <c r="H265" t="n">
        <v>0</v>
      </c>
      <c r="I265" t="n">
        <v>0</v>
      </c>
      <c r="J265" t="n">
        <v>0</v>
      </c>
      <c r="K265" t="n">
        <v>0</v>
      </c>
      <c r="L265" t="n">
        <v>0</v>
      </c>
      <c r="M265" t="n">
        <v>0</v>
      </c>
      <c r="N265" t="n">
        <v>0</v>
      </c>
      <c r="O265" t="n">
        <v>0</v>
      </c>
      <c r="P265" t="n">
        <v>0</v>
      </c>
      <c r="Q265" t="n">
        <v>0</v>
      </c>
      <c r="R265" s="2" t="inlineStr"/>
    </row>
    <row r="266" ht="15" customHeight="1">
      <c r="A266" t="inlineStr">
        <is>
          <t>A 32821-2021</t>
        </is>
      </c>
      <c r="B266" s="1" t="n">
        <v>44375</v>
      </c>
      <c r="C266" s="1" t="n">
        <v>45976</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50549-2021</t>
        </is>
      </c>
      <c r="B267" s="1" t="n">
        <v>44459</v>
      </c>
      <c r="C267" s="1" t="n">
        <v>45976</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4967-2022</t>
        </is>
      </c>
      <c r="B268" s="1" t="n">
        <v>44593</v>
      </c>
      <c r="C268" s="1" t="n">
        <v>45976</v>
      </c>
      <c r="D268" t="inlineStr">
        <is>
          <t>VÄRMLANDS LÄN</t>
        </is>
      </c>
      <c r="E268" t="inlineStr">
        <is>
          <t>TORSBY</t>
        </is>
      </c>
      <c r="G268" t="n">
        <v>1.6</v>
      </c>
      <c r="H268" t="n">
        <v>0</v>
      </c>
      <c r="I268" t="n">
        <v>0</v>
      </c>
      <c r="J268" t="n">
        <v>0</v>
      </c>
      <c r="K268" t="n">
        <v>0</v>
      </c>
      <c r="L268" t="n">
        <v>0</v>
      </c>
      <c r="M268" t="n">
        <v>0</v>
      </c>
      <c r="N268" t="n">
        <v>0</v>
      </c>
      <c r="O268" t="n">
        <v>0</v>
      </c>
      <c r="P268" t="n">
        <v>0</v>
      </c>
      <c r="Q268" t="n">
        <v>0</v>
      </c>
      <c r="R268" s="2" t="inlineStr"/>
    </row>
    <row r="269" ht="15" customHeight="1">
      <c r="A269" t="inlineStr">
        <is>
          <t>A 20199-2021</t>
        </is>
      </c>
      <c r="B269" s="1" t="n">
        <v>44312</v>
      </c>
      <c r="C269" s="1" t="n">
        <v>45976</v>
      </c>
      <c r="D269" t="inlineStr">
        <is>
          <t>VÄRMLANDS LÄN</t>
        </is>
      </c>
      <c r="E269" t="inlineStr">
        <is>
          <t>TORSBY</t>
        </is>
      </c>
      <c r="G269" t="n">
        <v>11.4</v>
      </c>
      <c r="H269" t="n">
        <v>0</v>
      </c>
      <c r="I269" t="n">
        <v>0</v>
      </c>
      <c r="J269" t="n">
        <v>0</v>
      </c>
      <c r="K269" t="n">
        <v>0</v>
      </c>
      <c r="L269" t="n">
        <v>0</v>
      </c>
      <c r="M269" t="n">
        <v>0</v>
      </c>
      <c r="N269" t="n">
        <v>0</v>
      </c>
      <c r="O269" t="n">
        <v>0</v>
      </c>
      <c r="P269" t="n">
        <v>0</v>
      </c>
      <c r="Q269" t="n">
        <v>0</v>
      </c>
      <c r="R269" s="2" t="inlineStr"/>
    </row>
    <row r="270" ht="15" customHeight="1">
      <c r="A270" t="inlineStr">
        <is>
          <t>A 46551-2022</t>
        </is>
      </c>
      <c r="B270" s="1" t="n">
        <v>44848</v>
      </c>
      <c r="C270" s="1" t="n">
        <v>45976</v>
      </c>
      <c r="D270" t="inlineStr">
        <is>
          <t>VÄRMLANDS LÄN</t>
        </is>
      </c>
      <c r="E270" t="inlineStr">
        <is>
          <t>TORSBY</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14942-2021</t>
        </is>
      </c>
      <c r="B271" s="1" t="n">
        <v>44281</v>
      </c>
      <c r="C271" s="1" t="n">
        <v>45976</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35545-2021</t>
        </is>
      </c>
      <c r="B272" s="1" t="n">
        <v>44385</v>
      </c>
      <c r="C272" s="1" t="n">
        <v>45976</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25247-2021</t>
        </is>
      </c>
      <c r="B273" s="1" t="n">
        <v>44342</v>
      </c>
      <c r="C273" s="1" t="n">
        <v>45976</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23524-2021</t>
        </is>
      </c>
      <c r="B274" s="1" t="n">
        <v>44301</v>
      </c>
      <c r="C274" s="1" t="n">
        <v>45976</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61009-2020</t>
        </is>
      </c>
      <c r="B275" s="1" t="n">
        <v>44154</v>
      </c>
      <c r="C275" s="1" t="n">
        <v>45976</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52543-2022</t>
        </is>
      </c>
      <c r="B276" s="1" t="n">
        <v>44874</v>
      </c>
      <c r="C276" s="1" t="n">
        <v>45976</v>
      </c>
      <c r="D276" t="inlineStr">
        <is>
          <t>VÄRMLANDS LÄN</t>
        </is>
      </c>
      <c r="E276" t="inlineStr">
        <is>
          <t>TORSBY</t>
        </is>
      </c>
      <c r="G276" t="n">
        <v>10.1</v>
      </c>
      <c r="H276" t="n">
        <v>0</v>
      </c>
      <c r="I276" t="n">
        <v>0</v>
      </c>
      <c r="J276" t="n">
        <v>0</v>
      </c>
      <c r="K276" t="n">
        <v>0</v>
      </c>
      <c r="L276" t="n">
        <v>0</v>
      </c>
      <c r="M276" t="n">
        <v>0</v>
      </c>
      <c r="N276" t="n">
        <v>0</v>
      </c>
      <c r="O276" t="n">
        <v>0</v>
      </c>
      <c r="P276" t="n">
        <v>0</v>
      </c>
      <c r="Q276" t="n">
        <v>0</v>
      </c>
      <c r="R276" s="2" t="inlineStr"/>
    </row>
    <row r="277" ht="15" customHeight="1">
      <c r="A277" t="inlineStr">
        <is>
          <t>A 43095-2021</t>
        </is>
      </c>
      <c r="B277" s="1" t="n">
        <v>44431</v>
      </c>
      <c r="C277" s="1" t="n">
        <v>45976</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65998-2021</t>
        </is>
      </c>
      <c r="B278" s="1" t="n">
        <v>44517</v>
      </c>
      <c r="C278" s="1" t="n">
        <v>45976</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20819-2022</t>
        </is>
      </c>
      <c r="B279" s="1" t="n">
        <v>44699</v>
      </c>
      <c r="C279" s="1" t="n">
        <v>45976</v>
      </c>
      <c r="D279" t="inlineStr">
        <is>
          <t>VÄRMLANDS LÄN</t>
        </is>
      </c>
      <c r="E279" t="inlineStr">
        <is>
          <t>TORSBY</t>
        </is>
      </c>
      <c r="G279" t="n">
        <v>3.1</v>
      </c>
      <c r="H279" t="n">
        <v>0</v>
      </c>
      <c r="I279" t="n">
        <v>0</v>
      </c>
      <c r="J279" t="n">
        <v>0</v>
      </c>
      <c r="K279" t="n">
        <v>0</v>
      </c>
      <c r="L279" t="n">
        <v>0</v>
      </c>
      <c r="M279" t="n">
        <v>0</v>
      </c>
      <c r="N279" t="n">
        <v>0</v>
      </c>
      <c r="O279" t="n">
        <v>0</v>
      </c>
      <c r="P279" t="n">
        <v>0</v>
      </c>
      <c r="Q279" t="n">
        <v>0</v>
      </c>
      <c r="R279" s="2" t="inlineStr"/>
    </row>
    <row r="280" ht="15" customHeight="1">
      <c r="A280" t="inlineStr">
        <is>
          <t>A 17765-2022</t>
        </is>
      </c>
      <c r="B280" s="1" t="n">
        <v>44681.41195601852</v>
      </c>
      <c r="C280" s="1" t="n">
        <v>45976</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65398-2020</t>
        </is>
      </c>
      <c r="B281" s="1" t="n">
        <v>44169</v>
      </c>
      <c r="C281" s="1" t="n">
        <v>45976</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45976</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49192-2021</t>
        </is>
      </c>
      <c r="B283" s="1" t="n">
        <v>44454.33175925926</v>
      </c>
      <c r="C283" s="1" t="n">
        <v>45976</v>
      </c>
      <c r="D283" t="inlineStr">
        <is>
          <t>VÄRMLANDS LÄN</t>
        </is>
      </c>
      <c r="E283" t="inlineStr">
        <is>
          <t>TORSBY</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28562-2021</t>
        </is>
      </c>
      <c r="B284" s="1" t="n">
        <v>44356.69538194445</v>
      </c>
      <c r="C284" s="1" t="n">
        <v>45976</v>
      </c>
      <c r="D284" t="inlineStr">
        <is>
          <t>VÄRMLANDS LÄN</t>
        </is>
      </c>
      <c r="E284" t="inlineStr">
        <is>
          <t>TORSBY</t>
        </is>
      </c>
      <c r="G284" t="n">
        <v>4.4</v>
      </c>
      <c r="H284" t="n">
        <v>0</v>
      </c>
      <c r="I284" t="n">
        <v>0</v>
      </c>
      <c r="J284" t="n">
        <v>0</v>
      </c>
      <c r="K284" t="n">
        <v>0</v>
      </c>
      <c r="L284" t="n">
        <v>0</v>
      </c>
      <c r="M284" t="n">
        <v>0</v>
      </c>
      <c r="N284" t="n">
        <v>0</v>
      </c>
      <c r="O284" t="n">
        <v>0</v>
      </c>
      <c r="P284" t="n">
        <v>0</v>
      </c>
      <c r="Q284" t="n">
        <v>0</v>
      </c>
      <c r="R284" s="2" t="inlineStr"/>
    </row>
    <row r="285" ht="15" customHeight="1">
      <c r="A285" t="inlineStr">
        <is>
          <t>A 33149-2021</t>
        </is>
      </c>
      <c r="B285" s="1" t="n">
        <v>44376.67658564815</v>
      </c>
      <c r="C285" s="1" t="n">
        <v>45976</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56062-2021</t>
        </is>
      </c>
      <c r="B286" s="1" t="n">
        <v>44477.51216435185</v>
      </c>
      <c r="C286" s="1" t="n">
        <v>45976</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33515-2021</t>
        </is>
      </c>
      <c r="B287" s="1" t="n">
        <v>44377</v>
      </c>
      <c r="C287" s="1" t="n">
        <v>45976</v>
      </c>
      <c r="D287" t="inlineStr">
        <is>
          <t>VÄRMLANDS LÄN</t>
        </is>
      </c>
      <c r="E287" t="inlineStr">
        <is>
          <t>TORSBY</t>
        </is>
      </c>
      <c r="G287" t="n">
        <v>3.5</v>
      </c>
      <c r="H287" t="n">
        <v>0</v>
      </c>
      <c r="I287" t="n">
        <v>0</v>
      </c>
      <c r="J287" t="n">
        <v>0</v>
      </c>
      <c r="K287" t="n">
        <v>0</v>
      </c>
      <c r="L287" t="n">
        <v>0</v>
      </c>
      <c r="M287" t="n">
        <v>0</v>
      </c>
      <c r="N287" t="n">
        <v>0</v>
      </c>
      <c r="O287" t="n">
        <v>0</v>
      </c>
      <c r="P287" t="n">
        <v>0</v>
      </c>
      <c r="Q287" t="n">
        <v>0</v>
      </c>
      <c r="R287" s="2" t="inlineStr"/>
    </row>
    <row r="288" ht="15" customHeight="1">
      <c r="A288" t="inlineStr">
        <is>
          <t>A 33517-2021</t>
        </is>
      </c>
      <c r="B288" s="1" t="n">
        <v>44377</v>
      </c>
      <c r="C288" s="1" t="n">
        <v>45976</v>
      </c>
      <c r="D288" t="inlineStr">
        <is>
          <t>VÄRMLANDS LÄN</t>
        </is>
      </c>
      <c r="E288" t="inlineStr">
        <is>
          <t>TORSBY</t>
        </is>
      </c>
      <c r="G288" t="n">
        <v>2.2</v>
      </c>
      <c r="H288" t="n">
        <v>0</v>
      </c>
      <c r="I288" t="n">
        <v>0</v>
      </c>
      <c r="J288" t="n">
        <v>0</v>
      </c>
      <c r="K288" t="n">
        <v>0</v>
      </c>
      <c r="L288" t="n">
        <v>0</v>
      </c>
      <c r="M288" t="n">
        <v>0</v>
      </c>
      <c r="N288" t="n">
        <v>0</v>
      </c>
      <c r="O288" t="n">
        <v>0</v>
      </c>
      <c r="P288" t="n">
        <v>0</v>
      </c>
      <c r="Q288" t="n">
        <v>0</v>
      </c>
      <c r="R288" s="2" t="inlineStr"/>
    </row>
    <row r="289" ht="15" customHeight="1">
      <c r="A289" t="inlineStr">
        <is>
          <t>A 21031-2021</t>
        </is>
      </c>
      <c r="B289" s="1" t="n">
        <v>44319</v>
      </c>
      <c r="C289" s="1" t="n">
        <v>45976</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14320-2022</t>
        </is>
      </c>
      <c r="B290" s="1" t="n">
        <v>44652</v>
      </c>
      <c r="C290" s="1" t="n">
        <v>45976</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43136-2021</t>
        </is>
      </c>
      <c r="B291" s="1" t="n">
        <v>44431.6690625</v>
      </c>
      <c r="C291" s="1" t="n">
        <v>45976</v>
      </c>
      <c r="D291" t="inlineStr">
        <is>
          <t>VÄRMLANDS LÄN</t>
        </is>
      </c>
      <c r="E291" t="inlineStr">
        <is>
          <t>TORSBY</t>
        </is>
      </c>
      <c r="G291" t="n">
        <v>14.4</v>
      </c>
      <c r="H291" t="n">
        <v>0</v>
      </c>
      <c r="I291" t="n">
        <v>0</v>
      </c>
      <c r="J291" t="n">
        <v>0</v>
      </c>
      <c r="K291" t="n">
        <v>0</v>
      </c>
      <c r="L291" t="n">
        <v>0</v>
      </c>
      <c r="M291" t="n">
        <v>0</v>
      </c>
      <c r="N291" t="n">
        <v>0</v>
      </c>
      <c r="O291" t="n">
        <v>0</v>
      </c>
      <c r="P291" t="n">
        <v>0</v>
      </c>
      <c r="Q291" t="n">
        <v>0</v>
      </c>
      <c r="R291" s="2" t="inlineStr"/>
    </row>
    <row r="292" ht="15" customHeight="1">
      <c r="A292" t="inlineStr">
        <is>
          <t>A 8739-2022</t>
        </is>
      </c>
      <c r="B292" s="1" t="n">
        <v>44615</v>
      </c>
      <c r="C292" s="1" t="n">
        <v>45976</v>
      </c>
      <c r="D292" t="inlineStr">
        <is>
          <t>VÄRMLANDS LÄN</t>
        </is>
      </c>
      <c r="E292" t="inlineStr">
        <is>
          <t>TORSBY</t>
        </is>
      </c>
      <c r="G292" t="n">
        <v>1.8</v>
      </c>
      <c r="H292" t="n">
        <v>0</v>
      </c>
      <c r="I292" t="n">
        <v>0</v>
      </c>
      <c r="J292" t="n">
        <v>0</v>
      </c>
      <c r="K292" t="n">
        <v>0</v>
      </c>
      <c r="L292" t="n">
        <v>0</v>
      </c>
      <c r="M292" t="n">
        <v>0</v>
      </c>
      <c r="N292" t="n">
        <v>0</v>
      </c>
      <c r="O292" t="n">
        <v>0</v>
      </c>
      <c r="P292" t="n">
        <v>0</v>
      </c>
      <c r="Q292" t="n">
        <v>0</v>
      </c>
      <c r="R292" s="2" t="inlineStr"/>
    </row>
    <row r="293" ht="15" customHeight="1">
      <c r="A293" t="inlineStr">
        <is>
          <t>A 18628-2022</t>
        </is>
      </c>
      <c r="B293" s="1" t="n">
        <v>44687</v>
      </c>
      <c r="C293" s="1" t="n">
        <v>45976</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20045-2022</t>
        </is>
      </c>
      <c r="B294" s="1" t="n">
        <v>44697</v>
      </c>
      <c r="C294" s="1" t="n">
        <v>45976</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46934-2021</t>
        </is>
      </c>
      <c r="B295" s="1" t="n">
        <v>44446.49893518518</v>
      </c>
      <c r="C295" s="1" t="n">
        <v>45976</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3382-2022</t>
        </is>
      </c>
      <c r="B296" s="1" t="n">
        <v>44585</v>
      </c>
      <c r="C296" s="1" t="n">
        <v>45976</v>
      </c>
      <c r="D296" t="inlineStr">
        <is>
          <t>VÄRMLANDS LÄN</t>
        </is>
      </c>
      <c r="E296" t="inlineStr">
        <is>
          <t>TORSBY</t>
        </is>
      </c>
      <c r="G296" t="n">
        <v>0.6</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45976</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37917-2022</t>
        </is>
      </c>
      <c r="B298" s="1" t="n">
        <v>44811.44335648148</v>
      </c>
      <c r="C298" s="1" t="n">
        <v>45976</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52386-2022</t>
        </is>
      </c>
      <c r="B299" s="1" t="n">
        <v>44874.3750462963</v>
      </c>
      <c r="C299" s="1" t="n">
        <v>45976</v>
      </c>
      <c r="D299" t="inlineStr">
        <is>
          <t>VÄRMLANDS LÄN</t>
        </is>
      </c>
      <c r="E299" t="inlineStr">
        <is>
          <t>TORSBY</t>
        </is>
      </c>
      <c r="G299" t="n">
        <v>6.7</v>
      </c>
      <c r="H299" t="n">
        <v>0</v>
      </c>
      <c r="I299" t="n">
        <v>0</v>
      </c>
      <c r="J299" t="n">
        <v>0</v>
      </c>
      <c r="K299" t="n">
        <v>0</v>
      </c>
      <c r="L299" t="n">
        <v>0</v>
      </c>
      <c r="M299" t="n">
        <v>0</v>
      </c>
      <c r="N299" t="n">
        <v>0</v>
      </c>
      <c r="O299" t="n">
        <v>0</v>
      </c>
      <c r="P299" t="n">
        <v>0</v>
      </c>
      <c r="Q299" t="n">
        <v>0</v>
      </c>
      <c r="R299" s="2" t="inlineStr"/>
    </row>
    <row r="300" ht="15" customHeight="1">
      <c r="A300" t="inlineStr">
        <is>
          <t>A 38179-2022</t>
        </is>
      </c>
      <c r="B300" s="1" t="n">
        <v>44812</v>
      </c>
      <c r="C300" s="1" t="n">
        <v>45976</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30162-2021</t>
        </is>
      </c>
      <c r="B301" s="1" t="n">
        <v>44363</v>
      </c>
      <c r="C301" s="1" t="n">
        <v>45976</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47466-2022</t>
        </is>
      </c>
      <c r="B302" s="1" t="n">
        <v>44852</v>
      </c>
      <c r="C302" s="1" t="n">
        <v>45976</v>
      </c>
      <c r="D302" t="inlineStr">
        <is>
          <t>VÄRMLANDS LÄN</t>
        </is>
      </c>
      <c r="E302" t="inlineStr">
        <is>
          <t>TORSBY</t>
        </is>
      </c>
      <c r="G302" t="n">
        <v>3</v>
      </c>
      <c r="H302" t="n">
        <v>0</v>
      </c>
      <c r="I302" t="n">
        <v>0</v>
      </c>
      <c r="J302" t="n">
        <v>0</v>
      </c>
      <c r="K302" t="n">
        <v>0</v>
      </c>
      <c r="L302" t="n">
        <v>0</v>
      </c>
      <c r="M302" t="n">
        <v>0</v>
      </c>
      <c r="N302" t="n">
        <v>0</v>
      </c>
      <c r="O302" t="n">
        <v>0</v>
      </c>
      <c r="P302" t="n">
        <v>0</v>
      </c>
      <c r="Q302" t="n">
        <v>0</v>
      </c>
      <c r="R302" s="2" t="inlineStr"/>
    </row>
    <row r="303" ht="15" customHeight="1">
      <c r="A303" t="inlineStr">
        <is>
          <t>A 16375-2021</t>
        </is>
      </c>
      <c r="B303" s="1" t="n">
        <v>44292</v>
      </c>
      <c r="C303" s="1" t="n">
        <v>45976</v>
      </c>
      <c r="D303" t="inlineStr">
        <is>
          <t>VÄRMLANDS LÄN</t>
        </is>
      </c>
      <c r="E303" t="inlineStr">
        <is>
          <t>TORSBY</t>
        </is>
      </c>
      <c r="G303" t="n">
        <v>2.3</v>
      </c>
      <c r="H303" t="n">
        <v>0</v>
      </c>
      <c r="I303" t="n">
        <v>0</v>
      </c>
      <c r="J303" t="n">
        <v>0</v>
      </c>
      <c r="K303" t="n">
        <v>0</v>
      </c>
      <c r="L303" t="n">
        <v>0</v>
      </c>
      <c r="M303" t="n">
        <v>0</v>
      </c>
      <c r="N303" t="n">
        <v>0</v>
      </c>
      <c r="O303" t="n">
        <v>0</v>
      </c>
      <c r="P303" t="n">
        <v>0</v>
      </c>
      <c r="Q303" t="n">
        <v>0</v>
      </c>
      <c r="R303" s="2" t="inlineStr"/>
    </row>
    <row r="304" ht="15" customHeight="1">
      <c r="A304" t="inlineStr">
        <is>
          <t>A 22113-2021</t>
        </is>
      </c>
      <c r="B304" s="1" t="n">
        <v>44323</v>
      </c>
      <c r="C304" s="1" t="n">
        <v>45976</v>
      </c>
      <c r="D304" t="inlineStr">
        <is>
          <t>VÄRMLANDS LÄN</t>
        </is>
      </c>
      <c r="E304" t="inlineStr">
        <is>
          <t>TORSBY</t>
        </is>
      </c>
      <c r="G304" t="n">
        <v>1.7</v>
      </c>
      <c r="H304" t="n">
        <v>0</v>
      </c>
      <c r="I304" t="n">
        <v>0</v>
      </c>
      <c r="J304" t="n">
        <v>0</v>
      </c>
      <c r="K304" t="n">
        <v>0</v>
      </c>
      <c r="L304" t="n">
        <v>0</v>
      </c>
      <c r="M304" t="n">
        <v>0</v>
      </c>
      <c r="N304" t="n">
        <v>0</v>
      </c>
      <c r="O304" t="n">
        <v>0</v>
      </c>
      <c r="P304" t="n">
        <v>0</v>
      </c>
      <c r="Q304" t="n">
        <v>0</v>
      </c>
      <c r="R304" s="2" t="inlineStr"/>
    </row>
    <row r="305" ht="15" customHeight="1">
      <c r="A305" t="inlineStr">
        <is>
          <t>A 61594-2020</t>
        </is>
      </c>
      <c r="B305" s="1" t="n">
        <v>44154</v>
      </c>
      <c r="C305" s="1" t="n">
        <v>45976</v>
      </c>
      <c r="D305" t="inlineStr">
        <is>
          <t>VÄRMLANDS LÄN</t>
        </is>
      </c>
      <c r="E305" t="inlineStr">
        <is>
          <t>TORSBY</t>
        </is>
      </c>
      <c r="G305" t="n">
        <v>6</v>
      </c>
      <c r="H305" t="n">
        <v>0</v>
      </c>
      <c r="I305" t="n">
        <v>0</v>
      </c>
      <c r="J305" t="n">
        <v>0</v>
      </c>
      <c r="K305" t="n">
        <v>0</v>
      </c>
      <c r="L305" t="n">
        <v>0</v>
      </c>
      <c r="M305" t="n">
        <v>0</v>
      </c>
      <c r="N305" t="n">
        <v>0</v>
      </c>
      <c r="O305" t="n">
        <v>0</v>
      </c>
      <c r="P305" t="n">
        <v>0</v>
      </c>
      <c r="Q305" t="n">
        <v>0</v>
      </c>
      <c r="R305" s="2" t="inlineStr"/>
    </row>
    <row r="306" ht="15" customHeight="1">
      <c r="A306" t="inlineStr">
        <is>
          <t>A 1516-2021</t>
        </is>
      </c>
      <c r="B306" s="1" t="n">
        <v>44209</v>
      </c>
      <c r="C306" s="1" t="n">
        <v>45976</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32003-2022</t>
        </is>
      </c>
      <c r="B307" s="1" t="n">
        <v>44778</v>
      </c>
      <c r="C307" s="1" t="n">
        <v>45976</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23194-2021</t>
        </is>
      </c>
      <c r="B308" s="1" t="n">
        <v>44328</v>
      </c>
      <c r="C308" s="1" t="n">
        <v>45976</v>
      </c>
      <c r="D308" t="inlineStr">
        <is>
          <t>VÄRMLANDS LÄN</t>
        </is>
      </c>
      <c r="E308" t="inlineStr">
        <is>
          <t>TORSBY</t>
        </is>
      </c>
      <c r="G308" t="n">
        <v>4.3</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45976</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45976</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46795-2021</t>
        </is>
      </c>
      <c r="B311" s="1" t="n">
        <v>44446</v>
      </c>
      <c r="C311" s="1" t="n">
        <v>45976</v>
      </c>
      <c r="D311" t="inlineStr">
        <is>
          <t>VÄRMLANDS LÄN</t>
        </is>
      </c>
      <c r="E311" t="inlineStr">
        <is>
          <t>TORSBY</t>
        </is>
      </c>
      <c r="G311" t="n">
        <v>6</v>
      </c>
      <c r="H311" t="n">
        <v>0</v>
      </c>
      <c r="I311" t="n">
        <v>0</v>
      </c>
      <c r="J311" t="n">
        <v>0</v>
      </c>
      <c r="K311" t="n">
        <v>0</v>
      </c>
      <c r="L311" t="n">
        <v>0</v>
      </c>
      <c r="M311" t="n">
        <v>0</v>
      </c>
      <c r="N311" t="n">
        <v>0</v>
      </c>
      <c r="O311" t="n">
        <v>0</v>
      </c>
      <c r="P311" t="n">
        <v>0</v>
      </c>
      <c r="Q311" t="n">
        <v>0</v>
      </c>
      <c r="R311" s="2" t="inlineStr"/>
    </row>
    <row r="312" ht="15" customHeight="1">
      <c r="A312" t="inlineStr">
        <is>
          <t>A 70253-2021</t>
        </is>
      </c>
      <c r="B312" s="1" t="n">
        <v>44536</v>
      </c>
      <c r="C312" s="1" t="n">
        <v>45976</v>
      </c>
      <c r="D312" t="inlineStr">
        <is>
          <t>VÄRMLANDS LÄN</t>
        </is>
      </c>
      <c r="E312" t="inlineStr">
        <is>
          <t>TORSBY</t>
        </is>
      </c>
      <c r="G312" t="n">
        <v>4.3</v>
      </c>
      <c r="H312" t="n">
        <v>0</v>
      </c>
      <c r="I312" t="n">
        <v>0</v>
      </c>
      <c r="J312" t="n">
        <v>0</v>
      </c>
      <c r="K312" t="n">
        <v>0</v>
      </c>
      <c r="L312" t="n">
        <v>0</v>
      </c>
      <c r="M312" t="n">
        <v>0</v>
      </c>
      <c r="N312" t="n">
        <v>0</v>
      </c>
      <c r="O312" t="n">
        <v>0</v>
      </c>
      <c r="P312" t="n">
        <v>0</v>
      </c>
      <c r="Q312" t="n">
        <v>0</v>
      </c>
      <c r="R312" s="2" t="inlineStr"/>
    </row>
    <row r="313" ht="15" customHeight="1">
      <c r="A313" t="inlineStr">
        <is>
          <t>A 23735-2022</t>
        </is>
      </c>
      <c r="B313" s="1" t="n">
        <v>44722.35103009259</v>
      </c>
      <c r="C313" s="1" t="n">
        <v>45976</v>
      </c>
      <c r="D313" t="inlineStr">
        <is>
          <t>VÄRMLANDS LÄN</t>
        </is>
      </c>
      <c r="E313" t="inlineStr">
        <is>
          <t>TORSBY</t>
        </is>
      </c>
      <c r="G313" t="n">
        <v>1.9</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45976</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22671-2021</t>
        </is>
      </c>
      <c r="B315" s="1" t="n">
        <v>44327</v>
      </c>
      <c r="C315" s="1" t="n">
        <v>45976</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67084-2020</t>
        </is>
      </c>
      <c r="B316" s="1" t="n">
        <v>44179</v>
      </c>
      <c r="C316" s="1" t="n">
        <v>45976</v>
      </c>
      <c r="D316" t="inlineStr">
        <is>
          <t>VÄRMLANDS LÄN</t>
        </is>
      </c>
      <c r="E316" t="inlineStr">
        <is>
          <t>TORSBY</t>
        </is>
      </c>
      <c r="G316" t="n">
        <v>1.9</v>
      </c>
      <c r="H316" t="n">
        <v>0</v>
      </c>
      <c r="I316" t="n">
        <v>0</v>
      </c>
      <c r="J316" t="n">
        <v>0</v>
      </c>
      <c r="K316" t="n">
        <v>0</v>
      </c>
      <c r="L316" t="n">
        <v>0</v>
      </c>
      <c r="M316" t="n">
        <v>0</v>
      </c>
      <c r="N316" t="n">
        <v>0</v>
      </c>
      <c r="O316" t="n">
        <v>0</v>
      </c>
      <c r="P316" t="n">
        <v>0</v>
      </c>
      <c r="Q316" t="n">
        <v>0</v>
      </c>
      <c r="R316" s="2" t="inlineStr"/>
    </row>
    <row r="317" ht="15" customHeight="1">
      <c r="A317" t="inlineStr">
        <is>
          <t>A 997-2022</t>
        </is>
      </c>
      <c r="B317" s="1" t="n">
        <v>44571</v>
      </c>
      <c r="C317" s="1" t="n">
        <v>45976</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29457-2021</t>
        </is>
      </c>
      <c r="B318" s="1" t="n">
        <v>44361</v>
      </c>
      <c r="C318" s="1" t="n">
        <v>45976</v>
      </c>
      <c r="D318" t="inlineStr">
        <is>
          <t>VÄRMLANDS LÄN</t>
        </is>
      </c>
      <c r="E318" t="inlineStr">
        <is>
          <t>TORSBY</t>
        </is>
      </c>
      <c r="G318" t="n">
        <v>7.6</v>
      </c>
      <c r="H318" t="n">
        <v>0</v>
      </c>
      <c r="I318" t="n">
        <v>0</v>
      </c>
      <c r="J318" t="n">
        <v>0</v>
      </c>
      <c r="K318" t="n">
        <v>0</v>
      </c>
      <c r="L318" t="n">
        <v>0</v>
      </c>
      <c r="M318" t="n">
        <v>0</v>
      </c>
      <c r="N318" t="n">
        <v>0</v>
      </c>
      <c r="O318" t="n">
        <v>0</v>
      </c>
      <c r="P318" t="n">
        <v>0</v>
      </c>
      <c r="Q318" t="n">
        <v>0</v>
      </c>
      <c r="R318" s="2" t="inlineStr"/>
    </row>
    <row r="319" ht="15" customHeight="1">
      <c r="A319" t="inlineStr">
        <is>
          <t>A 26558-2021</t>
        </is>
      </c>
      <c r="B319" s="1" t="n">
        <v>44348</v>
      </c>
      <c r="C319" s="1" t="n">
        <v>45976</v>
      </c>
      <c r="D319" t="inlineStr">
        <is>
          <t>VÄRMLANDS LÄN</t>
        </is>
      </c>
      <c r="E319" t="inlineStr">
        <is>
          <t>TORSBY</t>
        </is>
      </c>
      <c r="G319" t="n">
        <v>19.7</v>
      </c>
      <c r="H319" t="n">
        <v>0</v>
      </c>
      <c r="I319" t="n">
        <v>0</v>
      </c>
      <c r="J319" t="n">
        <v>0</v>
      </c>
      <c r="K319" t="n">
        <v>0</v>
      </c>
      <c r="L319" t="n">
        <v>0</v>
      </c>
      <c r="M319" t="n">
        <v>0</v>
      </c>
      <c r="N319" t="n">
        <v>0</v>
      </c>
      <c r="O319" t="n">
        <v>0</v>
      </c>
      <c r="P319" t="n">
        <v>0</v>
      </c>
      <c r="Q319" t="n">
        <v>0</v>
      </c>
      <c r="R319" s="2" t="inlineStr"/>
    </row>
    <row r="320" ht="15" customHeight="1">
      <c r="A320" t="inlineStr">
        <is>
          <t>A 33937-2021</t>
        </is>
      </c>
      <c r="B320" s="1" t="n">
        <v>44378.79297453703</v>
      </c>
      <c r="C320" s="1" t="n">
        <v>45976</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41808-2021</t>
        </is>
      </c>
      <c r="B321" s="1" t="n">
        <v>44425</v>
      </c>
      <c r="C321" s="1" t="n">
        <v>45976</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9775-2021</t>
        </is>
      </c>
      <c r="B322" s="1" t="n">
        <v>44252</v>
      </c>
      <c r="C322" s="1" t="n">
        <v>45976</v>
      </c>
      <c r="D322" t="inlineStr">
        <is>
          <t>VÄRMLANDS LÄN</t>
        </is>
      </c>
      <c r="E322" t="inlineStr">
        <is>
          <t>TORSBY</t>
        </is>
      </c>
      <c r="G322" t="n">
        <v>2.7</v>
      </c>
      <c r="H322" t="n">
        <v>0</v>
      </c>
      <c r="I322" t="n">
        <v>0</v>
      </c>
      <c r="J322" t="n">
        <v>0</v>
      </c>
      <c r="K322" t="n">
        <v>0</v>
      </c>
      <c r="L322" t="n">
        <v>0</v>
      </c>
      <c r="M322" t="n">
        <v>0</v>
      </c>
      <c r="N322" t="n">
        <v>0</v>
      </c>
      <c r="O322" t="n">
        <v>0</v>
      </c>
      <c r="P322" t="n">
        <v>0</v>
      </c>
      <c r="Q322" t="n">
        <v>0</v>
      </c>
      <c r="R322" s="2" t="inlineStr"/>
    </row>
    <row r="323" ht="15" customHeight="1">
      <c r="A323" t="inlineStr">
        <is>
          <t>A 36589-2021</t>
        </is>
      </c>
      <c r="B323" s="1" t="n">
        <v>44391</v>
      </c>
      <c r="C323" s="1" t="n">
        <v>45976</v>
      </c>
      <c r="D323" t="inlineStr">
        <is>
          <t>VÄRMLANDS LÄN</t>
        </is>
      </c>
      <c r="E323" t="inlineStr">
        <is>
          <t>TORSBY</t>
        </is>
      </c>
      <c r="G323" t="n">
        <v>3.9</v>
      </c>
      <c r="H323" t="n">
        <v>0</v>
      </c>
      <c r="I323" t="n">
        <v>0</v>
      </c>
      <c r="J323" t="n">
        <v>0</v>
      </c>
      <c r="K323" t="n">
        <v>0</v>
      </c>
      <c r="L323" t="n">
        <v>0</v>
      </c>
      <c r="M323" t="n">
        <v>0</v>
      </c>
      <c r="N323" t="n">
        <v>0</v>
      </c>
      <c r="O323" t="n">
        <v>0</v>
      </c>
      <c r="P323" t="n">
        <v>0</v>
      </c>
      <c r="Q323" t="n">
        <v>0</v>
      </c>
      <c r="R323" s="2" t="inlineStr"/>
    </row>
    <row r="324" ht="15" customHeight="1">
      <c r="A324" t="inlineStr">
        <is>
          <t>A 67913-2021</t>
        </is>
      </c>
      <c r="B324" s="1" t="n">
        <v>44525.60017361111</v>
      </c>
      <c r="C324" s="1" t="n">
        <v>45976</v>
      </c>
      <c r="D324" t="inlineStr">
        <is>
          <t>VÄRMLANDS LÄN</t>
        </is>
      </c>
      <c r="E324" t="inlineStr">
        <is>
          <t>TORSBY</t>
        </is>
      </c>
      <c r="F324" t="inlineStr">
        <is>
          <t>Bergvik skog väst AB</t>
        </is>
      </c>
      <c r="G324" t="n">
        <v>8</v>
      </c>
      <c r="H324" t="n">
        <v>0</v>
      </c>
      <c r="I324" t="n">
        <v>0</v>
      </c>
      <c r="J324" t="n">
        <v>0</v>
      </c>
      <c r="K324" t="n">
        <v>0</v>
      </c>
      <c r="L324" t="n">
        <v>0</v>
      </c>
      <c r="M324" t="n">
        <v>0</v>
      </c>
      <c r="N324" t="n">
        <v>0</v>
      </c>
      <c r="O324" t="n">
        <v>0</v>
      </c>
      <c r="P324" t="n">
        <v>0</v>
      </c>
      <c r="Q324" t="n">
        <v>0</v>
      </c>
      <c r="R324" s="2" t="inlineStr"/>
    </row>
    <row r="325" ht="15" customHeight="1">
      <c r="A325" t="inlineStr">
        <is>
          <t>A 39217-2022</t>
        </is>
      </c>
      <c r="B325" s="1" t="n">
        <v>44817.57174768519</v>
      </c>
      <c r="C325" s="1" t="n">
        <v>45976</v>
      </c>
      <c r="D325" t="inlineStr">
        <is>
          <t>VÄRMLANDS LÄN</t>
        </is>
      </c>
      <c r="E325" t="inlineStr">
        <is>
          <t>TORSBY</t>
        </is>
      </c>
      <c r="G325" t="n">
        <v>4.6</v>
      </c>
      <c r="H325" t="n">
        <v>0</v>
      </c>
      <c r="I325" t="n">
        <v>0</v>
      </c>
      <c r="J325" t="n">
        <v>0</v>
      </c>
      <c r="K325" t="n">
        <v>0</v>
      </c>
      <c r="L325" t="n">
        <v>0</v>
      </c>
      <c r="M325" t="n">
        <v>0</v>
      </c>
      <c r="N325" t="n">
        <v>0</v>
      </c>
      <c r="O325" t="n">
        <v>0</v>
      </c>
      <c r="P325" t="n">
        <v>0</v>
      </c>
      <c r="Q325" t="n">
        <v>0</v>
      </c>
      <c r="R325" s="2" t="inlineStr"/>
    </row>
    <row r="326" ht="15" customHeight="1">
      <c r="A326" t="inlineStr">
        <is>
          <t>A 39221-2022</t>
        </is>
      </c>
      <c r="B326" s="1" t="n">
        <v>44817.57484953704</v>
      </c>
      <c r="C326" s="1" t="n">
        <v>45976</v>
      </c>
      <c r="D326" t="inlineStr">
        <is>
          <t>VÄRMLANDS LÄN</t>
        </is>
      </c>
      <c r="E326" t="inlineStr">
        <is>
          <t>TORSBY</t>
        </is>
      </c>
      <c r="G326" t="n">
        <v>1.6</v>
      </c>
      <c r="H326" t="n">
        <v>0</v>
      </c>
      <c r="I326" t="n">
        <v>0</v>
      </c>
      <c r="J326" t="n">
        <v>0</v>
      </c>
      <c r="K326" t="n">
        <v>0</v>
      </c>
      <c r="L326" t="n">
        <v>0</v>
      </c>
      <c r="M326" t="n">
        <v>0</v>
      </c>
      <c r="N326" t="n">
        <v>0</v>
      </c>
      <c r="O326" t="n">
        <v>0</v>
      </c>
      <c r="P326" t="n">
        <v>0</v>
      </c>
      <c r="Q326" t="n">
        <v>0</v>
      </c>
      <c r="R326" s="2" t="inlineStr"/>
    </row>
    <row r="327" ht="15" customHeight="1">
      <c r="A327" t="inlineStr">
        <is>
          <t>A 67734-2020</t>
        </is>
      </c>
      <c r="B327" s="1" t="n">
        <v>44182</v>
      </c>
      <c r="C327" s="1" t="n">
        <v>45976</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33181-2022</t>
        </is>
      </c>
      <c r="B328" s="1" t="n">
        <v>44785</v>
      </c>
      <c r="C328" s="1" t="n">
        <v>45976</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63251-2021</t>
        </is>
      </c>
      <c r="B329" s="1" t="n">
        <v>44508.37935185185</v>
      </c>
      <c r="C329" s="1" t="n">
        <v>45976</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7898-2021</t>
        </is>
      </c>
      <c r="B330" s="1" t="n">
        <v>44243</v>
      </c>
      <c r="C330" s="1" t="n">
        <v>45976</v>
      </c>
      <c r="D330" t="inlineStr">
        <is>
          <t>VÄRMLANDS LÄN</t>
        </is>
      </c>
      <c r="E330" t="inlineStr">
        <is>
          <t>TORSBY</t>
        </is>
      </c>
      <c r="G330" t="n">
        <v>1.7</v>
      </c>
      <c r="H330" t="n">
        <v>0</v>
      </c>
      <c r="I330" t="n">
        <v>0</v>
      </c>
      <c r="J330" t="n">
        <v>0</v>
      </c>
      <c r="K330" t="n">
        <v>0</v>
      </c>
      <c r="L330" t="n">
        <v>0</v>
      </c>
      <c r="M330" t="n">
        <v>0</v>
      </c>
      <c r="N330" t="n">
        <v>0</v>
      </c>
      <c r="O330" t="n">
        <v>0</v>
      </c>
      <c r="P330" t="n">
        <v>0</v>
      </c>
      <c r="Q330" t="n">
        <v>0</v>
      </c>
      <c r="R330" s="2" t="inlineStr"/>
    </row>
    <row r="331" ht="15" customHeight="1">
      <c r="A331" t="inlineStr">
        <is>
          <t>A 36587-2022</t>
        </is>
      </c>
      <c r="B331" s="1" t="n">
        <v>44804.62511574074</v>
      </c>
      <c r="C331" s="1" t="n">
        <v>45976</v>
      </c>
      <c r="D331" t="inlineStr">
        <is>
          <t>VÄRMLANDS LÄN</t>
        </is>
      </c>
      <c r="E331" t="inlineStr">
        <is>
          <t>TORSBY</t>
        </is>
      </c>
      <c r="G331" t="n">
        <v>4.4</v>
      </c>
      <c r="H331" t="n">
        <v>0</v>
      </c>
      <c r="I331" t="n">
        <v>0</v>
      </c>
      <c r="J331" t="n">
        <v>0</v>
      </c>
      <c r="K331" t="n">
        <v>0</v>
      </c>
      <c r="L331" t="n">
        <v>0</v>
      </c>
      <c r="M331" t="n">
        <v>0</v>
      </c>
      <c r="N331" t="n">
        <v>0</v>
      </c>
      <c r="O331" t="n">
        <v>0</v>
      </c>
      <c r="P331" t="n">
        <v>0</v>
      </c>
      <c r="Q331" t="n">
        <v>0</v>
      </c>
      <c r="R331" s="2" t="inlineStr"/>
    </row>
    <row r="332" ht="15" customHeight="1">
      <c r="A332" t="inlineStr">
        <is>
          <t>A 39186-2022</t>
        </is>
      </c>
      <c r="B332" s="1" t="n">
        <v>44817.51549768518</v>
      </c>
      <c r="C332" s="1" t="n">
        <v>45976</v>
      </c>
      <c r="D332" t="inlineStr">
        <is>
          <t>VÄRMLANDS LÄN</t>
        </is>
      </c>
      <c r="E332" t="inlineStr">
        <is>
          <t>TORSBY</t>
        </is>
      </c>
      <c r="F332" t="inlineStr">
        <is>
          <t>Bergvik skog väst AB</t>
        </is>
      </c>
      <c r="G332" t="n">
        <v>20.3</v>
      </c>
      <c r="H332" t="n">
        <v>0</v>
      </c>
      <c r="I332" t="n">
        <v>0</v>
      </c>
      <c r="J332" t="n">
        <v>0</v>
      </c>
      <c r="K332" t="n">
        <v>0</v>
      </c>
      <c r="L332" t="n">
        <v>0</v>
      </c>
      <c r="M332" t="n">
        <v>0</v>
      </c>
      <c r="N332" t="n">
        <v>0</v>
      </c>
      <c r="O332" t="n">
        <v>0</v>
      </c>
      <c r="P332" t="n">
        <v>0</v>
      </c>
      <c r="Q332" t="n">
        <v>0</v>
      </c>
      <c r="R332" s="2" t="inlineStr"/>
    </row>
    <row r="333" ht="15" customHeight="1">
      <c r="A333" t="inlineStr">
        <is>
          <t>A 51490-2022</t>
        </is>
      </c>
      <c r="B333" s="1" t="n">
        <v>44869.59972222222</v>
      </c>
      <c r="C333" s="1" t="n">
        <v>45976</v>
      </c>
      <c r="D333" t="inlineStr">
        <is>
          <t>VÄRMLANDS LÄN</t>
        </is>
      </c>
      <c r="E333" t="inlineStr">
        <is>
          <t>TORSBY</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35851-2022</t>
        </is>
      </c>
      <c r="B334" s="1" t="n">
        <v>44802</v>
      </c>
      <c r="C334" s="1" t="n">
        <v>45976</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44790.67916666667</v>
      </c>
      <c r="C335" s="1" t="n">
        <v>45976</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67147-2021</t>
        </is>
      </c>
      <c r="B336" s="1" t="n">
        <v>44523</v>
      </c>
      <c r="C336" s="1" t="n">
        <v>45976</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73165-2021</t>
        </is>
      </c>
      <c r="B337" s="1" t="n">
        <v>44550</v>
      </c>
      <c r="C337" s="1" t="n">
        <v>45976</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45976</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45976</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45976</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11664-2022</t>
        </is>
      </c>
      <c r="B341" s="1" t="n">
        <v>44632.86525462963</v>
      </c>
      <c r="C341" s="1" t="n">
        <v>45976</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15873-2025</t>
        </is>
      </c>
      <c r="B342" s="1" t="n">
        <v>45749.3759375</v>
      </c>
      <c r="C342" s="1" t="n">
        <v>45976</v>
      </c>
      <c r="D342" t="inlineStr">
        <is>
          <t>VÄRMLANDS LÄN</t>
        </is>
      </c>
      <c r="E342" t="inlineStr">
        <is>
          <t>TORSBY</t>
        </is>
      </c>
      <c r="G342" t="n">
        <v>8</v>
      </c>
      <c r="H342" t="n">
        <v>0</v>
      </c>
      <c r="I342" t="n">
        <v>0</v>
      </c>
      <c r="J342" t="n">
        <v>0</v>
      </c>
      <c r="K342" t="n">
        <v>0</v>
      </c>
      <c r="L342" t="n">
        <v>0</v>
      </c>
      <c r="M342" t="n">
        <v>0</v>
      </c>
      <c r="N342" t="n">
        <v>0</v>
      </c>
      <c r="O342" t="n">
        <v>0</v>
      </c>
      <c r="P342" t="n">
        <v>0</v>
      </c>
      <c r="Q342" t="n">
        <v>0</v>
      </c>
      <c r="R342" s="2" t="inlineStr"/>
    </row>
    <row r="343" ht="15" customHeight="1">
      <c r="A343" t="inlineStr">
        <is>
          <t>A 13698-2022</t>
        </is>
      </c>
      <c r="B343" s="1" t="n">
        <v>44648</v>
      </c>
      <c r="C343" s="1" t="n">
        <v>45976</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71084-2021</t>
        </is>
      </c>
      <c r="B344" s="1" t="n">
        <v>44538.96543981481</v>
      </c>
      <c r="C344" s="1" t="n">
        <v>45976</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53044-2022</t>
        </is>
      </c>
      <c r="B345" s="1" t="n">
        <v>44876</v>
      </c>
      <c r="C345" s="1" t="n">
        <v>45976</v>
      </c>
      <c r="D345" t="inlineStr">
        <is>
          <t>VÄRMLANDS LÄN</t>
        </is>
      </c>
      <c r="E345" t="inlineStr">
        <is>
          <t>TORSBY</t>
        </is>
      </c>
      <c r="G345" t="n">
        <v>0.2</v>
      </c>
      <c r="H345" t="n">
        <v>0</v>
      </c>
      <c r="I345" t="n">
        <v>0</v>
      </c>
      <c r="J345" t="n">
        <v>0</v>
      </c>
      <c r="K345" t="n">
        <v>0</v>
      </c>
      <c r="L345" t="n">
        <v>0</v>
      </c>
      <c r="M345" t="n">
        <v>0</v>
      </c>
      <c r="N345" t="n">
        <v>0</v>
      </c>
      <c r="O345" t="n">
        <v>0</v>
      </c>
      <c r="P345" t="n">
        <v>0</v>
      </c>
      <c r="Q345" t="n">
        <v>0</v>
      </c>
      <c r="R345" s="2" t="inlineStr"/>
    </row>
    <row r="346" ht="15" customHeight="1">
      <c r="A346" t="inlineStr">
        <is>
          <t>A 53076-2022</t>
        </is>
      </c>
      <c r="B346" s="1" t="n">
        <v>44876.38284722222</v>
      </c>
      <c r="C346" s="1" t="n">
        <v>45976</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23996-2024</t>
        </is>
      </c>
      <c r="B347" s="1" t="n">
        <v>45456</v>
      </c>
      <c r="C347" s="1" t="n">
        <v>45976</v>
      </c>
      <c r="D347" t="inlineStr">
        <is>
          <t>VÄRMLANDS LÄN</t>
        </is>
      </c>
      <c r="E347" t="inlineStr">
        <is>
          <t>TORSBY</t>
        </is>
      </c>
      <c r="F347" t="inlineStr">
        <is>
          <t>Bergvik skog väst AB</t>
        </is>
      </c>
      <c r="G347" t="n">
        <v>0.8</v>
      </c>
      <c r="H347" t="n">
        <v>0</v>
      </c>
      <c r="I347" t="n">
        <v>0</v>
      </c>
      <c r="J347" t="n">
        <v>0</v>
      </c>
      <c r="K347" t="n">
        <v>0</v>
      </c>
      <c r="L347" t="n">
        <v>0</v>
      </c>
      <c r="M347" t="n">
        <v>0</v>
      </c>
      <c r="N347" t="n">
        <v>0</v>
      </c>
      <c r="O347" t="n">
        <v>0</v>
      </c>
      <c r="P347" t="n">
        <v>0</v>
      </c>
      <c r="Q347" t="n">
        <v>0</v>
      </c>
      <c r="R347" s="2" t="inlineStr"/>
    </row>
    <row r="348" ht="15" customHeight="1">
      <c r="A348" t="inlineStr">
        <is>
          <t>A 16329-2025</t>
        </is>
      </c>
      <c r="B348" s="1" t="n">
        <v>45751</v>
      </c>
      <c r="C348" s="1" t="n">
        <v>45976</v>
      </c>
      <c r="D348" t="inlineStr">
        <is>
          <t>VÄRMLANDS LÄN</t>
        </is>
      </c>
      <c r="E348" t="inlineStr">
        <is>
          <t>TORSBY</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45445-2021</t>
        </is>
      </c>
      <c r="B349" s="1" t="n">
        <v>44440</v>
      </c>
      <c r="C349" s="1" t="n">
        <v>45976</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35629-2023</t>
        </is>
      </c>
      <c r="B350" s="1" t="n">
        <v>45147.55939814815</v>
      </c>
      <c r="C350" s="1" t="n">
        <v>45976</v>
      </c>
      <c r="D350" t="inlineStr">
        <is>
          <t>VÄRMLANDS LÄN</t>
        </is>
      </c>
      <c r="E350" t="inlineStr">
        <is>
          <t>TORSBY</t>
        </is>
      </c>
      <c r="G350" t="n">
        <v>10.3</v>
      </c>
      <c r="H350" t="n">
        <v>0</v>
      </c>
      <c r="I350" t="n">
        <v>0</v>
      </c>
      <c r="J350" t="n">
        <v>0</v>
      </c>
      <c r="K350" t="n">
        <v>0</v>
      </c>
      <c r="L350" t="n">
        <v>0</v>
      </c>
      <c r="M350" t="n">
        <v>0</v>
      </c>
      <c r="N350" t="n">
        <v>0</v>
      </c>
      <c r="O350" t="n">
        <v>0</v>
      </c>
      <c r="P350" t="n">
        <v>0</v>
      </c>
      <c r="Q350" t="n">
        <v>0</v>
      </c>
      <c r="R350" s="2" t="inlineStr"/>
    </row>
    <row r="351" ht="15" customHeight="1">
      <c r="A351" t="inlineStr">
        <is>
          <t>A 14145-2022</t>
        </is>
      </c>
      <c r="B351" s="1" t="n">
        <v>44651</v>
      </c>
      <c r="C351" s="1" t="n">
        <v>45976</v>
      </c>
      <c r="D351" t="inlineStr">
        <is>
          <t>VÄRMLANDS LÄN</t>
        </is>
      </c>
      <c r="E351" t="inlineStr">
        <is>
          <t>TORSBY</t>
        </is>
      </c>
      <c r="G351" t="n">
        <v>2</v>
      </c>
      <c r="H351" t="n">
        <v>0</v>
      </c>
      <c r="I351" t="n">
        <v>0</v>
      </c>
      <c r="J351" t="n">
        <v>0</v>
      </c>
      <c r="K351" t="n">
        <v>0</v>
      </c>
      <c r="L351" t="n">
        <v>0</v>
      </c>
      <c r="M351" t="n">
        <v>0</v>
      </c>
      <c r="N351" t="n">
        <v>0</v>
      </c>
      <c r="O351" t="n">
        <v>0</v>
      </c>
      <c r="P351" t="n">
        <v>0</v>
      </c>
      <c r="Q351" t="n">
        <v>0</v>
      </c>
      <c r="R351" s="2" t="inlineStr"/>
    </row>
    <row r="352" ht="15" customHeight="1">
      <c r="A352" t="inlineStr">
        <is>
          <t>A 43052-2021</t>
        </is>
      </c>
      <c r="B352" s="1" t="n">
        <v>44431</v>
      </c>
      <c r="C352" s="1" t="n">
        <v>45976</v>
      </c>
      <c r="D352" t="inlineStr">
        <is>
          <t>VÄRMLANDS LÄN</t>
        </is>
      </c>
      <c r="E352" t="inlineStr">
        <is>
          <t>TORSBY</t>
        </is>
      </c>
      <c r="G352" t="n">
        <v>25.1</v>
      </c>
      <c r="H352" t="n">
        <v>0</v>
      </c>
      <c r="I352" t="n">
        <v>0</v>
      </c>
      <c r="J352" t="n">
        <v>0</v>
      </c>
      <c r="K352" t="n">
        <v>0</v>
      </c>
      <c r="L352" t="n">
        <v>0</v>
      </c>
      <c r="M352" t="n">
        <v>0</v>
      </c>
      <c r="N352" t="n">
        <v>0</v>
      </c>
      <c r="O352" t="n">
        <v>0</v>
      </c>
      <c r="P352" t="n">
        <v>0</v>
      </c>
      <c r="Q352" t="n">
        <v>0</v>
      </c>
      <c r="R352" s="2" t="inlineStr"/>
    </row>
    <row r="353" ht="15" customHeight="1">
      <c r="A353" t="inlineStr">
        <is>
          <t>A 66103-2021</t>
        </is>
      </c>
      <c r="B353" s="1" t="n">
        <v>44517</v>
      </c>
      <c r="C353" s="1" t="n">
        <v>45976</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48159-2021</t>
        </is>
      </c>
      <c r="B354" s="1" t="n">
        <v>44449.51302083334</v>
      </c>
      <c r="C354" s="1" t="n">
        <v>45976</v>
      </c>
      <c r="D354" t="inlineStr">
        <is>
          <t>VÄRMLANDS LÄN</t>
        </is>
      </c>
      <c r="E354" t="inlineStr">
        <is>
          <t>TORSBY</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45976</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57287-2021</t>
        </is>
      </c>
      <c r="B356" s="1" t="n">
        <v>44482</v>
      </c>
      <c r="C356" s="1" t="n">
        <v>45976</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28284-2024</t>
        </is>
      </c>
      <c r="B357" s="1" t="n">
        <v>45477</v>
      </c>
      <c r="C357" s="1" t="n">
        <v>45976</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8910-2021</t>
        </is>
      </c>
      <c r="B358" s="1" t="n">
        <v>44246</v>
      </c>
      <c r="C358" s="1" t="n">
        <v>45976</v>
      </c>
      <c r="D358" t="inlineStr">
        <is>
          <t>VÄRMLANDS LÄN</t>
        </is>
      </c>
      <c r="E358" t="inlineStr">
        <is>
          <t>TORSBY</t>
        </is>
      </c>
      <c r="G358" t="n">
        <v>3.7</v>
      </c>
      <c r="H358" t="n">
        <v>0</v>
      </c>
      <c r="I358" t="n">
        <v>0</v>
      </c>
      <c r="J358" t="n">
        <v>0</v>
      </c>
      <c r="K358" t="n">
        <v>0</v>
      </c>
      <c r="L358" t="n">
        <v>0</v>
      </c>
      <c r="M358" t="n">
        <v>0</v>
      </c>
      <c r="N358" t="n">
        <v>0</v>
      </c>
      <c r="O358" t="n">
        <v>0</v>
      </c>
      <c r="P358" t="n">
        <v>0</v>
      </c>
      <c r="Q358" t="n">
        <v>0</v>
      </c>
      <c r="R358" s="2" t="inlineStr"/>
    </row>
    <row r="359" ht="15" customHeight="1">
      <c r="A359" t="inlineStr">
        <is>
          <t>A 2981-2025</t>
        </is>
      </c>
      <c r="B359" s="1" t="n">
        <v>45678.48844907407</v>
      </c>
      <c r="C359" s="1" t="n">
        <v>45976</v>
      </c>
      <c r="D359" t="inlineStr">
        <is>
          <t>VÄRMLANDS LÄN</t>
        </is>
      </c>
      <c r="E359" t="inlineStr">
        <is>
          <t>TORSBY</t>
        </is>
      </c>
      <c r="G359" t="n">
        <v>4.7</v>
      </c>
      <c r="H359" t="n">
        <v>0</v>
      </c>
      <c r="I359" t="n">
        <v>0</v>
      </c>
      <c r="J359" t="n">
        <v>0</v>
      </c>
      <c r="K359" t="n">
        <v>0</v>
      </c>
      <c r="L359" t="n">
        <v>0</v>
      </c>
      <c r="M359" t="n">
        <v>0</v>
      </c>
      <c r="N359" t="n">
        <v>0</v>
      </c>
      <c r="O359" t="n">
        <v>0</v>
      </c>
      <c r="P359" t="n">
        <v>0</v>
      </c>
      <c r="Q359" t="n">
        <v>0</v>
      </c>
      <c r="R359" s="2" t="inlineStr"/>
    </row>
    <row r="360" ht="15" customHeight="1">
      <c r="A360" t="inlineStr">
        <is>
          <t>A 44517-2022</t>
        </is>
      </c>
      <c r="B360" s="1" t="n">
        <v>44840.43184027778</v>
      </c>
      <c r="C360" s="1" t="n">
        <v>45976</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58951-2022</t>
        </is>
      </c>
      <c r="B361" s="1" t="n">
        <v>44903.65313657407</v>
      </c>
      <c r="C361" s="1" t="n">
        <v>45976</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522-2023</t>
        </is>
      </c>
      <c r="B362" s="1" t="n">
        <v>44930</v>
      </c>
      <c r="C362" s="1" t="n">
        <v>45976</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15465-2024</t>
        </is>
      </c>
      <c r="B363" s="1" t="n">
        <v>45401.47399305556</v>
      </c>
      <c r="C363" s="1" t="n">
        <v>45976</v>
      </c>
      <c r="D363" t="inlineStr">
        <is>
          <t>VÄRMLANDS LÄN</t>
        </is>
      </c>
      <c r="E363" t="inlineStr">
        <is>
          <t>TORSBY</t>
        </is>
      </c>
      <c r="F363" t="inlineStr">
        <is>
          <t>Bergvik skog väst AB</t>
        </is>
      </c>
      <c r="G363" t="n">
        <v>24.6</v>
      </c>
      <c r="H363" t="n">
        <v>0</v>
      </c>
      <c r="I363" t="n">
        <v>0</v>
      </c>
      <c r="J363" t="n">
        <v>0</v>
      </c>
      <c r="K363" t="n">
        <v>0</v>
      </c>
      <c r="L363" t="n">
        <v>0</v>
      </c>
      <c r="M363" t="n">
        <v>0</v>
      </c>
      <c r="N363" t="n">
        <v>0</v>
      </c>
      <c r="O363" t="n">
        <v>0</v>
      </c>
      <c r="P363" t="n">
        <v>0</v>
      </c>
      <c r="Q363" t="n">
        <v>0</v>
      </c>
      <c r="R363" s="2" t="inlineStr"/>
    </row>
    <row r="364" ht="15" customHeight="1">
      <c r="A364" t="inlineStr">
        <is>
          <t>A 48106-2023</t>
        </is>
      </c>
      <c r="B364" s="1" t="n">
        <v>45205.3434837963</v>
      </c>
      <c r="C364" s="1" t="n">
        <v>45976</v>
      </c>
      <c r="D364" t="inlineStr">
        <is>
          <t>VÄRMLANDS LÄN</t>
        </is>
      </c>
      <c r="E364" t="inlineStr">
        <is>
          <t>TORSBY</t>
        </is>
      </c>
      <c r="G364" t="n">
        <v>3.9</v>
      </c>
      <c r="H364" t="n">
        <v>0</v>
      </c>
      <c r="I364" t="n">
        <v>0</v>
      </c>
      <c r="J364" t="n">
        <v>0</v>
      </c>
      <c r="K364" t="n">
        <v>0</v>
      </c>
      <c r="L364" t="n">
        <v>0</v>
      </c>
      <c r="M364" t="n">
        <v>0</v>
      </c>
      <c r="N364" t="n">
        <v>0</v>
      </c>
      <c r="O364" t="n">
        <v>0</v>
      </c>
      <c r="P364" t="n">
        <v>0</v>
      </c>
      <c r="Q364" t="n">
        <v>0</v>
      </c>
      <c r="R364" s="2" t="inlineStr"/>
    </row>
    <row r="365" ht="15" customHeight="1">
      <c r="A365" t="inlineStr">
        <is>
          <t>A 39780-2022</t>
        </is>
      </c>
      <c r="B365" s="1" t="n">
        <v>44819.46672453704</v>
      </c>
      <c r="C365" s="1" t="n">
        <v>45976</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64434-2020</t>
        </is>
      </c>
      <c r="B366" s="1" t="n">
        <v>44168</v>
      </c>
      <c r="C366" s="1" t="n">
        <v>45976</v>
      </c>
      <c r="D366" t="inlineStr">
        <is>
          <t>VÄRMLANDS LÄN</t>
        </is>
      </c>
      <c r="E366" t="inlineStr">
        <is>
          <t>TORSBY</t>
        </is>
      </c>
      <c r="G366" t="n">
        <v>7.7</v>
      </c>
      <c r="H366" t="n">
        <v>0</v>
      </c>
      <c r="I366" t="n">
        <v>0</v>
      </c>
      <c r="J366" t="n">
        <v>0</v>
      </c>
      <c r="K366" t="n">
        <v>0</v>
      </c>
      <c r="L366" t="n">
        <v>0</v>
      </c>
      <c r="M366" t="n">
        <v>0</v>
      </c>
      <c r="N366" t="n">
        <v>0</v>
      </c>
      <c r="O366" t="n">
        <v>0</v>
      </c>
      <c r="P366" t="n">
        <v>0</v>
      </c>
      <c r="Q366" t="n">
        <v>0</v>
      </c>
      <c r="R366" s="2" t="inlineStr"/>
    </row>
    <row r="367" ht="15" customHeight="1">
      <c r="A367" t="inlineStr">
        <is>
          <t>A 49983-2022</t>
        </is>
      </c>
      <c r="B367" s="1" t="n">
        <v>44865</v>
      </c>
      <c r="C367" s="1" t="n">
        <v>45976</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58869-2022</t>
        </is>
      </c>
      <c r="B368" s="1" t="n">
        <v>44903</v>
      </c>
      <c r="C368" s="1" t="n">
        <v>45976</v>
      </c>
      <c r="D368" t="inlineStr">
        <is>
          <t>VÄRMLANDS LÄN</t>
        </is>
      </c>
      <c r="E368" t="inlineStr">
        <is>
          <t>TORSBY</t>
        </is>
      </c>
      <c r="G368" t="n">
        <v>0.4</v>
      </c>
      <c r="H368" t="n">
        <v>0</v>
      </c>
      <c r="I368" t="n">
        <v>0</v>
      </c>
      <c r="J368" t="n">
        <v>0</v>
      </c>
      <c r="K368" t="n">
        <v>0</v>
      </c>
      <c r="L368" t="n">
        <v>0</v>
      </c>
      <c r="M368" t="n">
        <v>0</v>
      </c>
      <c r="N368" t="n">
        <v>0</v>
      </c>
      <c r="O368" t="n">
        <v>0</v>
      </c>
      <c r="P368" t="n">
        <v>0</v>
      </c>
      <c r="Q368" t="n">
        <v>0</v>
      </c>
      <c r="R368" s="2" t="inlineStr"/>
    </row>
    <row r="369" ht="15" customHeight="1">
      <c r="A369" t="inlineStr">
        <is>
          <t>A 30384-2021</t>
        </is>
      </c>
      <c r="B369" s="1" t="n">
        <v>44364.4903587963</v>
      </c>
      <c r="C369" s="1" t="n">
        <v>45976</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45976</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22662-2022</t>
        </is>
      </c>
      <c r="B371" s="1" t="n">
        <v>44714</v>
      </c>
      <c r="C371" s="1" t="n">
        <v>45976</v>
      </c>
      <c r="D371" t="inlineStr">
        <is>
          <t>VÄRMLANDS LÄN</t>
        </is>
      </c>
      <c r="E371" t="inlineStr">
        <is>
          <t>TORSBY</t>
        </is>
      </c>
      <c r="G371" t="n">
        <v>4.8</v>
      </c>
      <c r="H371" t="n">
        <v>0</v>
      </c>
      <c r="I371" t="n">
        <v>0</v>
      </c>
      <c r="J371" t="n">
        <v>0</v>
      </c>
      <c r="K371" t="n">
        <v>0</v>
      </c>
      <c r="L371" t="n">
        <v>0</v>
      </c>
      <c r="M371" t="n">
        <v>0</v>
      </c>
      <c r="N371" t="n">
        <v>0</v>
      </c>
      <c r="O371" t="n">
        <v>0</v>
      </c>
      <c r="P371" t="n">
        <v>0</v>
      </c>
      <c r="Q371" t="n">
        <v>0</v>
      </c>
      <c r="R371" s="2" t="inlineStr"/>
    </row>
    <row r="372" ht="15" customHeight="1">
      <c r="A372" t="inlineStr">
        <is>
          <t>A 4479-2021</t>
        </is>
      </c>
      <c r="B372" s="1" t="n">
        <v>44224</v>
      </c>
      <c r="C372" s="1" t="n">
        <v>45976</v>
      </c>
      <c r="D372" t="inlineStr">
        <is>
          <t>VÄRMLANDS LÄN</t>
        </is>
      </c>
      <c r="E372" t="inlineStr">
        <is>
          <t>TORSBY</t>
        </is>
      </c>
      <c r="G372" t="n">
        <v>2.1</v>
      </c>
      <c r="H372" t="n">
        <v>0</v>
      </c>
      <c r="I372" t="n">
        <v>0</v>
      </c>
      <c r="J372" t="n">
        <v>0</v>
      </c>
      <c r="K372" t="n">
        <v>0</v>
      </c>
      <c r="L372" t="n">
        <v>0</v>
      </c>
      <c r="M372" t="n">
        <v>0</v>
      </c>
      <c r="N372" t="n">
        <v>0</v>
      </c>
      <c r="O372" t="n">
        <v>0</v>
      </c>
      <c r="P372" t="n">
        <v>0</v>
      </c>
      <c r="Q372" t="n">
        <v>0</v>
      </c>
      <c r="R372" s="2" t="inlineStr"/>
    </row>
    <row r="373" ht="15" customHeight="1">
      <c r="A373" t="inlineStr">
        <is>
          <t>A 6863-2023</t>
        </is>
      </c>
      <c r="B373" s="1" t="n">
        <v>44964</v>
      </c>
      <c r="C373" s="1" t="n">
        <v>45976</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19375-2021</t>
        </is>
      </c>
      <c r="B374" s="1" t="n">
        <v>44309.6765625</v>
      </c>
      <c r="C374" s="1" t="n">
        <v>45976</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34378-2022</t>
        </is>
      </c>
      <c r="B375" s="1" t="n">
        <v>44792.48787037037</v>
      </c>
      <c r="C375" s="1" t="n">
        <v>45976</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2130-2024</t>
        </is>
      </c>
      <c r="B376" s="1" t="n">
        <v>45309.51518518518</v>
      </c>
      <c r="C376" s="1" t="n">
        <v>45976</v>
      </c>
      <c r="D376" t="inlineStr">
        <is>
          <t>VÄRMLANDS LÄN</t>
        </is>
      </c>
      <c r="E376" t="inlineStr">
        <is>
          <t>TORSBY</t>
        </is>
      </c>
      <c r="G376" t="n">
        <v>4</v>
      </c>
      <c r="H376" t="n">
        <v>0</v>
      </c>
      <c r="I376" t="n">
        <v>0</v>
      </c>
      <c r="J376" t="n">
        <v>0</v>
      </c>
      <c r="K376" t="n">
        <v>0</v>
      </c>
      <c r="L376" t="n">
        <v>0</v>
      </c>
      <c r="M376" t="n">
        <v>0</v>
      </c>
      <c r="N376" t="n">
        <v>0</v>
      </c>
      <c r="O376" t="n">
        <v>0</v>
      </c>
      <c r="P376" t="n">
        <v>0</v>
      </c>
      <c r="Q376" t="n">
        <v>0</v>
      </c>
      <c r="R376" s="2" t="inlineStr"/>
    </row>
    <row r="377" ht="15" customHeight="1">
      <c r="A377" t="inlineStr">
        <is>
          <t>A 7921-2022</t>
        </is>
      </c>
      <c r="B377" s="1" t="n">
        <v>44608</v>
      </c>
      <c r="C377" s="1" t="n">
        <v>45976</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60167-2020</t>
        </is>
      </c>
      <c r="B378" s="1" t="n">
        <v>44152</v>
      </c>
      <c r="C378" s="1" t="n">
        <v>45976</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65369-2020</t>
        </is>
      </c>
      <c r="B379" s="1" t="n">
        <v>44169</v>
      </c>
      <c r="C379" s="1" t="n">
        <v>45976</v>
      </c>
      <c r="D379" t="inlineStr">
        <is>
          <t>VÄRMLANDS LÄN</t>
        </is>
      </c>
      <c r="E379" t="inlineStr">
        <is>
          <t>TORSBY</t>
        </is>
      </c>
      <c r="G379" t="n">
        <v>32.5</v>
      </c>
      <c r="H379" t="n">
        <v>0</v>
      </c>
      <c r="I379" t="n">
        <v>0</v>
      </c>
      <c r="J379" t="n">
        <v>0</v>
      </c>
      <c r="K379" t="n">
        <v>0</v>
      </c>
      <c r="L379" t="n">
        <v>0</v>
      </c>
      <c r="M379" t="n">
        <v>0</v>
      </c>
      <c r="N379" t="n">
        <v>0</v>
      </c>
      <c r="O379" t="n">
        <v>0</v>
      </c>
      <c r="P379" t="n">
        <v>0</v>
      </c>
      <c r="Q379" t="n">
        <v>0</v>
      </c>
      <c r="R379" s="2" t="inlineStr"/>
    </row>
    <row r="380" ht="15" customHeight="1">
      <c r="A380" t="inlineStr">
        <is>
          <t>A 56430-2024</t>
        </is>
      </c>
      <c r="B380" s="1" t="n">
        <v>45625</v>
      </c>
      <c r="C380" s="1" t="n">
        <v>45976</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61998-2020</t>
        </is>
      </c>
      <c r="B381" s="1" t="n">
        <v>44158</v>
      </c>
      <c r="C381" s="1" t="n">
        <v>45976</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30011-2024</t>
        </is>
      </c>
      <c r="B382" s="1" t="n">
        <v>45488</v>
      </c>
      <c r="C382" s="1" t="n">
        <v>45976</v>
      </c>
      <c r="D382" t="inlineStr">
        <is>
          <t>VÄRMLANDS LÄN</t>
        </is>
      </c>
      <c r="E382" t="inlineStr">
        <is>
          <t>TORSBY</t>
        </is>
      </c>
      <c r="F382" t="inlineStr">
        <is>
          <t>Kommuner</t>
        </is>
      </c>
      <c r="G382" t="n">
        <v>4.7</v>
      </c>
      <c r="H382" t="n">
        <v>0</v>
      </c>
      <c r="I382" t="n">
        <v>0</v>
      </c>
      <c r="J382" t="n">
        <v>0</v>
      </c>
      <c r="K382" t="n">
        <v>0</v>
      </c>
      <c r="L382" t="n">
        <v>0</v>
      </c>
      <c r="M382" t="n">
        <v>0</v>
      </c>
      <c r="N382" t="n">
        <v>0</v>
      </c>
      <c r="O382" t="n">
        <v>0</v>
      </c>
      <c r="P382" t="n">
        <v>0</v>
      </c>
      <c r="Q382" t="n">
        <v>0</v>
      </c>
      <c r="R382" s="2" t="inlineStr"/>
    </row>
    <row r="383" ht="15" customHeight="1">
      <c r="A383" t="inlineStr">
        <is>
          <t>A 24960-2022</t>
        </is>
      </c>
      <c r="B383" s="1" t="n">
        <v>44728</v>
      </c>
      <c r="C383" s="1" t="n">
        <v>45976</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52900-2021</t>
        </is>
      </c>
      <c r="B384" s="1" t="n">
        <v>44467</v>
      </c>
      <c r="C384" s="1" t="n">
        <v>45976</v>
      </c>
      <c r="D384" t="inlineStr">
        <is>
          <t>VÄRMLANDS LÄN</t>
        </is>
      </c>
      <c r="E384" t="inlineStr">
        <is>
          <t>TORSBY</t>
        </is>
      </c>
      <c r="G384" t="n">
        <v>3.8</v>
      </c>
      <c r="H384" t="n">
        <v>0</v>
      </c>
      <c r="I384" t="n">
        <v>0</v>
      </c>
      <c r="J384" t="n">
        <v>0</v>
      </c>
      <c r="K384" t="n">
        <v>0</v>
      </c>
      <c r="L384" t="n">
        <v>0</v>
      </c>
      <c r="M384" t="n">
        <v>0</v>
      </c>
      <c r="N384" t="n">
        <v>0</v>
      </c>
      <c r="O384" t="n">
        <v>0</v>
      </c>
      <c r="P384" t="n">
        <v>0</v>
      </c>
      <c r="Q384" t="n">
        <v>0</v>
      </c>
      <c r="R384" s="2" t="inlineStr"/>
    </row>
    <row r="385" ht="15" customHeight="1">
      <c r="A385" t="inlineStr">
        <is>
          <t>A 34655-2022</t>
        </is>
      </c>
      <c r="B385" s="1" t="n">
        <v>44795</v>
      </c>
      <c r="C385" s="1" t="n">
        <v>45976</v>
      </c>
      <c r="D385" t="inlineStr">
        <is>
          <t>VÄRMLANDS LÄN</t>
        </is>
      </c>
      <c r="E385" t="inlineStr">
        <is>
          <t>TORSBY</t>
        </is>
      </c>
      <c r="G385" t="n">
        <v>12.8</v>
      </c>
      <c r="H385" t="n">
        <v>0</v>
      </c>
      <c r="I385" t="n">
        <v>0</v>
      </c>
      <c r="J385" t="n">
        <v>0</v>
      </c>
      <c r="K385" t="n">
        <v>0</v>
      </c>
      <c r="L385" t="n">
        <v>0</v>
      </c>
      <c r="M385" t="n">
        <v>0</v>
      </c>
      <c r="N385" t="n">
        <v>0</v>
      </c>
      <c r="O385" t="n">
        <v>0</v>
      </c>
      <c r="P385" t="n">
        <v>0</v>
      </c>
      <c r="Q385" t="n">
        <v>0</v>
      </c>
      <c r="R385" s="2" t="inlineStr"/>
    </row>
    <row r="386" ht="15" customHeight="1">
      <c r="A386" t="inlineStr">
        <is>
          <t>A 29509-2022</t>
        </is>
      </c>
      <c r="B386" s="1" t="n">
        <v>44753</v>
      </c>
      <c r="C386" s="1" t="n">
        <v>45976</v>
      </c>
      <c r="D386" t="inlineStr">
        <is>
          <t>VÄRMLANDS LÄN</t>
        </is>
      </c>
      <c r="E386" t="inlineStr">
        <is>
          <t>TORSBY</t>
        </is>
      </c>
      <c r="G386" t="n">
        <v>2.5</v>
      </c>
      <c r="H386" t="n">
        <v>0</v>
      </c>
      <c r="I386" t="n">
        <v>0</v>
      </c>
      <c r="J386" t="n">
        <v>0</v>
      </c>
      <c r="K386" t="n">
        <v>0</v>
      </c>
      <c r="L386" t="n">
        <v>0</v>
      </c>
      <c r="M386" t="n">
        <v>0</v>
      </c>
      <c r="N386" t="n">
        <v>0</v>
      </c>
      <c r="O386" t="n">
        <v>0</v>
      </c>
      <c r="P386" t="n">
        <v>0</v>
      </c>
      <c r="Q386" t="n">
        <v>0</v>
      </c>
      <c r="R386" s="2" t="inlineStr"/>
    </row>
    <row r="387" ht="15" customHeight="1">
      <c r="A387" t="inlineStr">
        <is>
          <t>A 35221-2021</t>
        </is>
      </c>
      <c r="B387" s="1" t="n">
        <v>44384</v>
      </c>
      <c r="C387" s="1" t="n">
        <v>45976</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24696-2023</t>
        </is>
      </c>
      <c r="B388" s="1" t="n">
        <v>45084</v>
      </c>
      <c r="C388" s="1" t="n">
        <v>45976</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32438-2022</t>
        </is>
      </c>
      <c r="B389" s="1" t="n">
        <v>44782</v>
      </c>
      <c r="C389" s="1" t="n">
        <v>45976</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20907-2022</t>
        </is>
      </c>
      <c r="B390" s="1" t="n">
        <v>44701.60076388889</v>
      </c>
      <c r="C390" s="1" t="n">
        <v>45976</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200-2025</t>
        </is>
      </c>
      <c r="B391" s="1" t="n">
        <v>45659.93418981481</v>
      </c>
      <c r="C391" s="1" t="n">
        <v>45976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69281-2021</t>
        </is>
      </c>
      <c r="B392" s="1" t="n">
        <v>44526</v>
      </c>
      <c r="C392" s="1" t="n">
        <v>45976</v>
      </c>
      <c r="D392" t="inlineStr">
        <is>
          <t>VÄRMLANDS LÄN</t>
        </is>
      </c>
      <c r="E392" t="inlineStr">
        <is>
          <t>TORSBY</t>
        </is>
      </c>
      <c r="G392" t="n">
        <v>7.5</v>
      </c>
      <c r="H392" t="n">
        <v>0</v>
      </c>
      <c r="I392" t="n">
        <v>0</v>
      </c>
      <c r="J392" t="n">
        <v>0</v>
      </c>
      <c r="K392" t="n">
        <v>0</v>
      </c>
      <c r="L392" t="n">
        <v>0</v>
      </c>
      <c r="M392" t="n">
        <v>0</v>
      </c>
      <c r="N392" t="n">
        <v>0</v>
      </c>
      <c r="O392" t="n">
        <v>0</v>
      </c>
      <c r="P392" t="n">
        <v>0</v>
      </c>
      <c r="Q392" t="n">
        <v>0</v>
      </c>
      <c r="R392" s="2" t="inlineStr"/>
    </row>
    <row r="393" ht="15" customHeight="1">
      <c r="A393" t="inlineStr">
        <is>
          <t>A 41995-2022</t>
        </is>
      </c>
      <c r="B393" s="1" t="n">
        <v>44830</v>
      </c>
      <c r="C393" s="1" t="n">
        <v>45976</v>
      </c>
      <c r="D393" t="inlineStr">
        <is>
          <t>VÄRMLANDS LÄN</t>
        </is>
      </c>
      <c r="E393" t="inlineStr">
        <is>
          <t>TORSBY</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45303-2022</t>
        </is>
      </c>
      <c r="B394" s="1" t="n">
        <v>44844</v>
      </c>
      <c r="C394" s="1" t="n">
        <v>45976</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5050-2021</t>
        </is>
      </c>
      <c r="B395" s="1" t="n">
        <v>44228.5018287037</v>
      </c>
      <c r="C395" s="1" t="n">
        <v>45976</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42646-2021</t>
        </is>
      </c>
      <c r="B396" s="1" t="n">
        <v>44428.45663194444</v>
      </c>
      <c r="C396" s="1" t="n">
        <v>45976</v>
      </c>
      <c r="D396" t="inlineStr">
        <is>
          <t>VÄRMLANDS LÄN</t>
        </is>
      </c>
      <c r="E396" t="inlineStr">
        <is>
          <t>TORSBY</t>
        </is>
      </c>
      <c r="F396" t="inlineStr">
        <is>
          <t>Bergvik skog väst AB</t>
        </is>
      </c>
      <c r="G396" t="n">
        <v>21.4</v>
      </c>
      <c r="H396" t="n">
        <v>0</v>
      </c>
      <c r="I396" t="n">
        <v>0</v>
      </c>
      <c r="J396" t="n">
        <v>0</v>
      </c>
      <c r="K396" t="n">
        <v>0</v>
      </c>
      <c r="L396" t="n">
        <v>0</v>
      </c>
      <c r="M396" t="n">
        <v>0</v>
      </c>
      <c r="N396" t="n">
        <v>0</v>
      </c>
      <c r="O396" t="n">
        <v>0</v>
      </c>
      <c r="P396" t="n">
        <v>0</v>
      </c>
      <c r="Q396" t="n">
        <v>0</v>
      </c>
      <c r="R396" s="2" t="inlineStr"/>
    </row>
    <row r="397" ht="15" customHeight="1">
      <c r="A397" t="inlineStr">
        <is>
          <t>A 34581-2022</t>
        </is>
      </c>
      <c r="B397" s="1" t="n">
        <v>44792</v>
      </c>
      <c r="C397" s="1" t="n">
        <v>45976</v>
      </c>
      <c r="D397" t="inlineStr">
        <is>
          <t>VÄRMLANDS LÄN</t>
        </is>
      </c>
      <c r="E397" t="inlineStr">
        <is>
          <t>TORSBY</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37754-2022</t>
        </is>
      </c>
      <c r="B398" s="1" t="n">
        <v>44810</v>
      </c>
      <c r="C398" s="1" t="n">
        <v>45976</v>
      </c>
      <c r="D398" t="inlineStr">
        <is>
          <t>VÄRMLANDS LÄN</t>
        </is>
      </c>
      <c r="E398" t="inlineStr">
        <is>
          <t>TORSBY</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27686-2022</t>
        </is>
      </c>
      <c r="B399" s="1" t="n">
        <v>44743.43273148148</v>
      </c>
      <c r="C399" s="1" t="n">
        <v>45976</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70775-2021</t>
        </is>
      </c>
      <c r="B400" s="1" t="n">
        <v>44537</v>
      </c>
      <c r="C400" s="1" t="n">
        <v>45976</v>
      </c>
      <c r="D400" t="inlineStr">
        <is>
          <t>VÄRMLANDS LÄN</t>
        </is>
      </c>
      <c r="E400" t="inlineStr">
        <is>
          <t>TORSBY</t>
        </is>
      </c>
      <c r="G400" t="n">
        <v>0.3</v>
      </c>
      <c r="H400" t="n">
        <v>0</v>
      </c>
      <c r="I400" t="n">
        <v>0</v>
      </c>
      <c r="J400" t="n">
        <v>0</v>
      </c>
      <c r="K400" t="n">
        <v>0</v>
      </c>
      <c r="L400" t="n">
        <v>0</v>
      </c>
      <c r="M400" t="n">
        <v>0</v>
      </c>
      <c r="N400" t="n">
        <v>0</v>
      </c>
      <c r="O400" t="n">
        <v>0</v>
      </c>
      <c r="P400" t="n">
        <v>0</v>
      </c>
      <c r="Q400" t="n">
        <v>0</v>
      </c>
      <c r="R400" s="2" t="inlineStr"/>
    </row>
    <row r="401" ht="15" customHeight="1">
      <c r="A401" t="inlineStr">
        <is>
          <t>A 55808-2024</t>
        </is>
      </c>
      <c r="B401" s="1" t="n">
        <v>45622</v>
      </c>
      <c r="C401" s="1" t="n">
        <v>45976</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47141-2022</t>
        </is>
      </c>
      <c r="B402" s="1" t="n">
        <v>44852.56548611111</v>
      </c>
      <c r="C402" s="1" t="n">
        <v>45976</v>
      </c>
      <c r="D402" t="inlineStr">
        <is>
          <t>VÄRMLANDS LÄN</t>
        </is>
      </c>
      <c r="E402" t="inlineStr">
        <is>
          <t>TORSBY</t>
        </is>
      </c>
      <c r="G402" t="n">
        <v>2.6</v>
      </c>
      <c r="H402" t="n">
        <v>0</v>
      </c>
      <c r="I402" t="n">
        <v>0</v>
      </c>
      <c r="J402" t="n">
        <v>0</v>
      </c>
      <c r="K402" t="n">
        <v>0</v>
      </c>
      <c r="L402" t="n">
        <v>0</v>
      </c>
      <c r="M402" t="n">
        <v>0</v>
      </c>
      <c r="N402" t="n">
        <v>0</v>
      </c>
      <c r="O402" t="n">
        <v>0</v>
      </c>
      <c r="P402" t="n">
        <v>0</v>
      </c>
      <c r="Q402" t="n">
        <v>0</v>
      </c>
      <c r="R402" s="2" t="inlineStr"/>
    </row>
    <row r="403" ht="15" customHeight="1">
      <c r="A403" t="inlineStr">
        <is>
          <t>A 16789-2024</t>
        </is>
      </c>
      <c r="B403" s="1" t="n">
        <v>45411</v>
      </c>
      <c r="C403" s="1" t="n">
        <v>45976</v>
      </c>
      <c r="D403" t="inlineStr">
        <is>
          <t>VÄRMLANDS LÄN</t>
        </is>
      </c>
      <c r="E403" t="inlineStr">
        <is>
          <t>TORSBY</t>
        </is>
      </c>
      <c r="G403" t="n">
        <v>2.4</v>
      </c>
      <c r="H403" t="n">
        <v>0</v>
      </c>
      <c r="I403" t="n">
        <v>0</v>
      </c>
      <c r="J403" t="n">
        <v>0</v>
      </c>
      <c r="K403" t="n">
        <v>0</v>
      </c>
      <c r="L403" t="n">
        <v>0</v>
      </c>
      <c r="M403" t="n">
        <v>0</v>
      </c>
      <c r="N403" t="n">
        <v>0</v>
      </c>
      <c r="O403" t="n">
        <v>0</v>
      </c>
      <c r="P403" t="n">
        <v>0</v>
      </c>
      <c r="Q403" t="n">
        <v>0</v>
      </c>
      <c r="R403" s="2" t="inlineStr"/>
    </row>
    <row r="404" ht="15" customHeight="1">
      <c r="A404" t="inlineStr">
        <is>
          <t>A 35909-2021</t>
        </is>
      </c>
      <c r="B404" s="1" t="n">
        <v>44387</v>
      </c>
      <c r="C404" s="1" t="n">
        <v>45976</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42834-2024</t>
        </is>
      </c>
      <c r="B405" s="1" t="n">
        <v>45566</v>
      </c>
      <c r="C405" s="1" t="n">
        <v>45976</v>
      </c>
      <c r="D405" t="inlineStr">
        <is>
          <t>VÄRMLANDS LÄN</t>
        </is>
      </c>
      <c r="E405" t="inlineStr">
        <is>
          <t>TORSBY</t>
        </is>
      </c>
      <c r="G405" t="n">
        <v>5.8</v>
      </c>
      <c r="H405" t="n">
        <v>0</v>
      </c>
      <c r="I405" t="n">
        <v>0</v>
      </c>
      <c r="J405" t="n">
        <v>0</v>
      </c>
      <c r="K405" t="n">
        <v>0</v>
      </c>
      <c r="L405" t="n">
        <v>0</v>
      </c>
      <c r="M405" t="n">
        <v>0</v>
      </c>
      <c r="N405" t="n">
        <v>0</v>
      </c>
      <c r="O405" t="n">
        <v>0</v>
      </c>
      <c r="P405" t="n">
        <v>0</v>
      </c>
      <c r="Q405" t="n">
        <v>0</v>
      </c>
      <c r="R405" s="2" t="inlineStr"/>
    </row>
    <row r="406" ht="15" customHeight="1">
      <c r="A406" t="inlineStr">
        <is>
          <t>A 40221-2022</t>
        </is>
      </c>
      <c r="B406" s="1" t="n">
        <v>44820.6512037037</v>
      </c>
      <c r="C406" s="1" t="n">
        <v>45976</v>
      </c>
      <c r="D406" t="inlineStr">
        <is>
          <t>VÄRMLANDS LÄN</t>
        </is>
      </c>
      <c r="E406" t="inlineStr">
        <is>
          <t>TORSBY</t>
        </is>
      </c>
      <c r="G406" t="n">
        <v>2.1</v>
      </c>
      <c r="H406" t="n">
        <v>0</v>
      </c>
      <c r="I406" t="n">
        <v>0</v>
      </c>
      <c r="J406" t="n">
        <v>0</v>
      </c>
      <c r="K406" t="n">
        <v>0</v>
      </c>
      <c r="L406" t="n">
        <v>0</v>
      </c>
      <c r="M406" t="n">
        <v>0</v>
      </c>
      <c r="N406" t="n">
        <v>0</v>
      </c>
      <c r="O406" t="n">
        <v>0</v>
      </c>
      <c r="P406" t="n">
        <v>0</v>
      </c>
      <c r="Q406" t="n">
        <v>0</v>
      </c>
      <c r="R406" s="2" t="inlineStr"/>
    </row>
    <row r="407" ht="15" customHeight="1">
      <c r="A407" t="inlineStr">
        <is>
          <t>A 18684-2025</t>
        </is>
      </c>
      <c r="B407" s="1" t="n">
        <v>45763.61064814815</v>
      </c>
      <c r="C407" s="1" t="n">
        <v>45976</v>
      </c>
      <c r="D407" t="inlineStr">
        <is>
          <t>VÄRMLANDS LÄN</t>
        </is>
      </c>
      <c r="E407" t="inlineStr">
        <is>
          <t>TORSBY</t>
        </is>
      </c>
      <c r="G407" t="n">
        <v>4.5</v>
      </c>
      <c r="H407" t="n">
        <v>0</v>
      </c>
      <c r="I407" t="n">
        <v>0</v>
      </c>
      <c r="J407" t="n">
        <v>0</v>
      </c>
      <c r="K407" t="n">
        <v>0</v>
      </c>
      <c r="L407" t="n">
        <v>0</v>
      </c>
      <c r="M407" t="n">
        <v>0</v>
      </c>
      <c r="N407" t="n">
        <v>0</v>
      </c>
      <c r="O407" t="n">
        <v>0</v>
      </c>
      <c r="P407" t="n">
        <v>0</v>
      </c>
      <c r="Q407" t="n">
        <v>0</v>
      </c>
      <c r="R407" s="2" t="inlineStr"/>
    </row>
    <row r="408" ht="15" customHeight="1">
      <c r="A408" t="inlineStr">
        <is>
          <t>A 73521-2021</t>
        </is>
      </c>
      <c r="B408" s="1" t="n">
        <v>44551</v>
      </c>
      <c r="C408" s="1" t="n">
        <v>45976</v>
      </c>
      <c r="D408" t="inlineStr">
        <is>
          <t>VÄRMLANDS LÄN</t>
        </is>
      </c>
      <c r="E408" t="inlineStr">
        <is>
          <t>TORSBY</t>
        </is>
      </c>
      <c r="G408" t="n">
        <v>2.3</v>
      </c>
      <c r="H408" t="n">
        <v>0</v>
      </c>
      <c r="I408" t="n">
        <v>0</v>
      </c>
      <c r="J408" t="n">
        <v>0</v>
      </c>
      <c r="K408" t="n">
        <v>0</v>
      </c>
      <c r="L408" t="n">
        <v>0</v>
      </c>
      <c r="M408" t="n">
        <v>0</v>
      </c>
      <c r="N408" t="n">
        <v>0</v>
      </c>
      <c r="O408" t="n">
        <v>0</v>
      </c>
      <c r="P408" t="n">
        <v>0</v>
      </c>
      <c r="Q408" t="n">
        <v>0</v>
      </c>
      <c r="R408" s="2" t="inlineStr"/>
    </row>
    <row r="409" ht="15" customHeight="1">
      <c r="A409" t="inlineStr">
        <is>
          <t>A 46343-2024</t>
        </is>
      </c>
      <c r="B409" s="1" t="n">
        <v>45582</v>
      </c>
      <c r="C409" s="1" t="n">
        <v>45976</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3678-2024</t>
        </is>
      </c>
      <c r="B410" s="1" t="n">
        <v>45321.37844907407</v>
      </c>
      <c r="C410" s="1" t="n">
        <v>45976</v>
      </c>
      <c r="D410" t="inlineStr">
        <is>
          <t>VÄRMLANDS LÄN</t>
        </is>
      </c>
      <c r="E410" t="inlineStr">
        <is>
          <t>TORSBY</t>
        </is>
      </c>
      <c r="G410" t="n">
        <v>24.6</v>
      </c>
      <c r="H410" t="n">
        <v>0</v>
      </c>
      <c r="I410" t="n">
        <v>0</v>
      </c>
      <c r="J410" t="n">
        <v>0</v>
      </c>
      <c r="K410" t="n">
        <v>0</v>
      </c>
      <c r="L410" t="n">
        <v>0</v>
      </c>
      <c r="M410" t="n">
        <v>0</v>
      </c>
      <c r="N410" t="n">
        <v>0</v>
      </c>
      <c r="O410" t="n">
        <v>0</v>
      </c>
      <c r="P410" t="n">
        <v>0</v>
      </c>
      <c r="Q410" t="n">
        <v>0</v>
      </c>
      <c r="R410" s="2" t="inlineStr"/>
    </row>
    <row r="411" ht="15" customHeight="1">
      <c r="A411" t="inlineStr">
        <is>
          <t>A 45134-2024</t>
        </is>
      </c>
      <c r="B411" s="1" t="n">
        <v>45575</v>
      </c>
      <c r="C411" s="1" t="n">
        <v>45976</v>
      </c>
      <c r="D411" t="inlineStr">
        <is>
          <t>VÄRMLANDS LÄN</t>
        </is>
      </c>
      <c r="E411" t="inlineStr">
        <is>
          <t>TORSBY</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27588-2024</t>
        </is>
      </c>
      <c r="B412" s="1" t="n">
        <v>45474</v>
      </c>
      <c r="C412" s="1" t="n">
        <v>45976</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51386-2023</t>
        </is>
      </c>
      <c r="B413" s="1" t="n">
        <v>45219.65394675926</v>
      </c>
      <c r="C413" s="1" t="n">
        <v>45976</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45976</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29720-2022</t>
        </is>
      </c>
      <c r="B415" s="1" t="n">
        <v>44755</v>
      </c>
      <c r="C415" s="1" t="n">
        <v>45976</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54885-2022</t>
        </is>
      </c>
      <c r="B416" s="1" t="n">
        <v>44886</v>
      </c>
      <c r="C416" s="1" t="n">
        <v>45976</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39648-2023</t>
        </is>
      </c>
      <c r="B417" s="1" t="n">
        <v>45167.5528587963</v>
      </c>
      <c r="C417" s="1" t="n">
        <v>45976</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44327-2022</t>
        </is>
      </c>
      <c r="B418" s="1" t="n">
        <v>44839</v>
      </c>
      <c r="C418" s="1" t="n">
        <v>45976</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48712-2022</t>
        </is>
      </c>
      <c r="B419" s="1" t="n">
        <v>44859.49574074074</v>
      </c>
      <c r="C419" s="1" t="n">
        <v>45976</v>
      </c>
      <c r="D419" t="inlineStr">
        <is>
          <t>VÄRMLANDS LÄN</t>
        </is>
      </c>
      <c r="E419" t="inlineStr">
        <is>
          <t>TORSBY</t>
        </is>
      </c>
      <c r="F419" t="inlineStr">
        <is>
          <t>Bergvik skog väst AB</t>
        </is>
      </c>
      <c r="G419" t="n">
        <v>22.7</v>
      </c>
      <c r="H419" t="n">
        <v>0</v>
      </c>
      <c r="I419" t="n">
        <v>0</v>
      </c>
      <c r="J419" t="n">
        <v>0</v>
      </c>
      <c r="K419" t="n">
        <v>0</v>
      </c>
      <c r="L419" t="n">
        <v>0</v>
      </c>
      <c r="M419" t="n">
        <v>0</v>
      </c>
      <c r="N419" t="n">
        <v>0</v>
      </c>
      <c r="O419" t="n">
        <v>0</v>
      </c>
      <c r="P419" t="n">
        <v>0</v>
      </c>
      <c r="Q419" t="n">
        <v>0</v>
      </c>
      <c r="R419" s="2" t="inlineStr"/>
    </row>
    <row r="420" ht="15" customHeight="1">
      <c r="A420" t="inlineStr">
        <is>
          <t>A 10329-2025</t>
        </is>
      </c>
      <c r="B420" s="1" t="n">
        <v>45720</v>
      </c>
      <c r="C420" s="1" t="n">
        <v>45976</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10343-2025</t>
        </is>
      </c>
      <c r="B421" s="1" t="n">
        <v>45720</v>
      </c>
      <c r="C421" s="1" t="n">
        <v>45976</v>
      </c>
      <c r="D421" t="inlineStr">
        <is>
          <t>VÄRMLANDS LÄN</t>
        </is>
      </c>
      <c r="E421" t="inlineStr">
        <is>
          <t>TORSBY</t>
        </is>
      </c>
      <c r="G421" t="n">
        <v>3.1</v>
      </c>
      <c r="H421" t="n">
        <v>0</v>
      </c>
      <c r="I421" t="n">
        <v>0</v>
      </c>
      <c r="J421" t="n">
        <v>0</v>
      </c>
      <c r="K421" t="n">
        <v>0</v>
      </c>
      <c r="L421" t="n">
        <v>0</v>
      </c>
      <c r="M421" t="n">
        <v>0</v>
      </c>
      <c r="N421" t="n">
        <v>0</v>
      </c>
      <c r="O421" t="n">
        <v>0</v>
      </c>
      <c r="P421" t="n">
        <v>0</v>
      </c>
      <c r="Q421" t="n">
        <v>0</v>
      </c>
      <c r="R421" s="2" t="inlineStr"/>
    </row>
    <row r="422" ht="15" customHeight="1">
      <c r="A422" t="inlineStr">
        <is>
          <t>A 35606-2022</t>
        </is>
      </c>
      <c r="B422" s="1" t="n">
        <v>44799</v>
      </c>
      <c r="C422" s="1" t="n">
        <v>45976</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52901-2022</t>
        </is>
      </c>
      <c r="B423" s="1" t="n">
        <v>44872</v>
      </c>
      <c r="C423" s="1" t="n">
        <v>45976</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47077-2023</t>
        </is>
      </c>
      <c r="B424" s="1" t="n">
        <v>45201</v>
      </c>
      <c r="C424" s="1" t="n">
        <v>45976</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29375-2024</t>
        </is>
      </c>
      <c r="B425" s="1" t="n">
        <v>45483.58712962963</v>
      </c>
      <c r="C425" s="1" t="n">
        <v>45976</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20745-2023</t>
        </is>
      </c>
      <c r="B426" s="1" t="n">
        <v>45058</v>
      </c>
      <c r="C426" s="1" t="n">
        <v>45976</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70926-2021</t>
        </is>
      </c>
      <c r="B427" s="1" t="n">
        <v>44538</v>
      </c>
      <c r="C427" s="1" t="n">
        <v>45976</v>
      </c>
      <c r="D427" t="inlineStr">
        <is>
          <t>VÄRMLANDS LÄN</t>
        </is>
      </c>
      <c r="E427" t="inlineStr">
        <is>
          <t>TORSBY</t>
        </is>
      </c>
      <c r="G427" t="n">
        <v>6.5</v>
      </c>
      <c r="H427" t="n">
        <v>0</v>
      </c>
      <c r="I427" t="n">
        <v>0</v>
      </c>
      <c r="J427" t="n">
        <v>0</v>
      </c>
      <c r="K427" t="n">
        <v>0</v>
      </c>
      <c r="L427" t="n">
        <v>0</v>
      </c>
      <c r="M427" t="n">
        <v>0</v>
      </c>
      <c r="N427" t="n">
        <v>0</v>
      </c>
      <c r="O427" t="n">
        <v>0</v>
      </c>
      <c r="P427" t="n">
        <v>0</v>
      </c>
      <c r="Q427" t="n">
        <v>0</v>
      </c>
      <c r="R427" s="2" t="inlineStr"/>
    </row>
    <row r="428" ht="15" customHeight="1">
      <c r="A428" t="inlineStr">
        <is>
          <t>A 38298-2021</t>
        </is>
      </c>
      <c r="B428" s="1" t="n">
        <v>44406</v>
      </c>
      <c r="C428" s="1" t="n">
        <v>45976</v>
      </c>
      <c r="D428" t="inlineStr">
        <is>
          <t>VÄRMLANDS LÄN</t>
        </is>
      </c>
      <c r="E428" t="inlineStr">
        <is>
          <t>TORSBY</t>
        </is>
      </c>
      <c r="G428" t="n">
        <v>3.3</v>
      </c>
      <c r="H428" t="n">
        <v>0</v>
      </c>
      <c r="I428" t="n">
        <v>0</v>
      </c>
      <c r="J428" t="n">
        <v>0</v>
      </c>
      <c r="K428" t="n">
        <v>0</v>
      </c>
      <c r="L428" t="n">
        <v>0</v>
      </c>
      <c r="M428" t="n">
        <v>0</v>
      </c>
      <c r="N428" t="n">
        <v>0</v>
      </c>
      <c r="O428" t="n">
        <v>0</v>
      </c>
      <c r="P428" t="n">
        <v>0</v>
      </c>
      <c r="Q428" t="n">
        <v>0</v>
      </c>
      <c r="R428" s="2" t="inlineStr"/>
    </row>
    <row r="429" ht="15" customHeight="1">
      <c r="A429" t="inlineStr">
        <is>
          <t>A 72200-2021</t>
        </is>
      </c>
      <c r="B429" s="1" t="n">
        <v>44544.67358796296</v>
      </c>
      <c r="C429" s="1" t="n">
        <v>45976</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15450-2023</t>
        </is>
      </c>
      <c r="B430" s="1" t="n">
        <v>45020</v>
      </c>
      <c r="C430" s="1" t="n">
        <v>45976</v>
      </c>
      <c r="D430" t="inlineStr">
        <is>
          <t>VÄRMLANDS LÄN</t>
        </is>
      </c>
      <c r="E430" t="inlineStr">
        <is>
          <t>TORSBY</t>
        </is>
      </c>
      <c r="G430" t="n">
        <v>3.8</v>
      </c>
      <c r="H430" t="n">
        <v>0</v>
      </c>
      <c r="I430" t="n">
        <v>0</v>
      </c>
      <c r="J430" t="n">
        <v>0</v>
      </c>
      <c r="K430" t="n">
        <v>0</v>
      </c>
      <c r="L430" t="n">
        <v>0</v>
      </c>
      <c r="M430" t="n">
        <v>0</v>
      </c>
      <c r="N430" t="n">
        <v>0</v>
      </c>
      <c r="O430" t="n">
        <v>0</v>
      </c>
      <c r="P430" t="n">
        <v>0</v>
      </c>
      <c r="Q430" t="n">
        <v>0</v>
      </c>
      <c r="R430" s="2" t="inlineStr"/>
    </row>
    <row r="431" ht="15" customHeight="1">
      <c r="A431" t="inlineStr">
        <is>
          <t>A 52592-2024</t>
        </is>
      </c>
      <c r="B431" s="1" t="n">
        <v>45609</v>
      </c>
      <c r="C431" s="1" t="n">
        <v>45976</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18877-2022</t>
        </is>
      </c>
      <c r="B432" s="1" t="n">
        <v>44690.52556712963</v>
      </c>
      <c r="C432" s="1" t="n">
        <v>45976</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34694-2021</t>
        </is>
      </c>
      <c r="B433" s="1" t="n">
        <v>44382.61398148148</v>
      </c>
      <c r="C433" s="1" t="n">
        <v>45976</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24717-2024</t>
        </is>
      </c>
      <c r="B434" s="1" t="n">
        <v>45460</v>
      </c>
      <c r="C434" s="1" t="n">
        <v>45976</v>
      </c>
      <c r="D434" t="inlineStr">
        <is>
          <t>VÄRMLANDS LÄN</t>
        </is>
      </c>
      <c r="E434" t="inlineStr">
        <is>
          <t>TORSBY</t>
        </is>
      </c>
      <c r="F434" t="inlineStr">
        <is>
          <t>Övriga statliga verk och myndigheter</t>
        </is>
      </c>
      <c r="G434" t="n">
        <v>2.1</v>
      </c>
      <c r="H434" t="n">
        <v>0</v>
      </c>
      <c r="I434" t="n">
        <v>0</v>
      </c>
      <c r="J434" t="n">
        <v>0</v>
      </c>
      <c r="K434" t="n">
        <v>0</v>
      </c>
      <c r="L434" t="n">
        <v>0</v>
      </c>
      <c r="M434" t="n">
        <v>0</v>
      </c>
      <c r="N434" t="n">
        <v>0</v>
      </c>
      <c r="O434" t="n">
        <v>0</v>
      </c>
      <c r="P434" t="n">
        <v>0</v>
      </c>
      <c r="Q434" t="n">
        <v>0</v>
      </c>
      <c r="R434" s="2" t="inlineStr"/>
    </row>
    <row r="435" ht="15" customHeight="1">
      <c r="A435" t="inlineStr">
        <is>
          <t>A 47083-2021</t>
        </is>
      </c>
      <c r="B435" s="1" t="n">
        <v>44446.66114583334</v>
      </c>
      <c r="C435" s="1" t="n">
        <v>45976</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47098-2021</t>
        </is>
      </c>
      <c r="B436" s="1" t="n">
        <v>44446.67429398148</v>
      </c>
      <c r="C436" s="1" t="n">
        <v>45976</v>
      </c>
      <c r="D436" t="inlineStr">
        <is>
          <t>VÄRMLANDS LÄN</t>
        </is>
      </c>
      <c r="E436" t="inlineStr">
        <is>
          <t>TORSBY</t>
        </is>
      </c>
      <c r="G436" t="n">
        <v>1.8</v>
      </c>
      <c r="H436" t="n">
        <v>0</v>
      </c>
      <c r="I436" t="n">
        <v>0</v>
      </c>
      <c r="J436" t="n">
        <v>0</v>
      </c>
      <c r="K436" t="n">
        <v>0</v>
      </c>
      <c r="L436" t="n">
        <v>0</v>
      </c>
      <c r="M436" t="n">
        <v>0</v>
      </c>
      <c r="N436" t="n">
        <v>0</v>
      </c>
      <c r="O436" t="n">
        <v>0</v>
      </c>
      <c r="P436" t="n">
        <v>0</v>
      </c>
      <c r="Q436" t="n">
        <v>0</v>
      </c>
      <c r="R436" s="2" t="inlineStr"/>
    </row>
    <row r="437" ht="15" customHeight="1">
      <c r="A437" t="inlineStr">
        <is>
          <t>A 33182-2021</t>
        </is>
      </c>
      <c r="B437" s="1" t="n">
        <v>44376</v>
      </c>
      <c r="C437" s="1" t="n">
        <v>45976</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6317-2025</t>
        </is>
      </c>
      <c r="B438" s="1" t="n">
        <v>45698.74826388889</v>
      </c>
      <c r="C438" s="1" t="n">
        <v>45976</v>
      </c>
      <c r="D438" t="inlineStr">
        <is>
          <t>VÄRMLANDS LÄN</t>
        </is>
      </c>
      <c r="E438" t="inlineStr">
        <is>
          <t>TORSBY</t>
        </is>
      </c>
      <c r="G438" t="n">
        <v>5.8</v>
      </c>
      <c r="H438" t="n">
        <v>0</v>
      </c>
      <c r="I438" t="n">
        <v>0</v>
      </c>
      <c r="J438" t="n">
        <v>0</v>
      </c>
      <c r="K438" t="n">
        <v>0</v>
      </c>
      <c r="L438" t="n">
        <v>0</v>
      </c>
      <c r="M438" t="n">
        <v>0</v>
      </c>
      <c r="N438" t="n">
        <v>0</v>
      </c>
      <c r="O438" t="n">
        <v>0</v>
      </c>
      <c r="P438" t="n">
        <v>0</v>
      </c>
      <c r="Q438" t="n">
        <v>0</v>
      </c>
      <c r="R438" s="2" t="inlineStr"/>
    </row>
    <row r="439" ht="15" customHeight="1">
      <c r="A439" t="inlineStr">
        <is>
          <t>A 24170-2023</t>
        </is>
      </c>
      <c r="B439" s="1" t="n">
        <v>45079</v>
      </c>
      <c r="C439" s="1" t="n">
        <v>45976</v>
      </c>
      <c r="D439" t="inlineStr">
        <is>
          <t>VÄRMLANDS LÄN</t>
        </is>
      </c>
      <c r="E439" t="inlineStr">
        <is>
          <t>TORSBY</t>
        </is>
      </c>
      <c r="F439" t="inlineStr">
        <is>
          <t>Bergvik skog väst AB</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49717-2023</t>
        </is>
      </c>
      <c r="B440" s="1" t="n">
        <v>45208</v>
      </c>
      <c r="C440" s="1" t="n">
        <v>45976</v>
      </c>
      <c r="D440" t="inlineStr">
        <is>
          <t>VÄRMLANDS LÄN</t>
        </is>
      </c>
      <c r="E440" t="inlineStr">
        <is>
          <t>TORSBY</t>
        </is>
      </c>
      <c r="G440" t="n">
        <v>5.9</v>
      </c>
      <c r="H440" t="n">
        <v>0</v>
      </c>
      <c r="I440" t="n">
        <v>0</v>
      </c>
      <c r="J440" t="n">
        <v>0</v>
      </c>
      <c r="K440" t="n">
        <v>0</v>
      </c>
      <c r="L440" t="n">
        <v>0</v>
      </c>
      <c r="M440" t="n">
        <v>0</v>
      </c>
      <c r="N440" t="n">
        <v>0</v>
      </c>
      <c r="O440" t="n">
        <v>0</v>
      </c>
      <c r="P440" t="n">
        <v>0</v>
      </c>
      <c r="Q440" t="n">
        <v>0</v>
      </c>
      <c r="R440" s="2" t="inlineStr"/>
    </row>
    <row r="441" ht="15" customHeight="1">
      <c r="A441" t="inlineStr">
        <is>
          <t>A 29495-2021</t>
        </is>
      </c>
      <c r="B441" s="1" t="n">
        <v>44361</v>
      </c>
      <c r="C441" s="1" t="n">
        <v>45976</v>
      </c>
      <c r="D441" t="inlineStr">
        <is>
          <t>VÄRMLANDS LÄN</t>
        </is>
      </c>
      <c r="E441" t="inlineStr">
        <is>
          <t>TORSBY</t>
        </is>
      </c>
      <c r="F441" t="inlineStr">
        <is>
          <t>Övriga Aktiebolag</t>
        </is>
      </c>
      <c r="G441" t="n">
        <v>38.2</v>
      </c>
      <c r="H441" t="n">
        <v>0</v>
      </c>
      <c r="I441" t="n">
        <v>0</v>
      </c>
      <c r="J441" t="n">
        <v>0</v>
      </c>
      <c r="K441" t="n">
        <v>0</v>
      </c>
      <c r="L441" t="n">
        <v>0</v>
      </c>
      <c r="M441" t="n">
        <v>0</v>
      </c>
      <c r="N441" t="n">
        <v>0</v>
      </c>
      <c r="O441" t="n">
        <v>0</v>
      </c>
      <c r="P441" t="n">
        <v>0</v>
      </c>
      <c r="Q441" t="n">
        <v>0</v>
      </c>
      <c r="R441" s="2" t="inlineStr"/>
    </row>
    <row r="442" ht="15" customHeight="1">
      <c r="A442" t="inlineStr">
        <is>
          <t>A 73324-2021</t>
        </is>
      </c>
      <c r="B442" s="1" t="n">
        <v>44550</v>
      </c>
      <c r="C442" s="1" t="n">
        <v>45976</v>
      </c>
      <c r="D442" t="inlineStr">
        <is>
          <t>VÄRMLANDS LÄN</t>
        </is>
      </c>
      <c r="E442" t="inlineStr">
        <is>
          <t>TORSBY</t>
        </is>
      </c>
      <c r="G442" t="n">
        <v>9.9</v>
      </c>
      <c r="H442" t="n">
        <v>0</v>
      </c>
      <c r="I442" t="n">
        <v>0</v>
      </c>
      <c r="J442" t="n">
        <v>0</v>
      </c>
      <c r="K442" t="n">
        <v>0</v>
      </c>
      <c r="L442" t="n">
        <v>0</v>
      </c>
      <c r="M442" t="n">
        <v>0</v>
      </c>
      <c r="N442" t="n">
        <v>0</v>
      </c>
      <c r="O442" t="n">
        <v>0</v>
      </c>
      <c r="P442" t="n">
        <v>0</v>
      </c>
      <c r="Q442" t="n">
        <v>0</v>
      </c>
      <c r="R442" s="2" t="inlineStr"/>
    </row>
    <row r="443" ht="15" customHeight="1">
      <c r="A443" t="inlineStr">
        <is>
          <t>A 5830-2023</t>
        </is>
      </c>
      <c r="B443" s="1" t="n">
        <v>44963</v>
      </c>
      <c r="C443" s="1" t="n">
        <v>45976</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29142-2022</t>
        </is>
      </c>
      <c r="B444" s="1" t="n">
        <v>44750</v>
      </c>
      <c r="C444" s="1" t="n">
        <v>45976</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59080-2024</t>
        </is>
      </c>
      <c r="B445" s="1" t="n">
        <v>45637</v>
      </c>
      <c r="C445" s="1" t="n">
        <v>45976</v>
      </c>
      <c r="D445" t="inlineStr">
        <is>
          <t>VÄRMLANDS LÄN</t>
        </is>
      </c>
      <c r="E445" t="inlineStr">
        <is>
          <t>TORSBY</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17754-2025</t>
        </is>
      </c>
      <c r="B446" s="1" t="n">
        <v>45758</v>
      </c>
      <c r="C446" s="1" t="n">
        <v>45976</v>
      </c>
      <c r="D446" t="inlineStr">
        <is>
          <t>VÄRMLANDS LÄN</t>
        </is>
      </c>
      <c r="E446" t="inlineStr">
        <is>
          <t>TORSBY</t>
        </is>
      </c>
      <c r="F446" t="inlineStr">
        <is>
          <t>Bergvik skog väst AB</t>
        </is>
      </c>
      <c r="G446" t="n">
        <v>3.5</v>
      </c>
      <c r="H446" t="n">
        <v>0</v>
      </c>
      <c r="I446" t="n">
        <v>0</v>
      </c>
      <c r="J446" t="n">
        <v>0</v>
      </c>
      <c r="K446" t="n">
        <v>0</v>
      </c>
      <c r="L446" t="n">
        <v>0</v>
      </c>
      <c r="M446" t="n">
        <v>0</v>
      </c>
      <c r="N446" t="n">
        <v>0</v>
      </c>
      <c r="O446" t="n">
        <v>0</v>
      </c>
      <c r="P446" t="n">
        <v>0</v>
      </c>
      <c r="Q446" t="n">
        <v>0</v>
      </c>
      <c r="R446" s="2" t="inlineStr"/>
    </row>
    <row r="447" ht="15" customHeight="1">
      <c r="A447" t="inlineStr">
        <is>
          <t>A 43169-2021</t>
        </is>
      </c>
      <c r="B447" s="1" t="n">
        <v>44431</v>
      </c>
      <c r="C447" s="1" t="n">
        <v>45976</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40470-2023</t>
        </is>
      </c>
      <c r="B448" s="1" t="n">
        <v>45170</v>
      </c>
      <c r="C448" s="1" t="n">
        <v>45976</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22158-2022</t>
        </is>
      </c>
      <c r="B449" s="1" t="n">
        <v>44708</v>
      </c>
      <c r="C449" s="1" t="n">
        <v>45976</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60428-2021</t>
        </is>
      </c>
      <c r="B450" s="1" t="n">
        <v>44496.42145833333</v>
      </c>
      <c r="C450" s="1" t="n">
        <v>45976</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24261-2024</t>
        </is>
      </c>
      <c r="B451" s="1" t="n">
        <v>45457</v>
      </c>
      <c r="C451" s="1" t="n">
        <v>45976</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73442-2021</t>
        </is>
      </c>
      <c r="B452" s="1" t="n">
        <v>44551.55063657407</v>
      </c>
      <c r="C452" s="1" t="n">
        <v>45976</v>
      </c>
      <c r="D452" t="inlineStr">
        <is>
          <t>VÄRMLANDS LÄN</t>
        </is>
      </c>
      <c r="E452" t="inlineStr">
        <is>
          <t>TORSBY</t>
        </is>
      </c>
      <c r="F452" t="inlineStr">
        <is>
          <t>Bergvik skog väst AB</t>
        </is>
      </c>
      <c r="G452" t="n">
        <v>4.1</v>
      </c>
      <c r="H452" t="n">
        <v>0</v>
      </c>
      <c r="I452" t="n">
        <v>0</v>
      </c>
      <c r="J452" t="n">
        <v>0</v>
      </c>
      <c r="K452" t="n">
        <v>0</v>
      </c>
      <c r="L452" t="n">
        <v>0</v>
      </c>
      <c r="M452" t="n">
        <v>0</v>
      </c>
      <c r="N452" t="n">
        <v>0</v>
      </c>
      <c r="O452" t="n">
        <v>0</v>
      </c>
      <c r="P452" t="n">
        <v>0</v>
      </c>
      <c r="Q452" t="n">
        <v>0</v>
      </c>
      <c r="R452" s="2" t="inlineStr"/>
    </row>
    <row r="453" ht="15" customHeight="1">
      <c r="A453" t="inlineStr">
        <is>
          <t>A 20175-2022</t>
        </is>
      </c>
      <c r="B453" s="1" t="n">
        <v>44698</v>
      </c>
      <c r="C453" s="1" t="n">
        <v>45976</v>
      </c>
      <c r="D453" t="inlineStr">
        <is>
          <t>VÄRMLANDS LÄN</t>
        </is>
      </c>
      <c r="E453" t="inlineStr">
        <is>
          <t>TORSBY</t>
        </is>
      </c>
      <c r="G453" t="n">
        <v>2.8</v>
      </c>
      <c r="H453" t="n">
        <v>0</v>
      </c>
      <c r="I453" t="n">
        <v>0</v>
      </c>
      <c r="J453" t="n">
        <v>0</v>
      </c>
      <c r="K453" t="n">
        <v>0</v>
      </c>
      <c r="L453" t="n">
        <v>0</v>
      </c>
      <c r="M453" t="n">
        <v>0</v>
      </c>
      <c r="N453" t="n">
        <v>0</v>
      </c>
      <c r="O453" t="n">
        <v>0</v>
      </c>
      <c r="P453" t="n">
        <v>0</v>
      </c>
      <c r="Q453" t="n">
        <v>0</v>
      </c>
      <c r="R453" s="2" t="inlineStr"/>
    </row>
    <row r="454" ht="15" customHeight="1">
      <c r="A454" t="inlineStr">
        <is>
          <t>A 23011-2022</t>
        </is>
      </c>
      <c r="B454" s="1" t="n">
        <v>44719.35471064815</v>
      </c>
      <c r="C454" s="1" t="n">
        <v>45976</v>
      </c>
      <c r="D454" t="inlineStr">
        <is>
          <t>VÄRMLANDS LÄN</t>
        </is>
      </c>
      <c r="E454" t="inlineStr">
        <is>
          <t>TORSBY</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10583-2023</t>
        </is>
      </c>
      <c r="B455" s="1" t="n">
        <v>44988.36435185185</v>
      </c>
      <c r="C455" s="1" t="n">
        <v>45976</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39260-2021</t>
        </is>
      </c>
      <c r="B456" s="1" t="n">
        <v>44413</v>
      </c>
      <c r="C456" s="1" t="n">
        <v>45976</v>
      </c>
      <c r="D456" t="inlineStr">
        <is>
          <t>VÄRMLANDS LÄN</t>
        </is>
      </c>
      <c r="E456" t="inlineStr">
        <is>
          <t>TORSBY</t>
        </is>
      </c>
      <c r="G456" t="n">
        <v>4.7</v>
      </c>
      <c r="H456" t="n">
        <v>0</v>
      </c>
      <c r="I456" t="n">
        <v>0</v>
      </c>
      <c r="J456" t="n">
        <v>0</v>
      </c>
      <c r="K456" t="n">
        <v>0</v>
      </c>
      <c r="L456" t="n">
        <v>0</v>
      </c>
      <c r="M456" t="n">
        <v>0</v>
      </c>
      <c r="N456" t="n">
        <v>0</v>
      </c>
      <c r="O456" t="n">
        <v>0</v>
      </c>
      <c r="P456" t="n">
        <v>0</v>
      </c>
      <c r="Q456" t="n">
        <v>0</v>
      </c>
      <c r="R456" s="2" t="inlineStr"/>
    </row>
    <row r="457" ht="15" customHeight="1">
      <c r="A457" t="inlineStr">
        <is>
          <t>A 1092-2025</t>
        </is>
      </c>
      <c r="B457" s="1" t="n">
        <v>45666.6333912037</v>
      </c>
      <c r="C457" s="1" t="n">
        <v>45976</v>
      </c>
      <c r="D457" t="inlineStr">
        <is>
          <t>VÄRMLANDS LÄN</t>
        </is>
      </c>
      <c r="E457" t="inlineStr">
        <is>
          <t>TORSBY</t>
        </is>
      </c>
      <c r="G457" t="n">
        <v>2.6</v>
      </c>
      <c r="H457" t="n">
        <v>0</v>
      </c>
      <c r="I457" t="n">
        <v>0</v>
      </c>
      <c r="J457" t="n">
        <v>0</v>
      </c>
      <c r="K457" t="n">
        <v>0</v>
      </c>
      <c r="L457" t="n">
        <v>0</v>
      </c>
      <c r="M457" t="n">
        <v>0</v>
      </c>
      <c r="N457" t="n">
        <v>0</v>
      </c>
      <c r="O457" t="n">
        <v>0</v>
      </c>
      <c r="P457" t="n">
        <v>0</v>
      </c>
      <c r="Q457" t="n">
        <v>0</v>
      </c>
      <c r="R457" s="2" t="inlineStr"/>
    </row>
    <row r="458" ht="15" customHeight="1">
      <c r="A458" t="inlineStr">
        <is>
          <t>A 22463-2021</t>
        </is>
      </c>
      <c r="B458" s="1" t="n">
        <v>44326.67366898148</v>
      </c>
      <c r="C458" s="1" t="n">
        <v>45976</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33338-2024</t>
        </is>
      </c>
      <c r="B459" s="1" t="n">
        <v>45519</v>
      </c>
      <c r="C459" s="1" t="n">
        <v>45976</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23823-2022</t>
        </is>
      </c>
      <c r="B460" s="1" t="n">
        <v>44722</v>
      </c>
      <c r="C460" s="1" t="n">
        <v>45976</v>
      </c>
      <c r="D460" t="inlineStr">
        <is>
          <t>VÄRMLANDS LÄN</t>
        </is>
      </c>
      <c r="E460" t="inlineStr">
        <is>
          <t>TORSBY</t>
        </is>
      </c>
      <c r="G460" t="n">
        <v>2.4</v>
      </c>
      <c r="H460" t="n">
        <v>0</v>
      </c>
      <c r="I460" t="n">
        <v>0</v>
      </c>
      <c r="J460" t="n">
        <v>0</v>
      </c>
      <c r="K460" t="n">
        <v>0</v>
      </c>
      <c r="L460" t="n">
        <v>0</v>
      </c>
      <c r="M460" t="n">
        <v>0</v>
      </c>
      <c r="N460" t="n">
        <v>0</v>
      </c>
      <c r="O460" t="n">
        <v>0</v>
      </c>
      <c r="P460" t="n">
        <v>0</v>
      </c>
      <c r="Q460" t="n">
        <v>0</v>
      </c>
      <c r="R460" s="2" t="inlineStr"/>
    </row>
    <row r="461" ht="15" customHeight="1">
      <c r="A461" t="inlineStr">
        <is>
          <t>A 63032-2023</t>
        </is>
      </c>
      <c r="B461" s="1" t="n">
        <v>45272.72728009259</v>
      </c>
      <c r="C461" s="1" t="n">
        <v>45976</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39567-2024</t>
        </is>
      </c>
      <c r="B462" s="1" t="n">
        <v>45552.3584375</v>
      </c>
      <c r="C462" s="1" t="n">
        <v>45976</v>
      </c>
      <c r="D462" t="inlineStr">
        <is>
          <t>VÄRMLANDS LÄN</t>
        </is>
      </c>
      <c r="E462" t="inlineStr">
        <is>
          <t>TORSBY</t>
        </is>
      </c>
      <c r="F462" t="inlineStr">
        <is>
          <t>Bergvik skog väst AB</t>
        </is>
      </c>
      <c r="G462" t="n">
        <v>5.1</v>
      </c>
      <c r="H462" t="n">
        <v>0</v>
      </c>
      <c r="I462" t="n">
        <v>0</v>
      </c>
      <c r="J462" t="n">
        <v>0</v>
      </c>
      <c r="K462" t="n">
        <v>0</v>
      </c>
      <c r="L462" t="n">
        <v>0</v>
      </c>
      <c r="M462" t="n">
        <v>0</v>
      </c>
      <c r="N462" t="n">
        <v>0</v>
      </c>
      <c r="O462" t="n">
        <v>0</v>
      </c>
      <c r="P462" t="n">
        <v>0</v>
      </c>
      <c r="Q462" t="n">
        <v>0</v>
      </c>
      <c r="R462" s="2" t="inlineStr"/>
    </row>
    <row r="463" ht="15" customHeight="1">
      <c r="A463" t="inlineStr">
        <is>
          <t>A 6646-2024</t>
        </is>
      </c>
      <c r="B463" s="1" t="n">
        <v>45341.66643518519</v>
      </c>
      <c r="C463" s="1" t="n">
        <v>45976</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6648-2024</t>
        </is>
      </c>
      <c r="B464" s="1" t="n">
        <v>45341</v>
      </c>
      <c r="C464" s="1" t="n">
        <v>45976</v>
      </c>
      <c r="D464" t="inlineStr">
        <is>
          <t>VÄRMLANDS LÄN</t>
        </is>
      </c>
      <c r="E464" t="inlineStr">
        <is>
          <t>TORSBY</t>
        </is>
      </c>
      <c r="G464" t="n">
        <v>3.9</v>
      </c>
      <c r="H464" t="n">
        <v>0</v>
      </c>
      <c r="I464" t="n">
        <v>0</v>
      </c>
      <c r="J464" t="n">
        <v>0</v>
      </c>
      <c r="K464" t="n">
        <v>0</v>
      </c>
      <c r="L464" t="n">
        <v>0</v>
      </c>
      <c r="M464" t="n">
        <v>0</v>
      </c>
      <c r="N464" t="n">
        <v>0</v>
      </c>
      <c r="O464" t="n">
        <v>0</v>
      </c>
      <c r="P464" t="n">
        <v>0</v>
      </c>
      <c r="Q464" t="n">
        <v>0</v>
      </c>
      <c r="R464" s="2" t="inlineStr"/>
    </row>
    <row r="465" ht="15" customHeight="1">
      <c r="A465" t="inlineStr">
        <is>
          <t>A 34500-2024</t>
        </is>
      </c>
      <c r="B465" s="1" t="n">
        <v>45525</v>
      </c>
      <c r="C465" s="1" t="n">
        <v>45976</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56634-2024</t>
        </is>
      </c>
      <c r="B466" s="1" t="n">
        <v>45625.68491898148</v>
      </c>
      <c r="C466" s="1" t="n">
        <v>45976</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1512-2025</t>
        </is>
      </c>
      <c r="B467" s="1" t="n">
        <v>45670.45255787037</v>
      </c>
      <c r="C467" s="1" t="n">
        <v>45976</v>
      </c>
      <c r="D467" t="inlineStr">
        <is>
          <t>VÄRMLANDS LÄN</t>
        </is>
      </c>
      <c r="E467" t="inlineStr">
        <is>
          <t>TORSBY</t>
        </is>
      </c>
      <c r="G467" t="n">
        <v>2.7</v>
      </c>
      <c r="H467" t="n">
        <v>0</v>
      </c>
      <c r="I467" t="n">
        <v>0</v>
      </c>
      <c r="J467" t="n">
        <v>0</v>
      </c>
      <c r="K467" t="n">
        <v>0</v>
      </c>
      <c r="L467" t="n">
        <v>0</v>
      </c>
      <c r="M467" t="n">
        <v>0</v>
      </c>
      <c r="N467" t="n">
        <v>0</v>
      </c>
      <c r="O467" t="n">
        <v>0</v>
      </c>
      <c r="P467" t="n">
        <v>0</v>
      </c>
      <c r="Q467" t="n">
        <v>0</v>
      </c>
      <c r="R467" s="2" t="inlineStr"/>
    </row>
    <row r="468" ht="15" customHeight="1">
      <c r="A468" t="inlineStr">
        <is>
          <t>A 64432-2023</t>
        </is>
      </c>
      <c r="B468" s="1" t="n">
        <v>45280.67184027778</v>
      </c>
      <c r="C468" s="1" t="n">
        <v>45976</v>
      </c>
      <c r="D468" t="inlineStr">
        <is>
          <t>VÄRMLANDS LÄN</t>
        </is>
      </c>
      <c r="E468" t="inlineStr">
        <is>
          <t>TORSBY</t>
        </is>
      </c>
      <c r="G468" t="n">
        <v>3</v>
      </c>
      <c r="H468" t="n">
        <v>0</v>
      </c>
      <c r="I468" t="n">
        <v>0</v>
      </c>
      <c r="J468" t="n">
        <v>0</v>
      </c>
      <c r="K468" t="n">
        <v>0</v>
      </c>
      <c r="L468" t="n">
        <v>0</v>
      </c>
      <c r="M468" t="n">
        <v>0</v>
      </c>
      <c r="N468" t="n">
        <v>0</v>
      </c>
      <c r="O468" t="n">
        <v>0</v>
      </c>
      <c r="P468" t="n">
        <v>0</v>
      </c>
      <c r="Q468" t="n">
        <v>0</v>
      </c>
      <c r="R468" s="2" t="inlineStr"/>
    </row>
    <row r="469" ht="15" customHeight="1">
      <c r="A469" t="inlineStr">
        <is>
          <t>A 41841-2023</t>
        </is>
      </c>
      <c r="B469" s="1" t="n">
        <v>45176.60436342593</v>
      </c>
      <c r="C469" s="1" t="n">
        <v>45976</v>
      </c>
      <c r="D469" t="inlineStr">
        <is>
          <t>VÄRMLANDS LÄN</t>
        </is>
      </c>
      <c r="E469" t="inlineStr">
        <is>
          <t>TORSBY</t>
        </is>
      </c>
      <c r="G469" t="n">
        <v>6.3</v>
      </c>
      <c r="H469" t="n">
        <v>0</v>
      </c>
      <c r="I469" t="n">
        <v>0</v>
      </c>
      <c r="J469" t="n">
        <v>0</v>
      </c>
      <c r="K469" t="n">
        <v>0</v>
      </c>
      <c r="L469" t="n">
        <v>0</v>
      </c>
      <c r="M469" t="n">
        <v>0</v>
      </c>
      <c r="N469" t="n">
        <v>0</v>
      </c>
      <c r="O469" t="n">
        <v>0</v>
      </c>
      <c r="P469" t="n">
        <v>0</v>
      </c>
      <c r="Q469" t="n">
        <v>0</v>
      </c>
      <c r="R469" s="2" t="inlineStr"/>
    </row>
    <row r="470" ht="15" customHeight="1">
      <c r="A470" t="inlineStr">
        <is>
          <t>A 13285-2025</t>
        </is>
      </c>
      <c r="B470" s="1" t="n">
        <v>45735</v>
      </c>
      <c r="C470" s="1" t="n">
        <v>45976</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6713-2023</t>
        </is>
      </c>
      <c r="B471" s="1" t="n">
        <v>44960</v>
      </c>
      <c r="C471" s="1" t="n">
        <v>45976</v>
      </c>
      <c r="D471" t="inlineStr">
        <is>
          <t>VÄRMLANDS LÄN</t>
        </is>
      </c>
      <c r="E471" t="inlineStr">
        <is>
          <t>TORSBY</t>
        </is>
      </c>
      <c r="G471" t="n">
        <v>4.2</v>
      </c>
      <c r="H471" t="n">
        <v>0</v>
      </c>
      <c r="I471" t="n">
        <v>0</v>
      </c>
      <c r="J471" t="n">
        <v>0</v>
      </c>
      <c r="K471" t="n">
        <v>0</v>
      </c>
      <c r="L471" t="n">
        <v>0</v>
      </c>
      <c r="M471" t="n">
        <v>0</v>
      </c>
      <c r="N471" t="n">
        <v>0</v>
      </c>
      <c r="O471" t="n">
        <v>0</v>
      </c>
      <c r="P471" t="n">
        <v>0</v>
      </c>
      <c r="Q471" t="n">
        <v>0</v>
      </c>
      <c r="R471" s="2" t="inlineStr"/>
    </row>
    <row r="472" ht="15" customHeight="1">
      <c r="A472" t="inlineStr">
        <is>
          <t>A 1275-2024</t>
        </is>
      </c>
      <c r="B472" s="1" t="n">
        <v>45302</v>
      </c>
      <c r="C472" s="1" t="n">
        <v>45976</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6708-2023</t>
        </is>
      </c>
      <c r="B473" s="1" t="n">
        <v>44960</v>
      </c>
      <c r="C473" s="1" t="n">
        <v>45976</v>
      </c>
      <c r="D473" t="inlineStr">
        <is>
          <t>VÄRMLANDS LÄN</t>
        </is>
      </c>
      <c r="E473" t="inlineStr">
        <is>
          <t>TORSBY</t>
        </is>
      </c>
      <c r="G473" t="n">
        <v>3</v>
      </c>
      <c r="H473" t="n">
        <v>0</v>
      </c>
      <c r="I473" t="n">
        <v>0</v>
      </c>
      <c r="J473" t="n">
        <v>0</v>
      </c>
      <c r="K473" t="n">
        <v>0</v>
      </c>
      <c r="L473" t="n">
        <v>0</v>
      </c>
      <c r="M473" t="n">
        <v>0</v>
      </c>
      <c r="N473" t="n">
        <v>0</v>
      </c>
      <c r="O473" t="n">
        <v>0</v>
      </c>
      <c r="P473" t="n">
        <v>0</v>
      </c>
      <c r="Q473" t="n">
        <v>0</v>
      </c>
      <c r="R473" s="2" t="inlineStr"/>
    </row>
    <row r="474" ht="15" customHeight="1">
      <c r="A474" t="inlineStr">
        <is>
          <t>A 6711-2023</t>
        </is>
      </c>
      <c r="B474" s="1" t="n">
        <v>44960</v>
      </c>
      <c r="C474" s="1" t="n">
        <v>45976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6715-2023</t>
        </is>
      </c>
      <c r="B475" s="1" t="n">
        <v>44960</v>
      </c>
      <c r="C475" s="1" t="n">
        <v>45976</v>
      </c>
      <c r="D475" t="inlineStr">
        <is>
          <t>VÄRMLANDS LÄN</t>
        </is>
      </c>
      <c r="E475" t="inlineStr">
        <is>
          <t>TORSBY</t>
        </is>
      </c>
      <c r="G475" t="n">
        <v>4.8</v>
      </c>
      <c r="H475" t="n">
        <v>0</v>
      </c>
      <c r="I475" t="n">
        <v>0</v>
      </c>
      <c r="J475" t="n">
        <v>0</v>
      </c>
      <c r="K475" t="n">
        <v>0</v>
      </c>
      <c r="L475" t="n">
        <v>0</v>
      </c>
      <c r="M475" t="n">
        <v>0</v>
      </c>
      <c r="N475" t="n">
        <v>0</v>
      </c>
      <c r="O475" t="n">
        <v>0</v>
      </c>
      <c r="P475" t="n">
        <v>0</v>
      </c>
      <c r="Q475" t="n">
        <v>0</v>
      </c>
      <c r="R475" s="2" t="inlineStr"/>
    </row>
    <row r="476" ht="15" customHeight="1">
      <c r="A476" t="inlineStr">
        <is>
          <t>A 30074-2024</t>
        </is>
      </c>
      <c r="B476" s="1" t="n">
        <v>45489</v>
      </c>
      <c r="C476" s="1" t="n">
        <v>45976</v>
      </c>
      <c r="D476" t="inlineStr">
        <is>
          <t>VÄRMLANDS LÄN</t>
        </is>
      </c>
      <c r="E476" t="inlineStr">
        <is>
          <t>TORSBY</t>
        </is>
      </c>
      <c r="F476" t="inlineStr">
        <is>
          <t>Kyrkan</t>
        </is>
      </c>
      <c r="G476" t="n">
        <v>6.5</v>
      </c>
      <c r="H476" t="n">
        <v>0</v>
      </c>
      <c r="I476" t="n">
        <v>0</v>
      </c>
      <c r="J476" t="n">
        <v>0</v>
      </c>
      <c r="K476" t="n">
        <v>0</v>
      </c>
      <c r="L476" t="n">
        <v>0</v>
      </c>
      <c r="M476" t="n">
        <v>0</v>
      </c>
      <c r="N476" t="n">
        <v>0</v>
      </c>
      <c r="O476" t="n">
        <v>0</v>
      </c>
      <c r="P476" t="n">
        <v>0</v>
      </c>
      <c r="Q476" t="n">
        <v>0</v>
      </c>
      <c r="R476" s="2" t="inlineStr"/>
    </row>
    <row r="477" ht="15" customHeight="1">
      <c r="A477" t="inlineStr">
        <is>
          <t>A 63409-2023</t>
        </is>
      </c>
      <c r="B477" s="1" t="n">
        <v>45274.51719907407</v>
      </c>
      <c r="C477" s="1" t="n">
        <v>45976</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12051-2024</t>
        </is>
      </c>
      <c r="B478" s="1" t="n">
        <v>45377</v>
      </c>
      <c r="C478" s="1" t="n">
        <v>45976</v>
      </c>
      <c r="D478" t="inlineStr">
        <is>
          <t>VÄRMLANDS LÄN</t>
        </is>
      </c>
      <c r="E478" t="inlineStr">
        <is>
          <t>TORSBY</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73553-2021</t>
        </is>
      </c>
      <c r="B479" s="1" t="n">
        <v>44551</v>
      </c>
      <c r="C479" s="1" t="n">
        <v>45976</v>
      </c>
      <c r="D479" t="inlineStr">
        <is>
          <t>VÄRMLANDS LÄN</t>
        </is>
      </c>
      <c r="E479" t="inlineStr">
        <is>
          <t>TORSBY</t>
        </is>
      </c>
      <c r="G479" t="n">
        <v>5.1</v>
      </c>
      <c r="H479" t="n">
        <v>0</v>
      </c>
      <c r="I479" t="n">
        <v>0</v>
      </c>
      <c r="J479" t="n">
        <v>0</v>
      </c>
      <c r="K479" t="n">
        <v>0</v>
      </c>
      <c r="L479" t="n">
        <v>0</v>
      </c>
      <c r="M479" t="n">
        <v>0</v>
      </c>
      <c r="N479" t="n">
        <v>0</v>
      </c>
      <c r="O479" t="n">
        <v>0</v>
      </c>
      <c r="P479" t="n">
        <v>0</v>
      </c>
      <c r="Q479" t="n">
        <v>0</v>
      </c>
      <c r="R479" s="2" t="inlineStr"/>
    </row>
    <row r="480" ht="15" customHeight="1">
      <c r="A480" t="inlineStr">
        <is>
          <t>A 36498-2025</t>
        </is>
      </c>
      <c r="B480" s="1" t="n">
        <v>45869</v>
      </c>
      <c r="C480" s="1" t="n">
        <v>45976</v>
      </c>
      <c r="D480" t="inlineStr">
        <is>
          <t>VÄRMLANDS LÄN</t>
        </is>
      </c>
      <c r="E480" t="inlineStr">
        <is>
          <t>TORSBY</t>
        </is>
      </c>
      <c r="F480" t="inlineStr">
        <is>
          <t>Bergvik skog väst AB</t>
        </is>
      </c>
      <c r="G480" t="n">
        <v>10.4</v>
      </c>
      <c r="H480" t="n">
        <v>0</v>
      </c>
      <c r="I480" t="n">
        <v>0</v>
      </c>
      <c r="J480" t="n">
        <v>0</v>
      </c>
      <c r="K480" t="n">
        <v>0</v>
      </c>
      <c r="L480" t="n">
        <v>0</v>
      </c>
      <c r="M480" t="n">
        <v>0</v>
      </c>
      <c r="N480" t="n">
        <v>0</v>
      </c>
      <c r="O480" t="n">
        <v>0</v>
      </c>
      <c r="P480" t="n">
        <v>0</v>
      </c>
      <c r="Q480" t="n">
        <v>0</v>
      </c>
      <c r="R480" s="2" t="inlineStr"/>
    </row>
    <row r="481" ht="15" customHeight="1">
      <c r="A481" t="inlineStr">
        <is>
          <t>A 56815-2023</t>
        </is>
      </c>
      <c r="B481" s="1" t="n">
        <v>45244</v>
      </c>
      <c r="C481" s="1" t="n">
        <v>45976</v>
      </c>
      <c r="D481" t="inlineStr">
        <is>
          <t>VÄRMLANDS LÄN</t>
        </is>
      </c>
      <c r="E481" t="inlineStr">
        <is>
          <t>TORSBY</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36500-2025</t>
        </is>
      </c>
      <c r="B482" s="1" t="n">
        <v>45869</v>
      </c>
      <c r="C482" s="1" t="n">
        <v>45976</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69241-2020</t>
        </is>
      </c>
      <c r="B483" s="1" t="n">
        <v>44192.85814814815</v>
      </c>
      <c r="C483" s="1" t="n">
        <v>45976</v>
      </c>
      <c r="D483" t="inlineStr">
        <is>
          <t>VÄRMLANDS LÄN</t>
        </is>
      </c>
      <c r="E483" t="inlineStr">
        <is>
          <t>TORSBY</t>
        </is>
      </c>
      <c r="G483" t="n">
        <v>2.3</v>
      </c>
      <c r="H483" t="n">
        <v>0</v>
      </c>
      <c r="I483" t="n">
        <v>0</v>
      </c>
      <c r="J483" t="n">
        <v>0</v>
      </c>
      <c r="K483" t="n">
        <v>0</v>
      </c>
      <c r="L483" t="n">
        <v>0</v>
      </c>
      <c r="M483" t="n">
        <v>0</v>
      </c>
      <c r="N483" t="n">
        <v>0</v>
      </c>
      <c r="O483" t="n">
        <v>0</v>
      </c>
      <c r="P483" t="n">
        <v>0</v>
      </c>
      <c r="Q483" t="n">
        <v>0</v>
      </c>
      <c r="R483" s="2" t="inlineStr"/>
    </row>
    <row r="484" ht="15" customHeight="1">
      <c r="A484" t="inlineStr">
        <is>
          <t>A 65713-2021</t>
        </is>
      </c>
      <c r="B484" s="1" t="n">
        <v>44516</v>
      </c>
      <c r="C484" s="1" t="n">
        <v>45976</v>
      </c>
      <c r="D484" t="inlineStr">
        <is>
          <t>VÄRMLANDS LÄN</t>
        </is>
      </c>
      <c r="E484" t="inlineStr">
        <is>
          <t>TORSBY</t>
        </is>
      </c>
      <c r="G484" t="n">
        <v>7</v>
      </c>
      <c r="H484" t="n">
        <v>0</v>
      </c>
      <c r="I484" t="n">
        <v>0</v>
      </c>
      <c r="J484" t="n">
        <v>0</v>
      </c>
      <c r="K484" t="n">
        <v>0</v>
      </c>
      <c r="L484" t="n">
        <v>0</v>
      </c>
      <c r="M484" t="n">
        <v>0</v>
      </c>
      <c r="N484" t="n">
        <v>0</v>
      </c>
      <c r="O484" t="n">
        <v>0</v>
      </c>
      <c r="P484" t="n">
        <v>0</v>
      </c>
      <c r="Q484" t="n">
        <v>0</v>
      </c>
      <c r="R484" s="2" t="inlineStr"/>
    </row>
    <row r="485" ht="15" customHeight="1">
      <c r="A485" t="inlineStr">
        <is>
          <t>A 18099-2022</t>
        </is>
      </c>
      <c r="B485" s="1" t="n">
        <v>44684</v>
      </c>
      <c r="C485" s="1" t="n">
        <v>45976</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54306-2024</t>
        </is>
      </c>
      <c r="B486" s="1" t="n">
        <v>45617</v>
      </c>
      <c r="C486" s="1" t="n">
        <v>45976</v>
      </c>
      <c r="D486" t="inlineStr">
        <is>
          <t>VÄRMLANDS LÄN</t>
        </is>
      </c>
      <c r="E486" t="inlineStr">
        <is>
          <t>TORSBY</t>
        </is>
      </c>
      <c r="F486" t="inlineStr">
        <is>
          <t>Bergvik skog väst AB</t>
        </is>
      </c>
      <c r="G486" t="n">
        <v>5.7</v>
      </c>
      <c r="H486" t="n">
        <v>0</v>
      </c>
      <c r="I486" t="n">
        <v>0</v>
      </c>
      <c r="J486" t="n">
        <v>0</v>
      </c>
      <c r="K486" t="n">
        <v>0</v>
      </c>
      <c r="L486" t="n">
        <v>0</v>
      </c>
      <c r="M486" t="n">
        <v>0</v>
      </c>
      <c r="N486" t="n">
        <v>0</v>
      </c>
      <c r="O486" t="n">
        <v>0</v>
      </c>
      <c r="P486" t="n">
        <v>0</v>
      </c>
      <c r="Q486" t="n">
        <v>0</v>
      </c>
      <c r="R486" s="2" t="inlineStr"/>
    </row>
    <row r="487" ht="15" customHeight="1">
      <c r="A487" t="inlineStr">
        <is>
          <t>A 33656-2023</t>
        </is>
      </c>
      <c r="B487" s="1" t="n">
        <v>45132.57922453704</v>
      </c>
      <c r="C487" s="1" t="n">
        <v>45976</v>
      </c>
      <c r="D487" t="inlineStr">
        <is>
          <t>VÄRMLANDS LÄN</t>
        </is>
      </c>
      <c r="E487" t="inlineStr">
        <is>
          <t>TORSBY</t>
        </is>
      </c>
      <c r="F487" t="inlineStr">
        <is>
          <t>Bergvik skog väst AB</t>
        </is>
      </c>
      <c r="G487" t="n">
        <v>15</v>
      </c>
      <c r="H487" t="n">
        <v>0</v>
      </c>
      <c r="I487" t="n">
        <v>0</v>
      </c>
      <c r="J487" t="n">
        <v>0</v>
      </c>
      <c r="K487" t="n">
        <v>0</v>
      </c>
      <c r="L487" t="n">
        <v>0</v>
      </c>
      <c r="M487" t="n">
        <v>0</v>
      </c>
      <c r="N487" t="n">
        <v>0</v>
      </c>
      <c r="O487" t="n">
        <v>0</v>
      </c>
      <c r="P487" t="n">
        <v>0</v>
      </c>
      <c r="Q487" t="n">
        <v>0</v>
      </c>
      <c r="R487" s="2" t="inlineStr"/>
    </row>
    <row r="488" ht="15" customHeight="1">
      <c r="A488" t="inlineStr">
        <is>
          <t>A 21988-2023</t>
        </is>
      </c>
      <c r="B488" s="1" t="n">
        <v>45068</v>
      </c>
      <c r="C488" s="1" t="n">
        <v>45976</v>
      </c>
      <c r="D488" t="inlineStr">
        <is>
          <t>VÄRMLANDS LÄN</t>
        </is>
      </c>
      <c r="E488" t="inlineStr">
        <is>
          <t>TORSBY</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1104-2025</t>
        </is>
      </c>
      <c r="B489" s="1" t="n">
        <v>45666</v>
      </c>
      <c r="C489" s="1" t="n">
        <v>45976</v>
      </c>
      <c r="D489" t="inlineStr">
        <is>
          <t>VÄRMLANDS LÄN</t>
        </is>
      </c>
      <c r="E489" t="inlineStr">
        <is>
          <t>TORSBY</t>
        </is>
      </c>
      <c r="G489" t="n">
        <v>6.9</v>
      </c>
      <c r="H489" t="n">
        <v>0</v>
      </c>
      <c r="I489" t="n">
        <v>0</v>
      </c>
      <c r="J489" t="n">
        <v>0</v>
      </c>
      <c r="K489" t="n">
        <v>0</v>
      </c>
      <c r="L489" t="n">
        <v>0</v>
      </c>
      <c r="M489" t="n">
        <v>0</v>
      </c>
      <c r="N489" t="n">
        <v>0</v>
      </c>
      <c r="O489" t="n">
        <v>0</v>
      </c>
      <c r="P489" t="n">
        <v>0</v>
      </c>
      <c r="Q489" t="n">
        <v>0</v>
      </c>
      <c r="R489" s="2" t="inlineStr"/>
    </row>
    <row r="490" ht="15" customHeight="1">
      <c r="A490" t="inlineStr">
        <is>
          <t>A 54265-2024</t>
        </is>
      </c>
      <c r="B490" s="1" t="n">
        <v>45616</v>
      </c>
      <c r="C490" s="1" t="n">
        <v>45976</v>
      </c>
      <c r="D490" t="inlineStr">
        <is>
          <t>VÄRMLANDS LÄN</t>
        </is>
      </c>
      <c r="E490" t="inlineStr">
        <is>
          <t>TORSBY</t>
        </is>
      </c>
      <c r="F490" t="inlineStr">
        <is>
          <t>Kommuner</t>
        </is>
      </c>
      <c r="G490" t="n">
        <v>0.4</v>
      </c>
      <c r="H490" t="n">
        <v>0</v>
      </c>
      <c r="I490" t="n">
        <v>0</v>
      </c>
      <c r="J490" t="n">
        <v>0</v>
      </c>
      <c r="K490" t="n">
        <v>0</v>
      </c>
      <c r="L490" t="n">
        <v>0</v>
      </c>
      <c r="M490" t="n">
        <v>0</v>
      </c>
      <c r="N490" t="n">
        <v>0</v>
      </c>
      <c r="O490" t="n">
        <v>0</v>
      </c>
      <c r="P490" t="n">
        <v>0</v>
      </c>
      <c r="Q490" t="n">
        <v>0</v>
      </c>
      <c r="R490" s="2" t="inlineStr"/>
    </row>
    <row r="491" ht="15" customHeight="1">
      <c r="A491" t="inlineStr">
        <is>
          <t>A 1161-2025</t>
        </is>
      </c>
      <c r="B491" s="1" t="n">
        <v>45666</v>
      </c>
      <c r="C491" s="1" t="n">
        <v>45976</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14301-2025</t>
        </is>
      </c>
      <c r="B492" s="1" t="n">
        <v>45740</v>
      </c>
      <c r="C492" s="1" t="n">
        <v>45976</v>
      </c>
      <c r="D492" t="inlineStr">
        <is>
          <t>VÄRMLANDS LÄN</t>
        </is>
      </c>
      <c r="E492" t="inlineStr">
        <is>
          <t>TORSBY</t>
        </is>
      </c>
      <c r="G492" t="n">
        <v>7.9</v>
      </c>
      <c r="H492" t="n">
        <v>0</v>
      </c>
      <c r="I492" t="n">
        <v>0</v>
      </c>
      <c r="J492" t="n">
        <v>0</v>
      </c>
      <c r="K492" t="n">
        <v>0</v>
      </c>
      <c r="L492" t="n">
        <v>0</v>
      </c>
      <c r="M492" t="n">
        <v>0</v>
      </c>
      <c r="N492" t="n">
        <v>0</v>
      </c>
      <c r="O492" t="n">
        <v>0</v>
      </c>
      <c r="P492" t="n">
        <v>0</v>
      </c>
      <c r="Q492" t="n">
        <v>0</v>
      </c>
      <c r="R492" s="2" t="inlineStr"/>
    </row>
    <row r="493" ht="15" customHeight="1">
      <c r="A493" t="inlineStr">
        <is>
          <t>A 11395-2025</t>
        </is>
      </c>
      <c r="B493" s="1" t="n">
        <v>45726.5728125</v>
      </c>
      <c r="C493" s="1" t="n">
        <v>45976</v>
      </c>
      <c r="D493" t="inlineStr">
        <is>
          <t>VÄRMLANDS LÄN</t>
        </is>
      </c>
      <c r="E493" t="inlineStr">
        <is>
          <t>TORSBY</t>
        </is>
      </c>
      <c r="G493" t="n">
        <v>25.3</v>
      </c>
      <c r="H493" t="n">
        <v>0</v>
      </c>
      <c r="I493" t="n">
        <v>0</v>
      </c>
      <c r="J493" t="n">
        <v>0</v>
      </c>
      <c r="K493" t="n">
        <v>0</v>
      </c>
      <c r="L493" t="n">
        <v>0</v>
      </c>
      <c r="M493" t="n">
        <v>0</v>
      </c>
      <c r="N493" t="n">
        <v>0</v>
      </c>
      <c r="O493" t="n">
        <v>0</v>
      </c>
      <c r="P493" t="n">
        <v>0</v>
      </c>
      <c r="Q493" t="n">
        <v>0</v>
      </c>
      <c r="R493" s="2" t="inlineStr"/>
    </row>
    <row r="494" ht="15" customHeight="1">
      <c r="A494" t="inlineStr">
        <is>
          <t>A 13723-2023</t>
        </is>
      </c>
      <c r="B494" s="1" t="n">
        <v>45007</v>
      </c>
      <c r="C494" s="1" t="n">
        <v>45976</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24657-2024</t>
        </is>
      </c>
      <c r="B495" s="1" t="n">
        <v>45460</v>
      </c>
      <c r="C495" s="1" t="n">
        <v>45976</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11050-2022</t>
        </is>
      </c>
      <c r="B496" s="1" t="n">
        <v>44628.60393518519</v>
      </c>
      <c r="C496" s="1" t="n">
        <v>45976</v>
      </c>
      <c r="D496" t="inlineStr">
        <is>
          <t>VÄRMLANDS LÄN</t>
        </is>
      </c>
      <c r="E496" t="inlineStr">
        <is>
          <t>TORSBY</t>
        </is>
      </c>
      <c r="G496" t="n">
        <v>4.9</v>
      </c>
      <c r="H496" t="n">
        <v>0</v>
      </c>
      <c r="I496" t="n">
        <v>0</v>
      </c>
      <c r="J496" t="n">
        <v>0</v>
      </c>
      <c r="K496" t="n">
        <v>0</v>
      </c>
      <c r="L496" t="n">
        <v>0</v>
      </c>
      <c r="M496" t="n">
        <v>0</v>
      </c>
      <c r="N496" t="n">
        <v>0</v>
      </c>
      <c r="O496" t="n">
        <v>0</v>
      </c>
      <c r="P496" t="n">
        <v>0</v>
      </c>
      <c r="Q496" t="n">
        <v>0</v>
      </c>
      <c r="R496" s="2" t="inlineStr"/>
    </row>
    <row r="497" ht="15" customHeight="1">
      <c r="A497" t="inlineStr">
        <is>
          <t>A 52532-2023</t>
        </is>
      </c>
      <c r="B497" s="1" t="n">
        <v>45225.54318287037</v>
      </c>
      <c r="C497" s="1" t="n">
        <v>45976</v>
      </c>
      <c r="D497" t="inlineStr">
        <is>
          <t>VÄRMLANDS LÄN</t>
        </is>
      </c>
      <c r="E497" t="inlineStr">
        <is>
          <t>TORSBY</t>
        </is>
      </c>
      <c r="G497" t="n">
        <v>0.4</v>
      </c>
      <c r="H497" t="n">
        <v>0</v>
      </c>
      <c r="I497" t="n">
        <v>0</v>
      </c>
      <c r="J497" t="n">
        <v>0</v>
      </c>
      <c r="K497" t="n">
        <v>0</v>
      </c>
      <c r="L497" t="n">
        <v>0</v>
      </c>
      <c r="M497" t="n">
        <v>0</v>
      </c>
      <c r="N497" t="n">
        <v>0</v>
      </c>
      <c r="O497" t="n">
        <v>0</v>
      </c>
      <c r="P497" t="n">
        <v>0</v>
      </c>
      <c r="Q497" t="n">
        <v>0</v>
      </c>
      <c r="R497" s="2" t="inlineStr"/>
    </row>
    <row r="498" ht="15" customHeight="1">
      <c r="A498" t="inlineStr">
        <is>
          <t>A 19575-2025</t>
        </is>
      </c>
      <c r="B498" s="1" t="n">
        <v>45770.55957175926</v>
      </c>
      <c r="C498" s="1" t="n">
        <v>45976</v>
      </c>
      <c r="D498" t="inlineStr">
        <is>
          <t>VÄRMLANDS LÄN</t>
        </is>
      </c>
      <c r="E498" t="inlineStr">
        <is>
          <t>TORSBY</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4908-2024</t>
        </is>
      </c>
      <c r="B499" s="1" t="n">
        <v>45329</v>
      </c>
      <c r="C499" s="1" t="n">
        <v>45976</v>
      </c>
      <c r="D499" t="inlineStr">
        <is>
          <t>VÄRMLANDS LÄN</t>
        </is>
      </c>
      <c r="E499" t="inlineStr">
        <is>
          <t>TORSBY</t>
        </is>
      </c>
      <c r="G499" t="n">
        <v>4</v>
      </c>
      <c r="H499" t="n">
        <v>0</v>
      </c>
      <c r="I499" t="n">
        <v>0</v>
      </c>
      <c r="J499" t="n">
        <v>0</v>
      </c>
      <c r="K499" t="n">
        <v>0</v>
      </c>
      <c r="L499" t="n">
        <v>0</v>
      </c>
      <c r="M499" t="n">
        <v>0</v>
      </c>
      <c r="N499" t="n">
        <v>0</v>
      </c>
      <c r="O499" t="n">
        <v>0</v>
      </c>
      <c r="P499" t="n">
        <v>0</v>
      </c>
      <c r="Q499" t="n">
        <v>0</v>
      </c>
      <c r="R499" s="2" t="inlineStr"/>
    </row>
    <row r="500" ht="15" customHeight="1">
      <c r="A500" t="inlineStr">
        <is>
          <t>A 1100-2025</t>
        </is>
      </c>
      <c r="B500" s="1" t="n">
        <v>45666.64099537037</v>
      </c>
      <c r="C500" s="1" t="n">
        <v>45976</v>
      </c>
      <c r="D500" t="inlineStr">
        <is>
          <t>VÄRMLANDS LÄN</t>
        </is>
      </c>
      <c r="E500" t="inlineStr">
        <is>
          <t>TORSBY</t>
        </is>
      </c>
      <c r="G500" t="n">
        <v>8.4</v>
      </c>
      <c r="H500" t="n">
        <v>0</v>
      </c>
      <c r="I500" t="n">
        <v>0</v>
      </c>
      <c r="J500" t="n">
        <v>0</v>
      </c>
      <c r="K500" t="n">
        <v>0</v>
      </c>
      <c r="L500" t="n">
        <v>0</v>
      </c>
      <c r="M500" t="n">
        <v>0</v>
      </c>
      <c r="N500" t="n">
        <v>0</v>
      </c>
      <c r="O500" t="n">
        <v>0</v>
      </c>
      <c r="P500" t="n">
        <v>0</v>
      </c>
      <c r="Q500" t="n">
        <v>0</v>
      </c>
      <c r="R500" s="2" t="inlineStr"/>
    </row>
    <row r="501" ht="15" customHeight="1">
      <c r="A501" t="inlineStr">
        <is>
          <t>A 43536-2023</t>
        </is>
      </c>
      <c r="B501" s="1" t="n">
        <v>45181</v>
      </c>
      <c r="C501" s="1" t="n">
        <v>45976</v>
      </c>
      <c r="D501" t="inlineStr">
        <is>
          <t>VÄRMLANDS LÄN</t>
        </is>
      </c>
      <c r="E501" t="inlineStr">
        <is>
          <t>TORSBY</t>
        </is>
      </c>
      <c r="G501" t="n">
        <v>0.6</v>
      </c>
      <c r="H501" t="n">
        <v>0</v>
      </c>
      <c r="I501" t="n">
        <v>0</v>
      </c>
      <c r="J501" t="n">
        <v>0</v>
      </c>
      <c r="K501" t="n">
        <v>0</v>
      </c>
      <c r="L501" t="n">
        <v>0</v>
      </c>
      <c r="M501" t="n">
        <v>0</v>
      </c>
      <c r="N501" t="n">
        <v>0</v>
      </c>
      <c r="O501" t="n">
        <v>0</v>
      </c>
      <c r="P501" t="n">
        <v>0</v>
      </c>
      <c r="Q501" t="n">
        <v>0</v>
      </c>
      <c r="R501" s="2" t="inlineStr"/>
    </row>
    <row r="502" ht="15" customHeight="1">
      <c r="A502" t="inlineStr">
        <is>
          <t>A 47465-2024</t>
        </is>
      </c>
      <c r="B502" s="1" t="n">
        <v>45587</v>
      </c>
      <c r="C502" s="1" t="n">
        <v>45976</v>
      </c>
      <c r="D502" t="inlineStr">
        <is>
          <t>VÄRMLANDS LÄN</t>
        </is>
      </c>
      <c r="E502" t="inlineStr">
        <is>
          <t>TORSBY</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13006-2025</t>
        </is>
      </c>
      <c r="B503" s="1" t="n">
        <v>45734.51652777778</v>
      </c>
      <c r="C503" s="1" t="n">
        <v>45976</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59425-2021</t>
        </is>
      </c>
      <c r="B504" s="1" t="n">
        <v>44491.43469907407</v>
      </c>
      <c r="C504" s="1" t="n">
        <v>45976</v>
      </c>
      <c r="D504" t="inlineStr">
        <is>
          <t>VÄRMLANDS LÄN</t>
        </is>
      </c>
      <c r="E504" t="inlineStr">
        <is>
          <t>TORSBY</t>
        </is>
      </c>
      <c r="F504" t="inlineStr">
        <is>
          <t>Bergvik skog väst AB</t>
        </is>
      </c>
      <c r="G504" t="n">
        <v>14.9</v>
      </c>
      <c r="H504" t="n">
        <v>0</v>
      </c>
      <c r="I504" t="n">
        <v>0</v>
      </c>
      <c r="J504" t="n">
        <v>0</v>
      </c>
      <c r="K504" t="n">
        <v>0</v>
      </c>
      <c r="L504" t="n">
        <v>0</v>
      </c>
      <c r="M504" t="n">
        <v>0</v>
      </c>
      <c r="N504" t="n">
        <v>0</v>
      </c>
      <c r="O504" t="n">
        <v>0</v>
      </c>
      <c r="P504" t="n">
        <v>0</v>
      </c>
      <c r="Q504" t="n">
        <v>0</v>
      </c>
      <c r="R504" s="2" t="inlineStr"/>
    </row>
    <row r="505" ht="15" customHeight="1">
      <c r="A505" t="inlineStr">
        <is>
          <t>A 69878-2021</t>
        </is>
      </c>
      <c r="B505" s="1" t="n">
        <v>44532.82293981482</v>
      </c>
      <c r="C505" s="1" t="n">
        <v>45976</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49982-2023</t>
        </is>
      </c>
      <c r="B506" s="1" t="n">
        <v>45215.4216087963</v>
      </c>
      <c r="C506" s="1" t="n">
        <v>45976</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21518-2024</t>
        </is>
      </c>
      <c r="B507" s="1" t="n">
        <v>45441</v>
      </c>
      <c r="C507" s="1" t="n">
        <v>45976</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48874-2024</t>
        </is>
      </c>
      <c r="B508" s="1" t="n">
        <v>45594</v>
      </c>
      <c r="C508" s="1" t="n">
        <v>45976</v>
      </c>
      <c r="D508" t="inlineStr">
        <is>
          <t>VÄRMLANDS LÄN</t>
        </is>
      </c>
      <c r="E508" t="inlineStr">
        <is>
          <t>TORSBY</t>
        </is>
      </c>
      <c r="F508" t="inlineStr">
        <is>
          <t>Bergvik skog väst AB</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56240-2024</t>
        </is>
      </c>
      <c r="B509" s="1" t="n">
        <v>45624.63012731481</v>
      </c>
      <c r="C509" s="1" t="n">
        <v>45976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17048-2025</t>
        </is>
      </c>
      <c r="B510" s="1" t="n">
        <v>45754</v>
      </c>
      <c r="C510" s="1" t="n">
        <v>45976</v>
      </c>
      <c r="D510" t="inlineStr">
        <is>
          <t>VÄRMLANDS LÄN</t>
        </is>
      </c>
      <c r="E510" t="inlineStr">
        <is>
          <t>TORSBY</t>
        </is>
      </c>
      <c r="G510" t="n">
        <v>3.4</v>
      </c>
      <c r="H510" t="n">
        <v>0</v>
      </c>
      <c r="I510" t="n">
        <v>0</v>
      </c>
      <c r="J510" t="n">
        <v>0</v>
      </c>
      <c r="K510" t="n">
        <v>0</v>
      </c>
      <c r="L510" t="n">
        <v>0</v>
      </c>
      <c r="M510" t="n">
        <v>0</v>
      </c>
      <c r="N510" t="n">
        <v>0</v>
      </c>
      <c r="O510" t="n">
        <v>0</v>
      </c>
      <c r="P510" t="n">
        <v>0</v>
      </c>
      <c r="Q510" t="n">
        <v>0</v>
      </c>
      <c r="R510" s="2" t="inlineStr"/>
    </row>
    <row r="511" ht="15" customHeight="1">
      <c r="A511" t="inlineStr">
        <is>
          <t>A 17053-2025</t>
        </is>
      </c>
      <c r="B511" s="1" t="n">
        <v>45754</v>
      </c>
      <c r="C511" s="1" t="n">
        <v>45976</v>
      </c>
      <c r="D511" t="inlineStr">
        <is>
          <t>VÄRMLANDS LÄN</t>
        </is>
      </c>
      <c r="E511" t="inlineStr">
        <is>
          <t>TORSBY</t>
        </is>
      </c>
      <c r="G511" t="n">
        <v>3.7</v>
      </c>
      <c r="H511" t="n">
        <v>0</v>
      </c>
      <c r="I511" t="n">
        <v>0</v>
      </c>
      <c r="J511" t="n">
        <v>0</v>
      </c>
      <c r="K511" t="n">
        <v>0</v>
      </c>
      <c r="L511" t="n">
        <v>0</v>
      </c>
      <c r="M511" t="n">
        <v>0</v>
      </c>
      <c r="N511" t="n">
        <v>0</v>
      </c>
      <c r="O511" t="n">
        <v>0</v>
      </c>
      <c r="P511" t="n">
        <v>0</v>
      </c>
      <c r="Q511" t="n">
        <v>0</v>
      </c>
      <c r="R511" s="2" t="inlineStr"/>
    </row>
    <row r="512" ht="15" customHeight="1">
      <c r="A512" t="inlineStr">
        <is>
          <t>A 10027-2023</t>
        </is>
      </c>
      <c r="B512" s="1" t="n">
        <v>44979</v>
      </c>
      <c r="C512" s="1" t="n">
        <v>45976</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26343-2023</t>
        </is>
      </c>
      <c r="B513" s="1" t="n">
        <v>45091</v>
      </c>
      <c r="C513" s="1" t="n">
        <v>45976</v>
      </c>
      <c r="D513" t="inlineStr">
        <is>
          <t>VÄRMLANDS LÄN</t>
        </is>
      </c>
      <c r="E513" t="inlineStr">
        <is>
          <t>TORSBY</t>
        </is>
      </c>
      <c r="G513" t="n">
        <v>0.8</v>
      </c>
      <c r="H513" t="n">
        <v>0</v>
      </c>
      <c r="I513" t="n">
        <v>0</v>
      </c>
      <c r="J513" t="n">
        <v>0</v>
      </c>
      <c r="K513" t="n">
        <v>0</v>
      </c>
      <c r="L513" t="n">
        <v>0</v>
      </c>
      <c r="M513" t="n">
        <v>0</v>
      </c>
      <c r="N513" t="n">
        <v>0</v>
      </c>
      <c r="O513" t="n">
        <v>0</v>
      </c>
      <c r="P513" t="n">
        <v>0</v>
      </c>
      <c r="Q513" t="n">
        <v>0</v>
      </c>
      <c r="R513" s="2" t="inlineStr"/>
    </row>
    <row r="514" ht="15" customHeight="1">
      <c r="A514" t="inlineStr">
        <is>
          <t>A 21790-2023</t>
        </is>
      </c>
      <c r="B514" s="1" t="n">
        <v>45067</v>
      </c>
      <c r="C514" s="1" t="n">
        <v>45976</v>
      </c>
      <c r="D514" t="inlineStr">
        <is>
          <t>VÄRMLANDS LÄN</t>
        </is>
      </c>
      <c r="E514" t="inlineStr">
        <is>
          <t>TORSBY</t>
        </is>
      </c>
      <c r="F514" t="inlineStr">
        <is>
          <t>Övriga statliga verk och myndigheter</t>
        </is>
      </c>
      <c r="G514" t="n">
        <v>1.1</v>
      </c>
      <c r="H514" t="n">
        <v>0</v>
      </c>
      <c r="I514" t="n">
        <v>0</v>
      </c>
      <c r="J514" t="n">
        <v>0</v>
      </c>
      <c r="K514" t="n">
        <v>0</v>
      </c>
      <c r="L514" t="n">
        <v>0</v>
      </c>
      <c r="M514" t="n">
        <v>0</v>
      </c>
      <c r="N514" t="n">
        <v>0</v>
      </c>
      <c r="O514" t="n">
        <v>0</v>
      </c>
      <c r="P514" t="n">
        <v>0</v>
      </c>
      <c r="Q514" t="n">
        <v>0</v>
      </c>
      <c r="R514" s="2" t="inlineStr"/>
    </row>
    <row r="515" ht="15" customHeight="1">
      <c r="A515" t="inlineStr">
        <is>
          <t>A 29936-2024</t>
        </is>
      </c>
      <c r="B515" s="1" t="n">
        <v>45488</v>
      </c>
      <c r="C515" s="1" t="n">
        <v>45976</v>
      </c>
      <c r="D515" t="inlineStr">
        <is>
          <t>VÄRMLANDS LÄN</t>
        </is>
      </c>
      <c r="E515" t="inlineStr">
        <is>
          <t>TORSBY</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24148-2024</t>
        </is>
      </c>
      <c r="B516" s="1" t="n">
        <v>45456</v>
      </c>
      <c r="C516" s="1" t="n">
        <v>45976</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36920-2025</t>
        </is>
      </c>
      <c r="B517" s="1" t="n">
        <v>45874</v>
      </c>
      <c r="C517" s="1" t="n">
        <v>45976</v>
      </c>
      <c r="D517" t="inlineStr">
        <is>
          <t>VÄRMLANDS LÄN</t>
        </is>
      </c>
      <c r="E517" t="inlineStr">
        <is>
          <t>TORSBY</t>
        </is>
      </c>
      <c r="F517" t="inlineStr">
        <is>
          <t>Bergvik skog väst AB</t>
        </is>
      </c>
      <c r="G517" t="n">
        <v>15.9</v>
      </c>
      <c r="H517" t="n">
        <v>0</v>
      </c>
      <c r="I517" t="n">
        <v>0</v>
      </c>
      <c r="J517" t="n">
        <v>0</v>
      </c>
      <c r="K517" t="n">
        <v>0</v>
      </c>
      <c r="L517" t="n">
        <v>0</v>
      </c>
      <c r="M517" t="n">
        <v>0</v>
      </c>
      <c r="N517" t="n">
        <v>0</v>
      </c>
      <c r="O517" t="n">
        <v>0</v>
      </c>
      <c r="P517" t="n">
        <v>0</v>
      </c>
      <c r="Q517" t="n">
        <v>0</v>
      </c>
      <c r="R517" s="2" t="inlineStr"/>
    </row>
    <row r="518" ht="15" customHeight="1">
      <c r="A518" t="inlineStr">
        <is>
          <t>A 34427-2023</t>
        </is>
      </c>
      <c r="B518" s="1" t="n">
        <v>45139.61741898148</v>
      </c>
      <c r="C518" s="1" t="n">
        <v>45976</v>
      </c>
      <c r="D518" t="inlineStr">
        <is>
          <t>VÄRMLANDS LÄN</t>
        </is>
      </c>
      <c r="E518" t="inlineStr">
        <is>
          <t>TORSBY</t>
        </is>
      </c>
      <c r="G518" t="n">
        <v>3.9</v>
      </c>
      <c r="H518" t="n">
        <v>0</v>
      </c>
      <c r="I518" t="n">
        <v>0</v>
      </c>
      <c r="J518" t="n">
        <v>0</v>
      </c>
      <c r="K518" t="n">
        <v>0</v>
      </c>
      <c r="L518" t="n">
        <v>0</v>
      </c>
      <c r="M518" t="n">
        <v>0</v>
      </c>
      <c r="N518" t="n">
        <v>0</v>
      </c>
      <c r="O518" t="n">
        <v>0</v>
      </c>
      <c r="P518" t="n">
        <v>0</v>
      </c>
      <c r="Q518" t="n">
        <v>0</v>
      </c>
      <c r="R518" s="2" t="inlineStr"/>
    </row>
    <row r="519" ht="15" customHeight="1">
      <c r="A519" t="inlineStr">
        <is>
          <t>A 12933-2023</t>
        </is>
      </c>
      <c r="B519" s="1" t="n">
        <v>45001</v>
      </c>
      <c r="C519" s="1" t="n">
        <v>45976</v>
      </c>
      <c r="D519" t="inlineStr">
        <is>
          <t>VÄRMLANDS LÄN</t>
        </is>
      </c>
      <c r="E519" t="inlineStr">
        <is>
          <t>TORSBY</t>
        </is>
      </c>
      <c r="G519" t="n">
        <v>7.1</v>
      </c>
      <c r="H519" t="n">
        <v>0</v>
      </c>
      <c r="I519" t="n">
        <v>0</v>
      </c>
      <c r="J519" t="n">
        <v>0</v>
      </c>
      <c r="K519" t="n">
        <v>0</v>
      </c>
      <c r="L519" t="n">
        <v>0</v>
      </c>
      <c r="M519" t="n">
        <v>0</v>
      </c>
      <c r="N519" t="n">
        <v>0</v>
      </c>
      <c r="O519" t="n">
        <v>0</v>
      </c>
      <c r="P519" t="n">
        <v>0</v>
      </c>
      <c r="Q519" t="n">
        <v>0</v>
      </c>
      <c r="R519" s="2" t="inlineStr"/>
    </row>
    <row r="520" ht="15" customHeight="1">
      <c r="A520" t="inlineStr">
        <is>
          <t>A 36856-2025</t>
        </is>
      </c>
      <c r="B520" s="1" t="n">
        <v>45874.40421296296</v>
      </c>
      <c r="C520" s="1" t="n">
        <v>45976</v>
      </c>
      <c r="D520" t="inlineStr">
        <is>
          <t>VÄRMLANDS LÄN</t>
        </is>
      </c>
      <c r="E520" t="inlineStr">
        <is>
          <t>TORSBY</t>
        </is>
      </c>
      <c r="G520" t="n">
        <v>4.4</v>
      </c>
      <c r="H520" t="n">
        <v>0</v>
      </c>
      <c r="I520" t="n">
        <v>0</v>
      </c>
      <c r="J520" t="n">
        <v>0</v>
      </c>
      <c r="K520" t="n">
        <v>0</v>
      </c>
      <c r="L520" t="n">
        <v>0</v>
      </c>
      <c r="M520" t="n">
        <v>0</v>
      </c>
      <c r="N520" t="n">
        <v>0</v>
      </c>
      <c r="O520" t="n">
        <v>0</v>
      </c>
      <c r="P520" t="n">
        <v>0</v>
      </c>
      <c r="Q520" t="n">
        <v>0</v>
      </c>
      <c r="R520" s="2" t="inlineStr"/>
    </row>
    <row r="521" ht="15" customHeight="1">
      <c r="A521" t="inlineStr">
        <is>
          <t>A 62915-2020</t>
        </is>
      </c>
      <c r="B521" s="1" t="n">
        <v>44162</v>
      </c>
      <c r="C521" s="1" t="n">
        <v>45976</v>
      </c>
      <c r="D521" t="inlineStr">
        <is>
          <t>VÄRMLANDS LÄN</t>
        </is>
      </c>
      <c r="E521" t="inlineStr">
        <is>
          <t>TORSBY</t>
        </is>
      </c>
      <c r="G521" t="n">
        <v>4.6</v>
      </c>
      <c r="H521" t="n">
        <v>0</v>
      </c>
      <c r="I521" t="n">
        <v>0</v>
      </c>
      <c r="J521" t="n">
        <v>0</v>
      </c>
      <c r="K521" t="n">
        <v>0</v>
      </c>
      <c r="L521" t="n">
        <v>0</v>
      </c>
      <c r="M521" t="n">
        <v>0</v>
      </c>
      <c r="N521" t="n">
        <v>0</v>
      </c>
      <c r="O521" t="n">
        <v>0</v>
      </c>
      <c r="P521" t="n">
        <v>0</v>
      </c>
      <c r="Q521" t="n">
        <v>0</v>
      </c>
      <c r="R521" s="2" t="inlineStr"/>
    </row>
    <row r="522" ht="15" customHeight="1">
      <c r="A522" t="inlineStr">
        <is>
          <t>A 1700-2024</t>
        </is>
      </c>
      <c r="B522" s="1" t="n">
        <v>45307.37347222222</v>
      </c>
      <c r="C522" s="1" t="n">
        <v>45976</v>
      </c>
      <c r="D522" t="inlineStr">
        <is>
          <t>VÄRMLANDS LÄN</t>
        </is>
      </c>
      <c r="E522" t="inlineStr">
        <is>
          <t>TORSBY</t>
        </is>
      </c>
      <c r="G522" t="n">
        <v>2.5</v>
      </c>
      <c r="H522" t="n">
        <v>0</v>
      </c>
      <c r="I522" t="n">
        <v>0</v>
      </c>
      <c r="J522" t="n">
        <v>0</v>
      </c>
      <c r="K522" t="n">
        <v>0</v>
      </c>
      <c r="L522" t="n">
        <v>0</v>
      </c>
      <c r="M522" t="n">
        <v>0</v>
      </c>
      <c r="N522" t="n">
        <v>0</v>
      </c>
      <c r="O522" t="n">
        <v>0</v>
      </c>
      <c r="P522" t="n">
        <v>0</v>
      </c>
      <c r="Q522" t="n">
        <v>0</v>
      </c>
      <c r="R522" s="2" t="inlineStr"/>
    </row>
    <row r="523" ht="15" customHeight="1">
      <c r="A523" t="inlineStr">
        <is>
          <t>A 23264-2022</t>
        </is>
      </c>
      <c r="B523" s="1" t="n">
        <v>44720.40818287037</v>
      </c>
      <c r="C523" s="1" t="n">
        <v>45976</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9574-2023</t>
        </is>
      </c>
      <c r="B524" s="1" t="n">
        <v>44982.55168981481</v>
      </c>
      <c r="C524" s="1" t="n">
        <v>45976</v>
      </c>
      <c r="D524" t="inlineStr">
        <is>
          <t>VÄRMLANDS LÄN</t>
        </is>
      </c>
      <c r="E524" t="inlineStr">
        <is>
          <t>TORSBY</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6656-2021</t>
        </is>
      </c>
      <c r="B525" s="1" t="n">
        <v>44236</v>
      </c>
      <c r="C525" s="1" t="n">
        <v>45976</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5351-2024</t>
        </is>
      </c>
      <c r="B526" s="1" t="n">
        <v>45331.45199074074</v>
      </c>
      <c r="C526" s="1" t="n">
        <v>45976</v>
      </c>
      <c r="D526" t="inlineStr">
        <is>
          <t>VÄRMLANDS LÄN</t>
        </is>
      </c>
      <c r="E526" t="inlineStr">
        <is>
          <t>TORSBY</t>
        </is>
      </c>
      <c r="G526" t="n">
        <v>8.9</v>
      </c>
      <c r="H526" t="n">
        <v>0</v>
      </c>
      <c r="I526" t="n">
        <v>0</v>
      </c>
      <c r="J526" t="n">
        <v>0</v>
      </c>
      <c r="K526" t="n">
        <v>0</v>
      </c>
      <c r="L526" t="n">
        <v>0</v>
      </c>
      <c r="M526" t="n">
        <v>0</v>
      </c>
      <c r="N526" t="n">
        <v>0</v>
      </c>
      <c r="O526" t="n">
        <v>0</v>
      </c>
      <c r="P526" t="n">
        <v>0</v>
      </c>
      <c r="Q526" t="n">
        <v>0</v>
      </c>
      <c r="R526" s="2" t="inlineStr"/>
    </row>
    <row r="527" ht="15" customHeight="1">
      <c r="A527" t="inlineStr">
        <is>
          <t>A 19159-2025</t>
        </is>
      </c>
      <c r="B527" s="1" t="n">
        <v>45769</v>
      </c>
      <c r="C527" s="1" t="n">
        <v>45976</v>
      </c>
      <c r="D527" t="inlineStr">
        <is>
          <t>VÄRMLANDS LÄN</t>
        </is>
      </c>
      <c r="E527" t="inlineStr">
        <is>
          <t>TORSBY</t>
        </is>
      </c>
      <c r="F527" t="inlineStr">
        <is>
          <t>Bergvik skog väst AB</t>
        </is>
      </c>
      <c r="G527" t="n">
        <v>10.2</v>
      </c>
      <c r="H527" t="n">
        <v>0</v>
      </c>
      <c r="I527" t="n">
        <v>0</v>
      </c>
      <c r="J527" t="n">
        <v>0</v>
      </c>
      <c r="K527" t="n">
        <v>0</v>
      </c>
      <c r="L527" t="n">
        <v>0</v>
      </c>
      <c r="M527" t="n">
        <v>0</v>
      </c>
      <c r="N527" t="n">
        <v>0</v>
      </c>
      <c r="O527" t="n">
        <v>0</v>
      </c>
      <c r="P527" t="n">
        <v>0</v>
      </c>
      <c r="Q527" t="n">
        <v>0</v>
      </c>
      <c r="R527" s="2" t="inlineStr"/>
    </row>
    <row r="528" ht="15" customHeight="1">
      <c r="A528" t="inlineStr">
        <is>
          <t>A 37260-2025</t>
        </is>
      </c>
      <c r="B528" s="1" t="n">
        <v>45876</v>
      </c>
      <c r="C528" s="1" t="n">
        <v>45976</v>
      </c>
      <c r="D528" t="inlineStr">
        <is>
          <t>VÄRMLANDS LÄN</t>
        </is>
      </c>
      <c r="E528" t="inlineStr">
        <is>
          <t>TORSBY</t>
        </is>
      </c>
      <c r="F528" t="inlineStr">
        <is>
          <t>Bergvik skog väst AB</t>
        </is>
      </c>
      <c r="G528" t="n">
        <v>4.3</v>
      </c>
      <c r="H528" t="n">
        <v>0</v>
      </c>
      <c r="I528" t="n">
        <v>0</v>
      </c>
      <c r="J528" t="n">
        <v>0</v>
      </c>
      <c r="K528" t="n">
        <v>0</v>
      </c>
      <c r="L528" t="n">
        <v>0</v>
      </c>
      <c r="M528" t="n">
        <v>0</v>
      </c>
      <c r="N528" t="n">
        <v>0</v>
      </c>
      <c r="O528" t="n">
        <v>0</v>
      </c>
      <c r="P528" t="n">
        <v>0</v>
      </c>
      <c r="Q528" t="n">
        <v>0</v>
      </c>
      <c r="R528" s="2" t="inlineStr"/>
    </row>
    <row r="529" ht="15" customHeight="1">
      <c r="A529" t="inlineStr">
        <is>
          <t>A 46221-2023</t>
        </is>
      </c>
      <c r="B529" s="1" t="n">
        <v>45196.66636574074</v>
      </c>
      <c r="C529" s="1" t="n">
        <v>45976</v>
      </c>
      <c r="D529" t="inlineStr">
        <is>
          <t>VÄRMLANDS LÄN</t>
        </is>
      </c>
      <c r="E529" t="inlineStr">
        <is>
          <t>TORSBY</t>
        </is>
      </c>
      <c r="G529" t="n">
        <v>6.5</v>
      </c>
      <c r="H529" t="n">
        <v>0</v>
      </c>
      <c r="I529" t="n">
        <v>0</v>
      </c>
      <c r="J529" t="n">
        <v>0</v>
      </c>
      <c r="K529" t="n">
        <v>0</v>
      </c>
      <c r="L529" t="n">
        <v>0</v>
      </c>
      <c r="M529" t="n">
        <v>0</v>
      </c>
      <c r="N529" t="n">
        <v>0</v>
      </c>
      <c r="O529" t="n">
        <v>0</v>
      </c>
      <c r="P529" t="n">
        <v>0</v>
      </c>
      <c r="Q529" t="n">
        <v>0</v>
      </c>
      <c r="R529" s="2" t="inlineStr"/>
    </row>
    <row r="530" ht="15" customHeight="1">
      <c r="A530" t="inlineStr">
        <is>
          <t>A 64664-2023</t>
        </is>
      </c>
      <c r="B530" s="1" t="n">
        <v>45281.60710648148</v>
      </c>
      <c r="C530" s="1" t="n">
        <v>45976</v>
      </c>
      <c r="D530" t="inlineStr">
        <is>
          <t>VÄRMLANDS LÄN</t>
        </is>
      </c>
      <c r="E530" t="inlineStr">
        <is>
          <t>TORSBY</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20898-2023</t>
        </is>
      </c>
      <c r="B531" s="1" t="n">
        <v>45059</v>
      </c>
      <c r="C531" s="1" t="n">
        <v>45976</v>
      </c>
      <c r="D531" t="inlineStr">
        <is>
          <t>VÄRMLANDS LÄN</t>
        </is>
      </c>
      <c r="E531" t="inlineStr">
        <is>
          <t>TORSBY</t>
        </is>
      </c>
      <c r="G531" t="n">
        <v>3.1</v>
      </c>
      <c r="H531" t="n">
        <v>0</v>
      </c>
      <c r="I531" t="n">
        <v>0</v>
      </c>
      <c r="J531" t="n">
        <v>0</v>
      </c>
      <c r="K531" t="n">
        <v>0</v>
      </c>
      <c r="L531" t="n">
        <v>0</v>
      </c>
      <c r="M531" t="n">
        <v>0</v>
      </c>
      <c r="N531" t="n">
        <v>0</v>
      </c>
      <c r="O531" t="n">
        <v>0</v>
      </c>
      <c r="P531" t="n">
        <v>0</v>
      </c>
      <c r="Q531" t="n">
        <v>0</v>
      </c>
      <c r="R531" s="2" t="inlineStr"/>
    </row>
    <row r="532" ht="15" customHeight="1">
      <c r="A532" t="inlineStr">
        <is>
          <t>A 60314-2023</t>
        </is>
      </c>
      <c r="B532" s="1" t="n">
        <v>45258.87101851852</v>
      </c>
      <c r="C532" s="1" t="n">
        <v>45976</v>
      </c>
      <c r="D532" t="inlineStr">
        <is>
          <t>VÄRMLANDS LÄN</t>
        </is>
      </c>
      <c r="E532" t="inlineStr">
        <is>
          <t>TORSBY</t>
        </is>
      </c>
      <c r="G532" t="n">
        <v>0.1</v>
      </c>
      <c r="H532" t="n">
        <v>0</v>
      </c>
      <c r="I532" t="n">
        <v>0</v>
      </c>
      <c r="J532" t="n">
        <v>0</v>
      </c>
      <c r="K532" t="n">
        <v>0</v>
      </c>
      <c r="L532" t="n">
        <v>0</v>
      </c>
      <c r="M532" t="n">
        <v>0</v>
      </c>
      <c r="N532" t="n">
        <v>0</v>
      </c>
      <c r="O532" t="n">
        <v>0</v>
      </c>
      <c r="P532" t="n">
        <v>0</v>
      </c>
      <c r="Q532" t="n">
        <v>0</v>
      </c>
      <c r="R532" s="2" t="inlineStr"/>
    </row>
    <row r="533" ht="15" customHeight="1">
      <c r="A533" t="inlineStr">
        <is>
          <t>A 41270-2023</t>
        </is>
      </c>
      <c r="B533" s="1" t="n">
        <v>45174.54952546296</v>
      </c>
      <c r="C533" s="1" t="n">
        <v>45976</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32932-2024</t>
        </is>
      </c>
      <c r="B534" s="1" t="n">
        <v>45517.31537037037</v>
      </c>
      <c r="C534" s="1" t="n">
        <v>45976</v>
      </c>
      <c r="D534" t="inlineStr">
        <is>
          <t>VÄRMLANDS LÄN</t>
        </is>
      </c>
      <c r="E534" t="inlineStr">
        <is>
          <t>TORSBY</t>
        </is>
      </c>
      <c r="G534" t="n">
        <v>6.3</v>
      </c>
      <c r="H534" t="n">
        <v>0</v>
      </c>
      <c r="I534" t="n">
        <v>0</v>
      </c>
      <c r="J534" t="n">
        <v>0</v>
      </c>
      <c r="K534" t="n">
        <v>0</v>
      </c>
      <c r="L534" t="n">
        <v>0</v>
      </c>
      <c r="M534" t="n">
        <v>0</v>
      </c>
      <c r="N534" t="n">
        <v>0</v>
      </c>
      <c r="O534" t="n">
        <v>0</v>
      </c>
      <c r="P534" t="n">
        <v>0</v>
      </c>
      <c r="Q534" t="n">
        <v>0</v>
      </c>
      <c r="R534" s="2" t="inlineStr"/>
    </row>
    <row r="535" ht="15" customHeight="1">
      <c r="A535" t="inlineStr">
        <is>
          <t>A 50852-2023</t>
        </is>
      </c>
      <c r="B535" s="1" t="n">
        <v>45218.29837962963</v>
      </c>
      <c r="C535" s="1" t="n">
        <v>45976</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27677-2024</t>
        </is>
      </c>
      <c r="B536" s="1" t="n">
        <v>45475</v>
      </c>
      <c r="C536" s="1" t="n">
        <v>45976</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27678-2024</t>
        </is>
      </c>
      <c r="B537" s="1" t="n">
        <v>45475</v>
      </c>
      <c r="C537" s="1" t="n">
        <v>45976</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51199-2023</t>
        </is>
      </c>
      <c r="B538" s="1" t="n">
        <v>45219.42247685185</v>
      </c>
      <c r="C538" s="1" t="n">
        <v>45976</v>
      </c>
      <c r="D538" t="inlineStr">
        <is>
          <t>VÄRMLANDS LÄN</t>
        </is>
      </c>
      <c r="E538" t="inlineStr">
        <is>
          <t>TORSBY</t>
        </is>
      </c>
      <c r="G538" t="n">
        <v>4.8</v>
      </c>
      <c r="H538" t="n">
        <v>0</v>
      </c>
      <c r="I538" t="n">
        <v>0</v>
      </c>
      <c r="J538" t="n">
        <v>0</v>
      </c>
      <c r="K538" t="n">
        <v>0</v>
      </c>
      <c r="L538" t="n">
        <v>0</v>
      </c>
      <c r="M538" t="n">
        <v>0</v>
      </c>
      <c r="N538" t="n">
        <v>0</v>
      </c>
      <c r="O538" t="n">
        <v>0</v>
      </c>
      <c r="P538" t="n">
        <v>0</v>
      </c>
      <c r="Q538" t="n">
        <v>0</v>
      </c>
      <c r="R538" s="2" t="inlineStr"/>
    </row>
    <row r="539" ht="15" customHeight="1">
      <c r="A539" t="inlineStr">
        <is>
          <t>A 26042-2024</t>
        </is>
      </c>
      <c r="B539" s="1" t="n">
        <v>45468.29846064815</v>
      </c>
      <c r="C539" s="1" t="n">
        <v>45976</v>
      </c>
      <c r="D539" t="inlineStr">
        <is>
          <t>VÄRMLANDS LÄN</t>
        </is>
      </c>
      <c r="E539" t="inlineStr">
        <is>
          <t>TORSBY</t>
        </is>
      </c>
      <c r="G539" t="n">
        <v>0.9</v>
      </c>
      <c r="H539" t="n">
        <v>0</v>
      </c>
      <c r="I539" t="n">
        <v>0</v>
      </c>
      <c r="J539" t="n">
        <v>0</v>
      </c>
      <c r="K539" t="n">
        <v>0</v>
      </c>
      <c r="L539" t="n">
        <v>0</v>
      </c>
      <c r="M539" t="n">
        <v>0</v>
      </c>
      <c r="N539" t="n">
        <v>0</v>
      </c>
      <c r="O539" t="n">
        <v>0</v>
      </c>
      <c r="P539" t="n">
        <v>0</v>
      </c>
      <c r="Q539" t="n">
        <v>0</v>
      </c>
      <c r="R539" s="2" t="inlineStr"/>
    </row>
    <row r="540" ht="15" customHeight="1">
      <c r="A540" t="inlineStr">
        <is>
          <t>A 15464-2025</t>
        </is>
      </c>
      <c r="B540" s="1" t="n">
        <v>45747</v>
      </c>
      <c r="C540" s="1" t="n">
        <v>45976</v>
      </c>
      <c r="D540" t="inlineStr">
        <is>
          <t>VÄRMLANDS LÄN</t>
        </is>
      </c>
      <c r="E540" t="inlineStr">
        <is>
          <t>TORSBY</t>
        </is>
      </c>
      <c r="G540" t="n">
        <v>0.6</v>
      </c>
      <c r="H540" t="n">
        <v>0</v>
      </c>
      <c r="I540" t="n">
        <v>0</v>
      </c>
      <c r="J540" t="n">
        <v>0</v>
      </c>
      <c r="K540" t="n">
        <v>0</v>
      </c>
      <c r="L540" t="n">
        <v>0</v>
      </c>
      <c r="M540" t="n">
        <v>0</v>
      </c>
      <c r="N540" t="n">
        <v>0</v>
      </c>
      <c r="O540" t="n">
        <v>0</v>
      </c>
      <c r="P540" t="n">
        <v>0</v>
      </c>
      <c r="Q540" t="n">
        <v>0</v>
      </c>
      <c r="R540" s="2" t="inlineStr"/>
    </row>
    <row r="541" ht="15" customHeight="1">
      <c r="A541" t="inlineStr">
        <is>
          <t>A 52580-2023</t>
        </is>
      </c>
      <c r="B541" s="1" t="n">
        <v>45225.59354166667</v>
      </c>
      <c r="C541" s="1" t="n">
        <v>45976</v>
      </c>
      <c r="D541" t="inlineStr">
        <is>
          <t>VÄRMLANDS LÄN</t>
        </is>
      </c>
      <c r="E541" t="inlineStr">
        <is>
          <t>TORSBY</t>
        </is>
      </c>
      <c r="G541" t="n">
        <v>3.3</v>
      </c>
      <c r="H541" t="n">
        <v>0</v>
      </c>
      <c r="I541" t="n">
        <v>0</v>
      </c>
      <c r="J541" t="n">
        <v>0</v>
      </c>
      <c r="K541" t="n">
        <v>0</v>
      </c>
      <c r="L541" t="n">
        <v>0</v>
      </c>
      <c r="M541" t="n">
        <v>0</v>
      </c>
      <c r="N541" t="n">
        <v>0</v>
      </c>
      <c r="O541" t="n">
        <v>0</v>
      </c>
      <c r="P541" t="n">
        <v>0</v>
      </c>
      <c r="Q541" t="n">
        <v>0</v>
      </c>
      <c r="R541" s="2" t="inlineStr"/>
    </row>
    <row r="542" ht="15" customHeight="1">
      <c r="A542" t="inlineStr">
        <is>
          <t>A 52591-2023</t>
        </is>
      </c>
      <c r="B542" s="1" t="n">
        <v>45225</v>
      </c>
      <c r="C542" s="1" t="n">
        <v>45976</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52982-2023</t>
        </is>
      </c>
      <c r="B543" s="1" t="n">
        <v>45226.61299768519</v>
      </c>
      <c r="C543" s="1" t="n">
        <v>45976</v>
      </c>
      <c r="D543" t="inlineStr">
        <is>
          <t>VÄRMLANDS LÄN</t>
        </is>
      </c>
      <c r="E543" t="inlineStr">
        <is>
          <t>TORSBY</t>
        </is>
      </c>
      <c r="G543" t="n">
        <v>35.5</v>
      </c>
      <c r="H543" t="n">
        <v>0</v>
      </c>
      <c r="I543" t="n">
        <v>0</v>
      </c>
      <c r="J543" t="n">
        <v>0</v>
      </c>
      <c r="K543" t="n">
        <v>0</v>
      </c>
      <c r="L543" t="n">
        <v>0</v>
      </c>
      <c r="M543" t="n">
        <v>0</v>
      </c>
      <c r="N543" t="n">
        <v>0</v>
      </c>
      <c r="O543" t="n">
        <v>0</v>
      </c>
      <c r="P543" t="n">
        <v>0</v>
      </c>
      <c r="Q543" t="n">
        <v>0</v>
      </c>
      <c r="R543" s="2" t="inlineStr"/>
    </row>
    <row r="544" ht="15" customHeight="1">
      <c r="A544" t="inlineStr">
        <is>
          <t>A 58976-2024</t>
        </is>
      </c>
      <c r="B544" s="1" t="n">
        <v>45636.6081712963</v>
      </c>
      <c r="C544" s="1" t="n">
        <v>45976</v>
      </c>
      <c r="D544" t="inlineStr">
        <is>
          <t>VÄRMLANDS LÄN</t>
        </is>
      </c>
      <c r="E544" t="inlineStr">
        <is>
          <t>TORSBY</t>
        </is>
      </c>
      <c r="G544" t="n">
        <v>0.6</v>
      </c>
      <c r="H544" t="n">
        <v>0</v>
      </c>
      <c r="I544" t="n">
        <v>0</v>
      </c>
      <c r="J544" t="n">
        <v>0</v>
      </c>
      <c r="K544" t="n">
        <v>0</v>
      </c>
      <c r="L544" t="n">
        <v>0</v>
      </c>
      <c r="M544" t="n">
        <v>0</v>
      </c>
      <c r="N544" t="n">
        <v>0</v>
      </c>
      <c r="O544" t="n">
        <v>0</v>
      </c>
      <c r="P544" t="n">
        <v>0</v>
      </c>
      <c r="Q544" t="n">
        <v>0</v>
      </c>
      <c r="R544" s="2" t="inlineStr"/>
    </row>
    <row r="545" ht="15" customHeight="1">
      <c r="A545" t="inlineStr">
        <is>
          <t>A 59613-2024</t>
        </is>
      </c>
      <c r="B545" s="1" t="n">
        <v>45638</v>
      </c>
      <c r="C545" s="1" t="n">
        <v>45976</v>
      </c>
      <c r="D545" t="inlineStr">
        <is>
          <t>VÄRMLANDS LÄN</t>
        </is>
      </c>
      <c r="E545" t="inlineStr">
        <is>
          <t>TORSBY</t>
        </is>
      </c>
      <c r="G545" t="n">
        <v>4.6</v>
      </c>
      <c r="H545" t="n">
        <v>0</v>
      </c>
      <c r="I545" t="n">
        <v>0</v>
      </c>
      <c r="J545" t="n">
        <v>0</v>
      </c>
      <c r="K545" t="n">
        <v>0</v>
      </c>
      <c r="L545" t="n">
        <v>0</v>
      </c>
      <c r="M545" t="n">
        <v>0</v>
      </c>
      <c r="N545" t="n">
        <v>0</v>
      </c>
      <c r="O545" t="n">
        <v>0</v>
      </c>
      <c r="P545" t="n">
        <v>0</v>
      </c>
      <c r="Q545" t="n">
        <v>0</v>
      </c>
      <c r="R545" s="2" t="inlineStr"/>
    </row>
    <row r="546" ht="15" customHeight="1">
      <c r="A546" t="inlineStr">
        <is>
          <t>A 54033-2021</t>
        </is>
      </c>
      <c r="B546" s="1" t="n">
        <v>44470.38454861111</v>
      </c>
      <c r="C546" s="1" t="n">
        <v>45976</v>
      </c>
      <c r="D546" t="inlineStr">
        <is>
          <t>VÄRMLANDS LÄN</t>
        </is>
      </c>
      <c r="E546" t="inlineStr">
        <is>
          <t>TORSBY</t>
        </is>
      </c>
      <c r="G546" t="n">
        <v>6</v>
      </c>
      <c r="H546" t="n">
        <v>0</v>
      </c>
      <c r="I546" t="n">
        <v>0</v>
      </c>
      <c r="J546" t="n">
        <v>0</v>
      </c>
      <c r="K546" t="n">
        <v>0</v>
      </c>
      <c r="L546" t="n">
        <v>0</v>
      </c>
      <c r="M546" t="n">
        <v>0</v>
      </c>
      <c r="N546" t="n">
        <v>0</v>
      </c>
      <c r="O546" t="n">
        <v>0</v>
      </c>
      <c r="P546" t="n">
        <v>0</v>
      </c>
      <c r="Q546" t="n">
        <v>0</v>
      </c>
      <c r="R546" s="2" t="inlineStr"/>
    </row>
    <row r="547" ht="15" customHeight="1">
      <c r="A547" t="inlineStr">
        <is>
          <t>A 58062-2021</t>
        </is>
      </c>
      <c r="B547" s="1" t="n">
        <v>44487</v>
      </c>
      <c r="C547" s="1" t="n">
        <v>45976</v>
      </c>
      <c r="D547" t="inlineStr">
        <is>
          <t>VÄRMLANDS LÄN</t>
        </is>
      </c>
      <c r="E547" t="inlineStr">
        <is>
          <t>TORSBY</t>
        </is>
      </c>
      <c r="G547" t="n">
        <v>6</v>
      </c>
      <c r="H547" t="n">
        <v>0</v>
      </c>
      <c r="I547" t="n">
        <v>0</v>
      </c>
      <c r="J547" t="n">
        <v>0</v>
      </c>
      <c r="K547" t="n">
        <v>0</v>
      </c>
      <c r="L547" t="n">
        <v>0</v>
      </c>
      <c r="M547" t="n">
        <v>0</v>
      </c>
      <c r="N547" t="n">
        <v>0</v>
      </c>
      <c r="O547" t="n">
        <v>0</v>
      </c>
      <c r="P547" t="n">
        <v>0</v>
      </c>
      <c r="Q547" t="n">
        <v>0</v>
      </c>
      <c r="R547" s="2" t="inlineStr"/>
    </row>
    <row r="548" ht="15" customHeight="1">
      <c r="A548" t="inlineStr">
        <is>
          <t>A 59941-2023</t>
        </is>
      </c>
      <c r="B548" s="1" t="n">
        <v>45257.67721064815</v>
      </c>
      <c r="C548" s="1" t="n">
        <v>45976</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49840-2024</t>
        </is>
      </c>
      <c r="B549" s="1" t="n">
        <v>45597</v>
      </c>
      <c r="C549" s="1" t="n">
        <v>45976</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13561-2023</t>
        </is>
      </c>
      <c r="B550" s="1" t="n">
        <v>45006.47429398148</v>
      </c>
      <c r="C550" s="1" t="n">
        <v>45976</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18411-2023</t>
        </is>
      </c>
      <c r="B551" s="1" t="n">
        <v>45042</v>
      </c>
      <c r="C551" s="1" t="n">
        <v>45976</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19675-2023</t>
        </is>
      </c>
      <c r="B552" s="1" t="n">
        <v>45051</v>
      </c>
      <c r="C552" s="1" t="n">
        <v>45976</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9729-2025</t>
        </is>
      </c>
      <c r="B553" s="1" t="n">
        <v>45715</v>
      </c>
      <c r="C553" s="1" t="n">
        <v>45976</v>
      </c>
      <c r="D553" t="inlineStr">
        <is>
          <t>VÄRMLANDS LÄN</t>
        </is>
      </c>
      <c r="E553" t="inlineStr">
        <is>
          <t>TORSBY</t>
        </is>
      </c>
      <c r="G553" t="n">
        <v>3.4</v>
      </c>
      <c r="H553" t="n">
        <v>0</v>
      </c>
      <c r="I553" t="n">
        <v>0</v>
      </c>
      <c r="J553" t="n">
        <v>0</v>
      </c>
      <c r="K553" t="n">
        <v>0</v>
      </c>
      <c r="L553" t="n">
        <v>0</v>
      </c>
      <c r="M553" t="n">
        <v>0</v>
      </c>
      <c r="N553" t="n">
        <v>0</v>
      </c>
      <c r="O553" t="n">
        <v>0</v>
      </c>
      <c r="P553" t="n">
        <v>0</v>
      </c>
      <c r="Q553" t="n">
        <v>0</v>
      </c>
      <c r="R553" s="2" t="inlineStr"/>
    </row>
    <row r="554" ht="15" customHeight="1">
      <c r="A554" t="inlineStr">
        <is>
          <t>A 36879-2024</t>
        </is>
      </c>
      <c r="B554" s="1" t="n">
        <v>45538</v>
      </c>
      <c r="C554" s="1" t="n">
        <v>45976</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5839-2021</t>
        </is>
      </c>
      <c r="B555" s="1" t="n">
        <v>44231</v>
      </c>
      <c r="C555" s="1" t="n">
        <v>45976</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57216-2023</t>
        </is>
      </c>
      <c r="B556" s="1" t="n">
        <v>45245</v>
      </c>
      <c r="C556" s="1" t="n">
        <v>45976</v>
      </c>
      <c r="D556" t="inlineStr">
        <is>
          <t>VÄRMLANDS LÄN</t>
        </is>
      </c>
      <c r="E556" t="inlineStr">
        <is>
          <t>TORSBY</t>
        </is>
      </c>
      <c r="G556" t="n">
        <v>2.8</v>
      </c>
      <c r="H556" t="n">
        <v>0</v>
      </c>
      <c r="I556" t="n">
        <v>0</v>
      </c>
      <c r="J556" t="n">
        <v>0</v>
      </c>
      <c r="K556" t="n">
        <v>0</v>
      </c>
      <c r="L556" t="n">
        <v>0</v>
      </c>
      <c r="M556" t="n">
        <v>0</v>
      </c>
      <c r="N556" t="n">
        <v>0</v>
      </c>
      <c r="O556" t="n">
        <v>0</v>
      </c>
      <c r="P556" t="n">
        <v>0</v>
      </c>
      <c r="Q556" t="n">
        <v>0</v>
      </c>
      <c r="R556" s="2" t="inlineStr"/>
    </row>
    <row r="557" ht="15" customHeight="1">
      <c r="A557" t="inlineStr">
        <is>
          <t>A 6653-2025</t>
        </is>
      </c>
      <c r="B557" s="1" t="n">
        <v>45700.42601851852</v>
      </c>
      <c r="C557" s="1" t="n">
        <v>45976</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61565-2024</t>
        </is>
      </c>
      <c r="B558" s="1" t="n">
        <v>45646</v>
      </c>
      <c r="C558" s="1" t="n">
        <v>45976</v>
      </c>
      <c r="D558" t="inlineStr">
        <is>
          <t>VÄRMLANDS LÄN</t>
        </is>
      </c>
      <c r="E558" t="inlineStr">
        <is>
          <t>TORSBY</t>
        </is>
      </c>
      <c r="F558" t="inlineStr">
        <is>
          <t>Bergvik skog väst AB</t>
        </is>
      </c>
      <c r="G558" t="n">
        <v>14.4</v>
      </c>
      <c r="H558" t="n">
        <v>0</v>
      </c>
      <c r="I558" t="n">
        <v>0</v>
      </c>
      <c r="J558" t="n">
        <v>0</v>
      </c>
      <c r="K558" t="n">
        <v>0</v>
      </c>
      <c r="L558" t="n">
        <v>0</v>
      </c>
      <c r="M558" t="n">
        <v>0</v>
      </c>
      <c r="N558" t="n">
        <v>0</v>
      </c>
      <c r="O558" t="n">
        <v>0</v>
      </c>
      <c r="P558" t="n">
        <v>0</v>
      </c>
      <c r="Q558" t="n">
        <v>0</v>
      </c>
      <c r="R558" s="2" t="inlineStr"/>
    </row>
    <row r="559" ht="15" customHeight="1">
      <c r="A559" t="inlineStr">
        <is>
          <t>A 45399-2023</t>
        </is>
      </c>
      <c r="B559" s="1" t="n">
        <v>45194</v>
      </c>
      <c r="C559" s="1" t="n">
        <v>45976</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12528-2025</t>
        </is>
      </c>
      <c r="B560" s="1" t="n">
        <v>45730</v>
      </c>
      <c r="C560" s="1" t="n">
        <v>45976</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12554-2025</t>
        </is>
      </c>
      <c r="B561" s="1" t="n">
        <v>45731</v>
      </c>
      <c r="C561" s="1" t="n">
        <v>45976</v>
      </c>
      <c r="D561" t="inlineStr">
        <is>
          <t>VÄRMLANDS LÄN</t>
        </is>
      </c>
      <c r="E561" t="inlineStr">
        <is>
          <t>TORSBY</t>
        </is>
      </c>
      <c r="G561" t="n">
        <v>7.5</v>
      </c>
      <c r="H561" t="n">
        <v>0</v>
      </c>
      <c r="I561" t="n">
        <v>0</v>
      </c>
      <c r="J561" t="n">
        <v>0</v>
      </c>
      <c r="K561" t="n">
        <v>0</v>
      </c>
      <c r="L561" t="n">
        <v>0</v>
      </c>
      <c r="M561" t="n">
        <v>0</v>
      </c>
      <c r="N561" t="n">
        <v>0</v>
      </c>
      <c r="O561" t="n">
        <v>0</v>
      </c>
      <c r="P561" t="n">
        <v>0</v>
      </c>
      <c r="Q561" t="n">
        <v>0</v>
      </c>
      <c r="R561" s="2" t="inlineStr"/>
    </row>
    <row r="562" ht="15" customHeight="1">
      <c r="A562" t="inlineStr">
        <is>
          <t>A 37300-2025</t>
        </is>
      </c>
      <c r="B562" s="1" t="n">
        <v>45876</v>
      </c>
      <c r="C562" s="1" t="n">
        <v>45976</v>
      </c>
      <c r="D562" t="inlineStr">
        <is>
          <t>VÄRMLANDS LÄN</t>
        </is>
      </c>
      <c r="E562" t="inlineStr">
        <is>
          <t>TORSBY</t>
        </is>
      </c>
      <c r="F562" t="inlineStr">
        <is>
          <t>Bergvik skog väst AB</t>
        </is>
      </c>
      <c r="G562" t="n">
        <v>33.6</v>
      </c>
      <c r="H562" t="n">
        <v>0</v>
      </c>
      <c r="I562" t="n">
        <v>0</v>
      </c>
      <c r="J562" t="n">
        <v>0</v>
      </c>
      <c r="K562" t="n">
        <v>0</v>
      </c>
      <c r="L562" t="n">
        <v>0</v>
      </c>
      <c r="M562" t="n">
        <v>0</v>
      </c>
      <c r="N562" t="n">
        <v>0</v>
      </c>
      <c r="O562" t="n">
        <v>0</v>
      </c>
      <c r="P562" t="n">
        <v>0</v>
      </c>
      <c r="Q562" t="n">
        <v>0</v>
      </c>
      <c r="R562" s="2" t="inlineStr"/>
    </row>
    <row r="563" ht="15" customHeight="1">
      <c r="A563" t="inlineStr">
        <is>
          <t>A 35777-2024</t>
        </is>
      </c>
      <c r="B563" s="1" t="n">
        <v>45532</v>
      </c>
      <c r="C563" s="1" t="n">
        <v>45976</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36782-2024</t>
        </is>
      </c>
      <c r="B564" s="1" t="n">
        <v>45538</v>
      </c>
      <c r="C564" s="1" t="n">
        <v>45976</v>
      </c>
      <c r="D564" t="inlineStr">
        <is>
          <t>VÄRMLANDS LÄN</t>
        </is>
      </c>
      <c r="E564" t="inlineStr">
        <is>
          <t>TORSBY</t>
        </is>
      </c>
      <c r="G564" t="n">
        <v>4.6</v>
      </c>
      <c r="H564" t="n">
        <v>0</v>
      </c>
      <c r="I564" t="n">
        <v>0</v>
      </c>
      <c r="J564" t="n">
        <v>0</v>
      </c>
      <c r="K564" t="n">
        <v>0</v>
      </c>
      <c r="L564" t="n">
        <v>0</v>
      </c>
      <c r="M564" t="n">
        <v>0</v>
      </c>
      <c r="N564" t="n">
        <v>0</v>
      </c>
      <c r="O564" t="n">
        <v>0</v>
      </c>
      <c r="P564" t="n">
        <v>0</v>
      </c>
      <c r="Q564" t="n">
        <v>0</v>
      </c>
      <c r="R564" s="2" t="inlineStr"/>
    </row>
    <row r="565" ht="15" customHeight="1">
      <c r="A565" t="inlineStr">
        <is>
          <t>A 36790-2024</t>
        </is>
      </c>
      <c r="B565" s="1" t="n">
        <v>45538.43484953704</v>
      </c>
      <c r="C565" s="1" t="n">
        <v>45976</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50372-2024</t>
        </is>
      </c>
      <c r="B566" s="1" t="n">
        <v>45601.25935185186</v>
      </c>
      <c r="C566" s="1" t="n">
        <v>45976</v>
      </c>
      <c r="D566" t="inlineStr">
        <is>
          <t>VÄRMLANDS LÄN</t>
        </is>
      </c>
      <c r="E566" t="inlineStr">
        <is>
          <t>TORSBY</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49845-2024</t>
        </is>
      </c>
      <c r="B567" s="1" t="n">
        <v>45597</v>
      </c>
      <c r="C567" s="1" t="n">
        <v>45976</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25264-2024</t>
        </is>
      </c>
      <c r="B568" s="1" t="n">
        <v>45462.61859953704</v>
      </c>
      <c r="C568" s="1" t="n">
        <v>45976</v>
      </c>
      <c r="D568" t="inlineStr">
        <is>
          <t>VÄRMLANDS LÄN</t>
        </is>
      </c>
      <c r="E568" t="inlineStr">
        <is>
          <t>TORSBY</t>
        </is>
      </c>
      <c r="G568" t="n">
        <v>10.7</v>
      </c>
      <c r="H568" t="n">
        <v>0</v>
      </c>
      <c r="I568" t="n">
        <v>0</v>
      </c>
      <c r="J568" t="n">
        <v>0</v>
      </c>
      <c r="K568" t="n">
        <v>0</v>
      </c>
      <c r="L568" t="n">
        <v>0</v>
      </c>
      <c r="M568" t="n">
        <v>0</v>
      </c>
      <c r="N568" t="n">
        <v>0</v>
      </c>
      <c r="O568" t="n">
        <v>0</v>
      </c>
      <c r="P568" t="n">
        <v>0</v>
      </c>
      <c r="Q568" t="n">
        <v>0</v>
      </c>
      <c r="R568" s="2" t="inlineStr"/>
    </row>
    <row r="569" ht="15" customHeight="1">
      <c r="A569" t="inlineStr">
        <is>
          <t>A 37273-2025</t>
        </is>
      </c>
      <c r="B569" s="1" t="n">
        <v>45876</v>
      </c>
      <c r="C569" s="1" t="n">
        <v>45976</v>
      </c>
      <c r="D569" t="inlineStr">
        <is>
          <t>VÄRMLANDS LÄN</t>
        </is>
      </c>
      <c r="E569" t="inlineStr">
        <is>
          <t>TORSBY</t>
        </is>
      </c>
      <c r="F569" t="inlineStr">
        <is>
          <t>Bergvik skog väst AB</t>
        </is>
      </c>
      <c r="G569" t="n">
        <v>10.4</v>
      </c>
      <c r="H569" t="n">
        <v>0</v>
      </c>
      <c r="I569" t="n">
        <v>0</v>
      </c>
      <c r="J569" t="n">
        <v>0</v>
      </c>
      <c r="K569" t="n">
        <v>0</v>
      </c>
      <c r="L569" t="n">
        <v>0</v>
      </c>
      <c r="M569" t="n">
        <v>0</v>
      </c>
      <c r="N569" t="n">
        <v>0</v>
      </c>
      <c r="O569" t="n">
        <v>0</v>
      </c>
      <c r="P569" t="n">
        <v>0</v>
      </c>
      <c r="Q569" t="n">
        <v>0</v>
      </c>
      <c r="R569" s="2" t="inlineStr"/>
    </row>
    <row r="570" ht="15" customHeight="1">
      <c r="A570" t="inlineStr">
        <is>
          <t>A 37334-2025</t>
        </is>
      </c>
      <c r="B570" s="1" t="n">
        <v>45876.66663194444</v>
      </c>
      <c r="C570" s="1" t="n">
        <v>45976</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37339-2025</t>
        </is>
      </c>
      <c r="B571" s="1" t="n">
        <v>45876.68457175926</v>
      </c>
      <c r="C571" s="1" t="n">
        <v>45976</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492-2025</t>
        </is>
      </c>
      <c r="B572" s="1" t="n">
        <v>45664.46337962963</v>
      </c>
      <c r="C572" s="1" t="n">
        <v>45976</v>
      </c>
      <c r="D572" t="inlineStr">
        <is>
          <t>VÄRMLANDS LÄN</t>
        </is>
      </c>
      <c r="E572" t="inlineStr">
        <is>
          <t>TORSBY</t>
        </is>
      </c>
      <c r="G572" t="n">
        <v>6.9</v>
      </c>
      <c r="H572" t="n">
        <v>0</v>
      </c>
      <c r="I572" t="n">
        <v>0</v>
      </c>
      <c r="J572" t="n">
        <v>0</v>
      </c>
      <c r="K572" t="n">
        <v>0</v>
      </c>
      <c r="L572" t="n">
        <v>0</v>
      </c>
      <c r="M572" t="n">
        <v>0</v>
      </c>
      <c r="N572" t="n">
        <v>0</v>
      </c>
      <c r="O572" t="n">
        <v>0</v>
      </c>
      <c r="P572" t="n">
        <v>0</v>
      </c>
      <c r="Q572" t="n">
        <v>0</v>
      </c>
      <c r="R572" s="2" t="inlineStr"/>
    </row>
    <row r="573" ht="15" customHeight="1">
      <c r="A573" t="inlineStr">
        <is>
          <t>A 37752-2022</t>
        </is>
      </c>
      <c r="B573" s="1" t="n">
        <v>44810</v>
      </c>
      <c r="C573" s="1" t="n">
        <v>45976</v>
      </c>
      <c r="D573" t="inlineStr">
        <is>
          <t>VÄRMLANDS LÄN</t>
        </is>
      </c>
      <c r="E573" t="inlineStr">
        <is>
          <t>TORSBY</t>
        </is>
      </c>
      <c r="F573" t="inlineStr">
        <is>
          <t>Kyrkan</t>
        </is>
      </c>
      <c r="G573" t="n">
        <v>4.5</v>
      </c>
      <c r="H573" t="n">
        <v>0</v>
      </c>
      <c r="I573" t="n">
        <v>0</v>
      </c>
      <c r="J573" t="n">
        <v>0</v>
      </c>
      <c r="K573" t="n">
        <v>0</v>
      </c>
      <c r="L573" t="n">
        <v>0</v>
      </c>
      <c r="M573" t="n">
        <v>0</v>
      </c>
      <c r="N573" t="n">
        <v>0</v>
      </c>
      <c r="O573" t="n">
        <v>0</v>
      </c>
      <c r="P573" t="n">
        <v>0</v>
      </c>
      <c r="Q573" t="n">
        <v>0</v>
      </c>
      <c r="R573" s="2" t="inlineStr"/>
    </row>
    <row r="574" ht="15" customHeight="1">
      <c r="A574" t="inlineStr">
        <is>
          <t>A 37381-2025</t>
        </is>
      </c>
      <c r="B574" s="1" t="n">
        <v>45877</v>
      </c>
      <c r="C574" s="1" t="n">
        <v>45976</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54029-2021</t>
        </is>
      </c>
      <c r="B575" s="1" t="n">
        <v>44470.37834490741</v>
      </c>
      <c r="C575" s="1" t="n">
        <v>45976</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54160-2022</t>
        </is>
      </c>
      <c r="B576" s="1" t="n">
        <v>44881</v>
      </c>
      <c r="C576" s="1" t="n">
        <v>45976</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41315-2022</t>
        </is>
      </c>
      <c r="B577" s="1" t="n">
        <v>44826</v>
      </c>
      <c r="C577" s="1" t="n">
        <v>45976</v>
      </c>
      <c r="D577" t="inlineStr">
        <is>
          <t>VÄRMLANDS LÄN</t>
        </is>
      </c>
      <c r="E577" t="inlineStr">
        <is>
          <t>TORSBY</t>
        </is>
      </c>
      <c r="G577" t="n">
        <v>5.5</v>
      </c>
      <c r="H577" t="n">
        <v>0</v>
      </c>
      <c r="I577" t="n">
        <v>0</v>
      </c>
      <c r="J577" t="n">
        <v>0</v>
      </c>
      <c r="K577" t="n">
        <v>0</v>
      </c>
      <c r="L577" t="n">
        <v>0</v>
      </c>
      <c r="M577" t="n">
        <v>0</v>
      </c>
      <c r="N577" t="n">
        <v>0</v>
      </c>
      <c r="O577" t="n">
        <v>0</v>
      </c>
      <c r="P577" t="n">
        <v>0</v>
      </c>
      <c r="Q577" t="n">
        <v>0</v>
      </c>
      <c r="R577" s="2" t="inlineStr"/>
    </row>
    <row r="578" ht="15" customHeight="1">
      <c r="A578" t="inlineStr">
        <is>
          <t>A 41322-2022</t>
        </is>
      </c>
      <c r="B578" s="1" t="n">
        <v>44826</v>
      </c>
      <c r="C578" s="1" t="n">
        <v>45976</v>
      </c>
      <c r="D578" t="inlineStr">
        <is>
          <t>VÄRMLANDS LÄN</t>
        </is>
      </c>
      <c r="E578" t="inlineStr">
        <is>
          <t>TORSBY</t>
        </is>
      </c>
      <c r="G578" t="n">
        <v>3.7</v>
      </c>
      <c r="H578" t="n">
        <v>0</v>
      </c>
      <c r="I578" t="n">
        <v>0</v>
      </c>
      <c r="J578" t="n">
        <v>0</v>
      </c>
      <c r="K578" t="n">
        <v>0</v>
      </c>
      <c r="L578" t="n">
        <v>0</v>
      </c>
      <c r="M578" t="n">
        <v>0</v>
      </c>
      <c r="N578" t="n">
        <v>0</v>
      </c>
      <c r="O578" t="n">
        <v>0</v>
      </c>
      <c r="P578" t="n">
        <v>0</v>
      </c>
      <c r="Q578" t="n">
        <v>0</v>
      </c>
      <c r="R578" s="2" t="inlineStr"/>
    </row>
    <row r="579" ht="15" customHeight="1">
      <c r="A579" t="inlineStr">
        <is>
          <t>A 50138-2023</t>
        </is>
      </c>
      <c r="B579" s="1" t="n">
        <v>45215.66738425926</v>
      </c>
      <c r="C579" s="1" t="n">
        <v>45976</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7927-2024</t>
        </is>
      </c>
      <c r="B580" s="1" t="n">
        <v>45350</v>
      </c>
      <c r="C580" s="1" t="n">
        <v>45976</v>
      </c>
      <c r="D580" t="inlineStr">
        <is>
          <t>VÄRMLANDS LÄN</t>
        </is>
      </c>
      <c r="E580" t="inlineStr">
        <is>
          <t>TORSBY</t>
        </is>
      </c>
      <c r="G580" t="n">
        <v>3.3</v>
      </c>
      <c r="H580" t="n">
        <v>0</v>
      </c>
      <c r="I580" t="n">
        <v>0</v>
      </c>
      <c r="J580" t="n">
        <v>0</v>
      </c>
      <c r="K580" t="n">
        <v>0</v>
      </c>
      <c r="L580" t="n">
        <v>0</v>
      </c>
      <c r="M580" t="n">
        <v>0</v>
      </c>
      <c r="N580" t="n">
        <v>0</v>
      </c>
      <c r="O580" t="n">
        <v>0</v>
      </c>
      <c r="P580" t="n">
        <v>0</v>
      </c>
      <c r="Q580" t="n">
        <v>0</v>
      </c>
      <c r="R580" s="2" t="inlineStr"/>
    </row>
    <row r="581" ht="15" customHeight="1">
      <c r="A581" t="inlineStr">
        <is>
          <t>A 37230-2025</t>
        </is>
      </c>
      <c r="B581" s="1" t="n">
        <v>45876</v>
      </c>
      <c r="C581" s="1" t="n">
        <v>45976</v>
      </c>
      <c r="D581" t="inlineStr">
        <is>
          <t>VÄRMLANDS LÄN</t>
        </is>
      </c>
      <c r="E581" t="inlineStr">
        <is>
          <t>TORSBY</t>
        </is>
      </c>
      <c r="F581" t="inlineStr">
        <is>
          <t>Bergvik skog väst AB</t>
        </is>
      </c>
      <c r="G581" t="n">
        <v>7.2</v>
      </c>
      <c r="H581" t="n">
        <v>0</v>
      </c>
      <c r="I581" t="n">
        <v>0</v>
      </c>
      <c r="J581" t="n">
        <v>0</v>
      </c>
      <c r="K581" t="n">
        <v>0</v>
      </c>
      <c r="L581" t="n">
        <v>0</v>
      </c>
      <c r="M581" t="n">
        <v>0</v>
      </c>
      <c r="N581" t="n">
        <v>0</v>
      </c>
      <c r="O581" t="n">
        <v>0</v>
      </c>
      <c r="P581" t="n">
        <v>0</v>
      </c>
      <c r="Q581" t="n">
        <v>0</v>
      </c>
      <c r="R581" s="2" t="inlineStr"/>
    </row>
    <row r="582" ht="15" customHeight="1">
      <c r="A582" t="inlineStr">
        <is>
          <t>A 31493-2021</t>
        </is>
      </c>
      <c r="B582" s="1" t="n">
        <v>44369</v>
      </c>
      <c r="C582" s="1" t="n">
        <v>45976</v>
      </c>
      <c r="D582" t="inlineStr">
        <is>
          <t>VÄRMLANDS LÄN</t>
        </is>
      </c>
      <c r="E582" t="inlineStr">
        <is>
          <t>TORSBY</t>
        </is>
      </c>
      <c r="G582" t="n">
        <v>2.6</v>
      </c>
      <c r="H582" t="n">
        <v>0</v>
      </c>
      <c r="I582" t="n">
        <v>0</v>
      </c>
      <c r="J582" t="n">
        <v>0</v>
      </c>
      <c r="K582" t="n">
        <v>0</v>
      </c>
      <c r="L582" t="n">
        <v>0</v>
      </c>
      <c r="M582" t="n">
        <v>0</v>
      </c>
      <c r="N582" t="n">
        <v>0</v>
      </c>
      <c r="O582" t="n">
        <v>0</v>
      </c>
      <c r="P582" t="n">
        <v>0</v>
      </c>
      <c r="Q582" t="n">
        <v>0</v>
      </c>
      <c r="R582" s="2" t="inlineStr"/>
    </row>
    <row r="583" ht="15" customHeight="1">
      <c r="A583" t="inlineStr">
        <is>
          <t>A 40718-2022</t>
        </is>
      </c>
      <c r="B583" s="1" t="n">
        <v>44824.49635416667</v>
      </c>
      <c r="C583" s="1" t="n">
        <v>45976</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12402-2025</t>
        </is>
      </c>
      <c r="B584" s="1" t="n">
        <v>45730.4228125</v>
      </c>
      <c r="C584" s="1" t="n">
        <v>45976</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22386-2025</t>
        </is>
      </c>
      <c r="B585" s="1" t="n">
        <v>45786.50703703704</v>
      </c>
      <c r="C585" s="1" t="n">
        <v>45976</v>
      </c>
      <c r="D585" t="inlineStr">
        <is>
          <t>VÄRMLANDS LÄN</t>
        </is>
      </c>
      <c r="E585" t="inlineStr">
        <is>
          <t>TORSBY</t>
        </is>
      </c>
      <c r="G585" t="n">
        <v>5.2</v>
      </c>
      <c r="H585" t="n">
        <v>0</v>
      </c>
      <c r="I585" t="n">
        <v>0</v>
      </c>
      <c r="J585" t="n">
        <v>0</v>
      </c>
      <c r="K585" t="n">
        <v>0</v>
      </c>
      <c r="L585" t="n">
        <v>0</v>
      </c>
      <c r="M585" t="n">
        <v>0</v>
      </c>
      <c r="N585" t="n">
        <v>0</v>
      </c>
      <c r="O585" t="n">
        <v>0</v>
      </c>
      <c r="P585" t="n">
        <v>0</v>
      </c>
      <c r="Q585" t="n">
        <v>0</v>
      </c>
      <c r="R585" s="2" t="inlineStr"/>
    </row>
    <row r="586" ht="15" customHeight="1">
      <c r="A586" t="inlineStr">
        <is>
          <t>A 30299-2025</t>
        </is>
      </c>
      <c r="B586" s="1" t="n">
        <v>45827</v>
      </c>
      <c r="C586" s="1" t="n">
        <v>45976</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13207-2022</t>
        </is>
      </c>
      <c r="B587" s="1" t="n">
        <v>44644.56116898148</v>
      </c>
      <c r="C587" s="1" t="n">
        <v>45976</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37348-2025</t>
        </is>
      </c>
      <c r="B588" s="1" t="n">
        <v>45876.71136574074</v>
      </c>
      <c r="C588" s="1" t="n">
        <v>45976</v>
      </c>
      <c r="D588" t="inlineStr">
        <is>
          <t>VÄRMLANDS LÄN</t>
        </is>
      </c>
      <c r="E588" t="inlineStr">
        <is>
          <t>TORSBY</t>
        </is>
      </c>
      <c r="G588" t="n">
        <v>0.8</v>
      </c>
      <c r="H588" t="n">
        <v>0</v>
      </c>
      <c r="I588" t="n">
        <v>0</v>
      </c>
      <c r="J588" t="n">
        <v>0</v>
      </c>
      <c r="K588" t="n">
        <v>0</v>
      </c>
      <c r="L588" t="n">
        <v>0</v>
      </c>
      <c r="M588" t="n">
        <v>0</v>
      </c>
      <c r="N588" t="n">
        <v>0</v>
      </c>
      <c r="O588" t="n">
        <v>0</v>
      </c>
      <c r="P588" t="n">
        <v>0</v>
      </c>
      <c r="Q588" t="n">
        <v>0</v>
      </c>
      <c r="R588" s="2" t="inlineStr"/>
    </row>
    <row r="589" ht="15" customHeight="1">
      <c r="A589" t="inlineStr">
        <is>
          <t>A 18339-2024</t>
        </is>
      </c>
      <c r="B589" s="1" t="n">
        <v>45422.58119212963</v>
      </c>
      <c r="C589" s="1" t="n">
        <v>45976</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17879-2024</t>
        </is>
      </c>
      <c r="B590" s="1" t="n">
        <v>45419</v>
      </c>
      <c r="C590" s="1" t="n">
        <v>45976</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36674-2023</t>
        </is>
      </c>
      <c r="B591" s="1" t="n">
        <v>45153.5908912037</v>
      </c>
      <c r="C591" s="1" t="n">
        <v>45976</v>
      </c>
      <c r="D591" t="inlineStr">
        <is>
          <t>VÄRMLANDS LÄN</t>
        </is>
      </c>
      <c r="E591" t="inlineStr">
        <is>
          <t>TORSBY</t>
        </is>
      </c>
      <c r="G591" t="n">
        <v>4.9</v>
      </c>
      <c r="H591" t="n">
        <v>0</v>
      </c>
      <c r="I591" t="n">
        <v>0</v>
      </c>
      <c r="J591" t="n">
        <v>0</v>
      </c>
      <c r="K591" t="n">
        <v>0</v>
      </c>
      <c r="L591" t="n">
        <v>0</v>
      </c>
      <c r="M591" t="n">
        <v>0</v>
      </c>
      <c r="N591" t="n">
        <v>0</v>
      </c>
      <c r="O591" t="n">
        <v>0</v>
      </c>
      <c r="P591" t="n">
        <v>0</v>
      </c>
      <c r="Q591" t="n">
        <v>0</v>
      </c>
      <c r="R591" s="2" t="inlineStr"/>
    </row>
    <row r="592" ht="15" customHeight="1">
      <c r="A592" t="inlineStr">
        <is>
          <t>A 54618-2024</t>
        </is>
      </c>
      <c r="B592" s="1" t="n">
        <v>45617</v>
      </c>
      <c r="C592" s="1" t="n">
        <v>45976</v>
      </c>
      <c r="D592" t="inlineStr">
        <is>
          <t>VÄRMLANDS LÄN</t>
        </is>
      </c>
      <c r="E592" t="inlineStr">
        <is>
          <t>TORSBY</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28005-2024</t>
        </is>
      </c>
      <c r="B593" s="1" t="n">
        <v>45476</v>
      </c>
      <c r="C593" s="1" t="n">
        <v>45976</v>
      </c>
      <c r="D593" t="inlineStr">
        <is>
          <t>VÄRMLANDS LÄN</t>
        </is>
      </c>
      <c r="E593" t="inlineStr">
        <is>
          <t>TORSBY</t>
        </is>
      </c>
      <c r="G593" t="n">
        <v>4.5</v>
      </c>
      <c r="H593" t="n">
        <v>0</v>
      </c>
      <c r="I593" t="n">
        <v>0</v>
      </c>
      <c r="J593" t="n">
        <v>0</v>
      </c>
      <c r="K593" t="n">
        <v>0</v>
      </c>
      <c r="L593" t="n">
        <v>0</v>
      </c>
      <c r="M593" t="n">
        <v>0</v>
      </c>
      <c r="N593" t="n">
        <v>0</v>
      </c>
      <c r="O593" t="n">
        <v>0</v>
      </c>
      <c r="P593" t="n">
        <v>0</v>
      </c>
      <c r="Q593" t="n">
        <v>0</v>
      </c>
      <c r="R593" s="2" t="inlineStr"/>
    </row>
    <row r="594" ht="15" customHeight="1">
      <c r="A594" t="inlineStr">
        <is>
          <t>A 17841-2025</t>
        </is>
      </c>
      <c r="B594" s="1" t="n">
        <v>45758</v>
      </c>
      <c r="C594" s="1" t="n">
        <v>45976</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16003-2025</t>
        </is>
      </c>
      <c r="B595" s="1" t="n">
        <v>45749</v>
      </c>
      <c r="C595" s="1" t="n">
        <v>45976</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37236-2025</t>
        </is>
      </c>
      <c r="B596" s="1" t="n">
        <v>45876.36116898148</v>
      </c>
      <c r="C596" s="1" t="n">
        <v>45976</v>
      </c>
      <c r="D596" t="inlineStr">
        <is>
          <t>VÄRMLANDS LÄN</t>
        </is>
      </c>
      <c r="E596" t="inlineStr">
        <is>
          <t>TORSBY</t>
        </is>
      </c>
      <c r="F596" t="inlineStr">
        <is>
          <t>Bergvik skog väst AB</t>
        </is>
      </c>
      <c r="G596" t="n">
        <v>4.2</v>
      </c>
      <c r="H596" t="n">
        <v>0</v>
      </c>
      <c r="I596" t="n">
        <v>0</v>
      </c>
      <c r="J596" t="n">
        <v>0</v>
      </c>
      <c r="K596" t="n">
        <v>0</v>
      </c>
      <c r="L596" t="n">
        <v>0</v>
      </c>
      <c r="M596" t="n">
        <v>0</v>
      </c>
      <c r="N596" t="n">
        <v>0</v>
      </c>
      <c r="O596" t="n">
        <v>0</v>
      </c>
      <c r="P596" t="n">
        <v>0</v>
      </c>
      <c r="Q596" t="n">
        <v>0</v>
      </c>
      <c r="R596" s="2" t="inlineStr"/>
    </row>
    <row r="597" ht="15" customHeight="1">
      <c r="A597" t="inlineStr">
        <is>
          <t>A 45152-2023</t>
        </is>
      </c>
      <c r="B597" s="1" t="n">
        <v>45191</v>
      </c>
      <c r="C597" s="1" t="n">
        <v>45976</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42701-2022</t>
        </is>
      </c>
      <c r="B598" s="1" t="n">
        <v>44832</v>
      </c>
      <c r="C598" s="1" t="n">
        <v>45976</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24150-2021</t>
        </is>
      </c>
      <c r="B599" s="1" t="n">
        <v>44336</v>
      </c>
      <c r="C599" s="1" t="n">
        <v>45976</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37583-2025</t>
        </is>
      </c>
      <c r="B600" s="1" t="n">
        <v>45880</v>
      </c>
      <c r="C600" s="1" t="n">
        <v>45976</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41156-2023</t>
        </is>
      </c>
      <c r="B601" s="1" t="n">
        <v>45174</v>
      </c>
      <c r="C601" s="1" t="n">
        <v>45976</v>
      </c>
      <c r="D601" t="inlineStr">
        <is>
          <t>VÄRMLANDS LÄN</t>
        </is>
      </c>
      <c r="E601" t="inlineStr">
        <is>
          <t>TORSBY</t>
        </is>
      </c>
      <c r="F601" t="inlineStr">
        <is>
          <t>Kyrkan</t>
        </is>
      </c>
      <c r="G601" t="n">
        <v>3.1</v>
      </c>
      <c r="H601" t="n">
        <v>0</v>
      </c>
      <c r="I601" t="n">
        <v>0</v>
      </c>
      <c r="J601" t="n">
        <v>0</v>
      </c>
      <c r="K601" t="n">
        <v>0</v>
      </c>
      <c r="L601" t="n">
        <v>0</v>
      </c>
      <c r="M601" t="n">
        <v>0</v>
      </c>
      <c r="N601" t="n">
        <v>0</v>
      </c>
      <c r="O601" t="n">
        <v>0</v>
      </c>
      <c r="P601" t="n">
        <v>0</v>
      </c>
      <c r="Q601" t="n">
        <v>0</v>
      </c>
      <c r="R601" s="2" t="inlineStr"/>
    </row>
    <row r="602" ht="15" customHeight="1">
      <c r="A602" t="inlineStr">
        <is>
          <t>A 12440-2025</t>
        </is>
      </c>
      <c r="B602" s="1" t="n">
        <v>45730</v>
      </c>
      <c r="C602" s="1" t="n">
        <v>45976</v>
      </c>
      <c r="D602" t="inlineStr">
        <is>
          <t>VÄRMLANDS LÄN</t>
        </is>
      </c>
      <c r="E602" t="inlineStr">
        <is>
          <t>TORSBY</t>
        </is>
      </c>
      <c r="G602" t="n">
        <v>4.7</v>
      </c>
      <c r="H602" t="n">
        <v>0</v>
      </c>
      <c r="I602" t="n">
        <v>0</v>
      </c>
      <c r="J602" t="n">
        <v>0</v>
      </c>
      <c r="K602" t="n">
        <v>0</v>
      </c>
      <c r="L602" t="n">
        <v>0</v>
      </c>
      <c r="M602" t="n">
        <v>0</v>
      </c>
      <c r="N602" t="n">
        <v>0</v>
      </c>
      <c r="O602" t="n">
        <v>0</v>
      </c>
      <c r="P602" t="n">
        <v>0</v>
      </c>
      <c r="Q602" t="n">
        <v>0</v>
      </c>
      <c r="R602" s="2" t="inlineStr"/>
    </row>
    <row r="603" ht="15" customHeight="1">
      <c r="A603" t="inlineStr">
        <is>
          <t>A 37566-2025</t>
        </is>
      </c>
      <c r="B603" s="1" t="n">
        <v>45880</v>
      </c>
      <c r="C603" s="1" t="n">
        <v>45976</v>
      </c>
      <c r="D603" t="inlineStr">
        <is>
          <t>VÄRMLANDS LÄN</t>
        </is>
      </c>
      <c r="E603" t="inlineStr">
        <is>
          <t>TORSBY</t>
        </is>
      </c>
      <c r="G603" t="n">
        <v>3.6</v>
      </c>
      <c r="H603" t="n">
        <v>0</v>
      </c>
      <c r="I603" t="n">
        <v>0</v>
      </c>
      <c r="J603" t="n">
        <v>0</v>
      </c>
      <c r="K603" t="n">
        <v>0</v>
      </c>
      <c r="L603" t="n">
        <v>0</v>
      </c>
      <c r="M603" t="n">
        <v>0</v>
      </c>
      <c r="N603" t="n">
        <v>0</v>
      </c>
      <c r="O603" t="n">
        <v>0</v>
      </c>
      <c r="P603" t="n">
        <v>0</v>
      </c>
      <c r="Q603" t="n">
        <v>0</v>
      </c>
      <c r="R603" s="2" t="inlineStr"/>
    </row>
    <row r="604" ht="15" customHeight="1">
      <c r="A604" t="inlineStr">
        <is>
          <t>A 37937-2025</t>
        </is>
      </c>
      <c r="B604" s="1" t="n">
        <v>45881</v>
      </c>
      <c r="C604" s="1" t="n">
        <v>45976</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37546-2025</t>
        </is>
      </c>
      <c r="B605" s="1" t="n">
        <v>45879</v>
      </c>
      <c r="C605" s="1" t="n">
        <v>45976</v>
      </c>
      <c r="D605" t="inlineStr">
        <is>
          <t>VÄRMLANDS LÄN</t>
        </is>
      </c>
      <c r="E605" t="inlineStr">
        <is>
          <t>TORSBY</t>
        </is>
      </c>
      <c r="G605" t="n">
        <v>1.2</v>
      </c>
      <c r="H605" t="n">
        <v>0</v>
      </c>
      <c r="I605" t="n">
        <v>0</v>
      </c>
      <c r="J605" t="n">
        <v>0</v>
      </c>
      <c r="K605" t="n">
        <v>0</v>
      </c>
      <c r="L605" t="n">
        <v>0</v>
      </c>
      <c r="M605" t="n">
        <v>0</v>
      </c>
      <c r="N605" t="n">
        <v>0</v>
      </c>
      <c r="O605" t="n">
        <v>0</v>
      </c>
      <c r="P605" t="n">
        <v>0</v>
      </c>
      <c r="Q605" t="n">
        <v>0</v>
      </c>
      <c r="R605" s="2" t="inlineStr"/>
    </row>
    <row r="606" ht="15" customHeight="1">
      <c r="A606" t="inlineStr">
        <is>
          <t>A 64672-2023</t>
        </is>
      </c>
      <c r="B606" s="1" t="n">
        <v>45281.61913194445</v>
      </c>
      <c r="C606" s="1" t="n">
        <v>45976</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37547-2025</t>
        </is>
      </c>
      <c r="B607" s="1" t="n">
        <v>45879</v>
      </c>
      <c r="C607" s="1" t="n">
        <v>45976</v>
      </c>
      <c r="D607" t="inlineStr">
        <is>
          <t>VÄRMLANDS LÄN</t>
        </is>
      </c>
      <c r="E607" t="inlineStr">
        <is>
          <t>TORSBY</t>
        </is>
      </c>
      <c r="G607" t="n">
        <v>3.1</v>
      </c>
      <c r="H607" t="n">
        <v>0</v>
      </c>
      <c r="I607" t="n">
        <v>0</v>
      </c>
      <c r="J607" t="n">
        <v>0</v>
      </c>
      <c r="K607" t="n">
        <v>0</v>
      </c>
      <c r="L607" t="n">
        <v>0</v>
      </c>
      <c r="M607" t="n">
        <v>0</v>
      </c>
      <c r="N607" t="n">
        <v>0</v>
      </c>
      <c r="O607" t="n">
        <v>0</v>
      </c>
      <c r="P607" t="n">
        <v>0</v>
      </c>
      <c r="Q607" t="n">
        <v>0</v>
      </c>
      <c r="R607" s="2" t="inlineStr"/>
    </row>
    <row r="608" ht="15" customHeight="1">
      <c r="A608" t="inlineStr">
        <is>
          <t>A 37904-2025</t>
        </is>
      </c>
      <c r="B608" s="1" t="n">
        <v>45881</v>
      </c>
      <c r="C608" s="1" t="n">
        <v>45976</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1123-2023</t>
        </is>
      </c>
      <c r="B609" s="1" t="n">
        <v>44935</v>
      </c>
      <c r="C609" s="1" t="n">
        <v>45976</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9704-2025</t>
        </is>
      </c>
      <c r="B610" s="1" t="n">
        <v>45716.38378472222</v>
      </c>
      <c r="C610" s="1" t="n">
        <v>45976</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37908-2025</t>
        </is>
      </c>
      <c r="B611" s="1" t="n">
        <v>45881.5732175926</v>
      </c>
      <c r="C611" s="1" t="n">
        <v>45976</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37945-2025</t>
        </is>
      </c>
      <c r="B612" s="1" t="n">
        <v>45881</v>
      </c>
      <c r="C612" s="1" t="n">
        <v>45976</v>
      </c>
      <c r="D612" t="inlineStr">
        <is>
          <t>VÄRMLANDS LÄN</t>
        </is>
      </c>
      <c r="E612" t="inlineStr">
        <is>
          <t>TORSBY</t>
        </is>
      </c>
      <c r="G612" t="n">
        <v>3.2</v>
      </c>
      <c r="H612" t="n">
        <v>0</v>
      </c>
      <c r="I612" t="n">
        <v>0</v>
      </c>
      <c r="J612" t="n">
        <v>0</v>
      </c>
      <c r="K612" t="n">
        <v>0</v>
      </c>
      <c r="L612" t="n">
        <v>0</v>
      </c>
      <c r="M612" t="n">
        <v>0</v>
      </c>
      <c r="N612" t="n">
        <v>0</v>
      </c>
      <c r="O612" t="n">
        <v>0</v>
      </c>
      <c r="P612" t="n">
        <v>0</v>
      </c>
      <c r="Q612" t="n">
        <v>0</v>
      </c>
      <c r="R612" s="2" t="inlineStr"/>
    </row>
    <row r="613" ht="15" customHeight="1">
      <c r="A613" t="inlineStr">
        <is>
          <t>A 37575-2025</t>
        </is>
      </c>
      <c r="B613" s="1" t="n">
        <v>45880.38028935185</v>
      </c>
      <c r="C613" s="1" t="n">
        <v>45976</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37760-2025</t>
        </is>
      </c>
      <c r="B614" s="1" t="n">
        <v>45880</v>
      </c>
      <c r="C614" s="1" t="n">
        <v>45976</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52447-2022</t>
        </is>
      </c>
      <c r="B615" s="1" t="n">
        <v>44874</v>
      </c>
      <c r="C615" s="1" t="n">
        <v>45976</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55031-2023</t>
        </is>
      </c>
      <c r="B616" s="1" t="n">
        <v>45237.34733796296</v>
      </c>
      <c r="C616" s="1" t="n">
        <v>45976</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37927-2025</t>
        </is>
      </c>
      <c r="B617" s="1" t="n">
        <v>45881.58063657407</v>
      </c>
      <c r="C617" s="1" t="n">
        <v>45976</v>
      </c>
      <c r="D617" t="inlineStr">
        <is>
          <t>VÄRMLANDS LÄN</t>
        </is>
      </c>
      <c r="E617" t="inlineStr">
        <is>
          <t>TORSBY</t>
        </is>
      </c>
      <c r="G617" t="n">
        <v>2.7</v>
      </c>
      <c r="H617" t="n">
        <v>0</v>
      </c>
      <c r="I617" t="n">
        <v>0</v>
      </c>
      <c r="J617" t="n">
        <v>0</v>
      </c>
      <c r="K617" t="n">
        <v>0</v>
      </c>
      <c r="L617" t="n">
        <v>0</v>
      </c>
      <c r="M617" t="n">
        <v>0</v>
      </c>
      <c r="N617" t="n">
        <v>0</v>
      </c>
      <c r="O617" t="n">
        <v>0</v>
      </c>
      <c r="P617" t="n">
        <v>0</v>
      </c>
      <c r="Q617" t="n">
        <v>0</v>
      </c>
      <c r="R617" s="2" t="inlineStr"/>
    </row>
    <row r="618" ht="15" customHeight="1">
      <c r="A618" t="inlineStr">
        <is>
          <t>A 37736-2025</t>
        </is>
      </c>
      <c r="B618" s="1" t="n">
        <v>45880</v>
      </c>
      <c r="C618" s="1" t="n">
        <v>45976</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24630-2024</t>
        </is>
      </c>
      <c r="B619" s="1" t="n">
        <v>45460.51149305556</v>
      </c>
      <c r="C619" s="1" t="n">
        <v>45976</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9871-2024</t>
        </is>
      </c>
      <c r="B620" s="1" t="n">
        <v>45363</v>
      </c>
      <c r="C620" s="1" t="n">
        <v>45976</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38086-2023</t>
        </is>
      </c>
      <c r="B621" s="1" t="n">
        <v>45160</v>
      </c>
      <c r="C621" s="1" t="n">
        <v>45976</v>
      </c>
      <c r="D621" t="inlineStr">
        <is>
          <t>VÄRMLANDS LÄN</t>
        </is>
      </c>
      <c r="E621" t="inlineStr">
        <is>
          <t>TORSBY</t>
        </is>
      </c>
      <c r="G621" t="n">
        <v>6.2</v>
      </c>
      <c r="H621" t="n">
        <v>0</v>
      </c>
      <c r="I621" t="n">
        <v>0</v>
      </c>
      <c r="J621" t="n">
        <v>0</v>
      </c>
      <c r="K621" t="n">
        <v>0</v>
      </c>
      <c r="L621" t="n">
        <v>0</v>
      </c>
      <c r="M621" t="n">
        <v>0</v>
      </c>
      <c r="N621" t="n">
        <v>0</v>
      </c>
      <c r="O621" t="n">
        <v>0</v>
      </c>
      <c r="P621" t="n">
        <v>0</v>
      </c>
      <c r="Q621" t="n">
        <v>0</v>
      </c>
      <c r="R621" s="2" t="inlineStr"/>
    </row>
    <row r="622" ht="15" customHeight="1">
      <c r="A622" t="inlineStr">
        <is>
          <t>A 9723-2025</t>
        </is>
      </c>
      <c r="B622" s="1" t="n">
        <v>45715</v>
      </c>
      <c r="C622" s="1" t="n">
        <v>45976</v>
      </c>
      <c r="D622" t="inlineStr">
        <is>
          <t>VÄRMLANDS LÄN</t>
        </is>
      </c>
      <c r="E622" t="inlineStr">
        <is>
          <t>TORSBY</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364-2025</t>
        </is>
      </c>
      <c r="B623" s="1" t="n">
        <v>45661</v>
      </c>
      <c r="C623" s="1" t="n">
        <v>45976</v>
      </c>
      <c r="D623" t="inlineStr">
        <is>
          <t>VÄRMLANDS LÄN</t>
        </is>
      </c>
      <c r="E623" t="inlineStr">
        <is>
          <t>TORSBY</t>
        </is>
      </c>
      <c r="G623" t="n">
        <v>5.9</v>
      </c>
      <c r="H623" t="n">
        <v>0</v>
      </c>
      <c r="I623" t="n">
        <v>0</v>
      </c>
      <c r="J623" t="n">
        <v>0</v>
      </c>
      <c r="K623" t="n">
        <v>0</v>
      </c>
      <c r="L623" t="n">
        <v>0</v>
      </c>
      <c r="M623" t="n">
        <v>0</v>
      </c>
      <c r="N623" t="n">
        <v>0</v>
      </c>
      <c r="O623" t="n">
        <v>0</v>
      </c>
      <c r="P623" t="n">
        <v>0</v>
      </c>
      <c r="Q623" t="n">
        <v>0</v>
      </c>
      <c r="R623" s="2" t="inlineStr"/>
    </row>
    <row r="624" ht="15" customHeight="1">
      <c r="A624" t="inlineStr">
        <is>
          <t>A 16425-2022</t>
        </is>
      </c>
      <c r="B624" s="1" t="n">
        <v>44671</v>
      </c>
      <c r="C624" s="1" t="n">
        <v>45976</v>
      </c>
      <c r="D624" t="inlineStr">
        <is>
          <t>VÄRMLANDS LÄN</t>
        </is>
      </c>
      <c r="E624" t="inlineStr">
        <is>
          <t>TORSBY</t>
        </is>
      </c>
      <c r="G624" t="n">
        <v>3</v>
      </c>
      <c r="H624" t="n">
        <v>0</v>
      </c>
      <c r="I624" t="n">
        <v>0</v>
      </c>
      <c r="J624" t="n">
        <v>0</v>
      </c>
      <c r="K624" t="n">
        <v>0</v>
      </c>
      <c r="L624" t="n">
        <v>0</v>
      </c>
      <c r="M624" t="n">
        <v>0</v>
      </c>
      <c r="N624" t="n">
        <v>0</v>
      </c>
      <c r="O624" t="n">
        <v>0</v>
      </c>
      <c r="P624" t="n">
        <v>0</v>
      </c>
      <c r="Q624" t="n">
        <v>0</v>
      </c>
      <c r="R624" s="2" t="inlineStr"/>
    </row>
    <row r="625" ht="15" customHeight="1">
      <c r="A625" t="inlineStr">
        <is>
          <t>A 29043-2023</t>
        </is>
      </c>
      <c r="B625" s="1" t="n">
        <v>45104</v>
      </c>
      <c r="C625" s="1" t="n">
        <v>45976</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38056-2025</t>
        </is>
      </c>
      <c r="B626" s="1" t="n">
        <v>45882</v>
      </c>
      <c r="C626" s="1" t="n">
        <v>45976</v>
      </c>
      <c r="D626" t="inlineStr">
        <is>
          <t>VÄRMLANDS LÄN</t>
        </is>
      </c>
      <c r="E626" t="inlineStr">
        <is>
          <t>TORSBY</t>
        </is>
      </c>
      <c r="G626" t="n">
        <v>4.9</v>
      </c>
      <c r="H626" t="n">
        <v>0</v>
      </c>
      <c r="I626" t="n">
        <v>0</v>
      </c>
      <c r="J626" t="n">
        <v>0</v>
      </c>
      <c r="K626" t="n">
        <v>0</v>
      </c>
      <c r="L626" t="n">
        <v>0</v>
      </c>
      <c r="M626" t="n">
        <v>0</v>
      </c>
      <c r="N626" t="n">
        <v>0</v>
      </c>
      <c r="O626" t="n">
        <v>0</v>
      </c>
      <c r="P626" t="n">
        <v>0</v>
      </c>
      <c r="Q626" t="n">
        <v>0</v>
      </c>
      <c r="R626" s="2" t="inlineStr"/>
    </row>
    <row r="627" ht="15" customHeight="1">
      <c r="A627" t="inlineStr">
        <is>
          <t>A 60058-2023</t>
        </is>
      </c>
      <c r="B627" s="1" t="n">
        <v>45258.37978009259</v>
      </c>
      <c r="C627" s="1" t="n">
        <v>45976</v>
      </c>
      <c r="D627" t="inlineStr">
        <is>
          <t>VÄRMLANDS LÄN</t>
        </is>
      </c>
      <c r="E627" t="inlineStr">
        <is>
          <t>TORSBY</t>
        </is>
      </c>
      <c r="G627" t="n">
        <v>5</v>
      </c>
      <c r="H627" t="n">
        <v>0</v>
      </c>
      <c r="I627" t="n">
        <v>0</v>
      </c>
      <c r="J627" t="n">
        <v>0</v>
      </c>
      <c r="K627" t="n">
        <v>0</v>
      </c>
      <c r="L627" t="n">
        <v>0</v>
      </c>
      <c r="M627" t="n">
        <v>0</v>
      </c>
      <c r="N627" t="n">
        <v>0</v>
      </c>
      <c r="O627" t="n">
        <v>0</v>
      </c>
      <c r="P627" t="n">
        <v>0</v>
      </c>
      <c r="Q627" t="n">
        <v>0</v>
      </c>
      <c r="R627" s="2" t="inlineStr"/>
    </row>
    <row r="628" ht="15" customHeight="1">
      <c r="A628" t="inlineStr">
        <is>
          <t>A 27363-2024</t>
        </is>
      </c>
      <c r="B628" s="1" t="n">
        <v>45473</v>
      </c>
      <c r="C628" s="1" t="n">
        <v>45976</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8197-2025</t>
        </is>
      </c>
      <c r="B629" s="1" t="n">
        <v>45708.4318287037</v>
      </c>
      <c r="C629" s="1" t="n">
        <v>45976</v>
      </c>
      <c r="D629" t="inlineStr">
        <is>
          <t>VÄRMLANDS LÄN</t>
        </is>
      </c>
      <c r="E629" t="inlineStr">
        <is>
          <t>TORSBY</t>
        </is>
      </c>
      <c r="G629" t="n">
        <v>9.6</v>
      </c>
      <c r="H629" t="n">
        <v>0</v>
      </c>
      <c r="I629" t="n">
        <v>0</v>
      </c>
      <c r="J629" t="n">
        <v>0</v>
      </c>
      <c r="K629" t="n">
        <v>0</v>
      </c>
      <c r="L629" t="n">
        <v>0</v>
      </c>
      <c r="M629" t="n">
        <v>0</v>
      </c>
      <c r="N629" t="n">
        <v>0</v>
      </c>
      <c r="O629" t="n">
        <v>0</v>
      </c>
      <c r="P629" t="n">
        <v>0</v>
      </c>
      <c r="Q629" t="n">
        <v>0</v>
      </c>
      <c r="R629" s="2" t="inlineStr"/>
    </row>
    <row r="630" ht="15" customHeight="1">
      <c r="A630" t="inlineStr">
        <is>
          <t>A 38315-2025</t>
        </is>
      </c>
      <c r="B630" s="1" t="n">
        <v>45883.47824074074</v>
      </c>
      <c r="C630" s="1" t="n">
        <v>45976</v>
      </c>
      <c r="D630" t="inlineStr">
        <is>
          <t>VÄRMLANDS LÄN</t>
        </is>
      </c>
      <c r="E630" t="inlineStr">
        <is>
          <t>TORSBY</t>
        </is>
      </c>
      <c r="G630" t="n">
        <v>2.5</v>
      </c>
      <c r="H630" t="n">
        <v>0</v>
      </c>
      <c r="I630" t="n">
        <v>0</v>
      </c>
      <c r="J630" t="n">
        <v>0</v>
      </c>
      <c r="K630" t="n">
        <v>0</v>
      </c>
      <c r="L630" t="n">
        <v>0</v>
      </c>
      <c r="M630" t="n">
        <v>0</v>
      </c>
      <c r="N630" t="n">
        <v>0</v>
      </c>
      <c r="O630" t="n">
        <v>0</v>
      </c>
      <c r="P630" t="n">
        <v>0</v>
      </c>
      <c r="Q630" t="n">
        <v>0</v>
      </c>
      <c r="R630" s="2" t="inlineStr"/>
    </row>
    <row r="631" ht="15" customHeight="1">
      <c r="A631" t="inlineStr">
        <is>
          <t>A 20182-2021</t>
        </is>
      </c>
      <c r="B631" s="1" t="n">
        <v>44312</v>
      </c>
      <c r="C631" s="1" t="n">
        <v>45976</v>
      </c>
      <c r="D631" t="inlineStr">
        <is>
          <t>VÄRMLANDS LÄN</t>
        </is>
      </c>
      <c r="E631" t="inlineStr">
        <is>
          <t>TORSBY</t>
        </is>
      </c>
      <c r="G631" t="n">
        <v>14.4</v>
      </c>
      <c r="H631" t="n">
        <v>0</v>
      </c>
      <c r="I631" t="n">
        <v>0</v>
      </c>
      <c r="J631" t="n">
        <v>0</v>
      </c>
      <c r="K631" t="n">
        <v>0</v>
      </c>
      <c r="L631" t="n">
        <v>0</v>
      </c>
      <c r="M631" t="n">
        <v>0</v>
      </c>
      <c r="N631" t="n">
        <v>0</v>
      </c>
      <c r="O631" t="n">
        <v>0</v>
      </c>
      <c r="P631" t="n">
        <v>0</v>
      </c>
      <c r="Q631" t="n">
        <v>0</v>
      </c>
      <c r="R631" s="2" t="inlineStr"/>
    </row>
    <row r="632" ht="15" customHeight="1">
      <c r="A632" t="inlineStr">
        <is>
          <t>A 56571-2024</t>
        </is>
      </c>
      <c r="B632" s="1" t="n">
        <v>45625</v>
      </c>
      <c r="C632" s="1" t="n">
        <v>45976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33232-2024</t>
        </is>
      </c>
      <c r="B633" s="1" t="n">
        <v>45518</v>
      </c>
      <c r="C633" s="1" t="n">
        <v>45976</v>
      </c>
      <c r="D633" t="inlineStr">
        <is>
          <t>VÄRMLANDS LÄN</t>
        </is>
      </c>
      <c r="E633" t="inlineStr">
        <is>
          <t>TORSBY</t>
        </is>
      </c>
      <c r="F633" t="inlineStr">
        <is>
          <t>Bergvik skog väst AB</t>
        </is>
      </c>
      <c r="G633" t="n">
        <v>1</v>
      </c>
      <c r="H633" t="n">
        <v>0</v>
      </c>
      <c r="I633" t="n">
        <v>0</v>
      </c>
      <c r="J633" t="n">
        <v>0</v>
      </c>
      <c r="K633" t="n">
        <v>0</v>
      </c>
      <c r="L633" t="n">
        <v>0</v>
      </c>
      <c r="M633" t="n">
        <v>0</v>
      </c>
      <c r="N633" t="n">
        <v>0</v>
      </c>
      <c r="O633" t="n">
        <v>0</v>
      </c>
      <c r="P633" t="n">
        <v>0</v>
      </c>
      <c r="Q633" t="n">
        <v>0</v>
      </c>
      <c r="R633" s="2" t="inlineStr"/>
    </row>
    <row r="634" ht="15" customHeight="1">
      <c r="A634" t="inlineStr">
        <is>
          <t>A 40987-2024</t>
        </is>
      </c>
      <c r="B634" s="1" t="n">
        <v>45558</v>
      </c>
      <c r="C634" s="1" t="n">
        <v>45976</v>
      </c>
      <c r="D634" t="inlineStr">
        <is>
          <t>VÄRMLANDS LÄN</t>
        </is>
      </c>
      <c r="E634" t="inlineStr">
        <is>
          <t>TORSBY</t>
        </is>
      </c>
      <c r="G634" t="n">
        <v>11.6</v>
      </c>
      <c r="H634" t="n">
        <v>0</v>
      </c>
      <c r="I634" t="n">
        <v>0</v>
      </c>
      <c r="J634" t="n">
        <v>0</v>
      </c>
      <c r="K634" t="n">
        <v>0</v>
      </c>
      <c r="L634" t="n">
        <v>0</v>
      </c>
      <c r="M634" t="n">
        <v>0</v>
      </c>
      <c r="N634" t="n">
        <v>0</v>
      </c>
      <c r="O634" t="n">
        <v>0</v>
      </c>
      <c r="P634" t="n">
        <v>0</v>
      </c>
      <c r="Q634" t="n">
        <v>0</v>
      </c>
      <c r="R634" s="2" t="inlineStr"/>
    </row>
    <row r="635" ht="15" customHeight="1">
      <c r="A635" t="inlineStr">
        <is>
          <t>A 48253-2024</t>
        </is>
      </c>
      <c r="B635" s="1" t="n">
        <v>45590</v>
      </c>
      <c r="C635" s="1" t="n">
        <v>45976</v>
      </c>
      <c r="D635" t="inlineStr">
        <is>
          <t>VÄRMLANDS LÄN</t>
        </is>
      </c>
      <c r="E635" t="inlineStr">
        <is>
          <t>TORSBY</t>
        </is>
      </c>
      <c r="F635" t="inlineStr">
        <is>
          <t>Bergvik skog väst AB</t>
        </is>
      </c>
      <c r="G635" t="n">
        <v>20.7</v>
      </c>
      <c r="H635" t="n">
        <v>0</v>
      </c>
      <c r="I635" t="n">
        <v>0</v>
      </c>
      <c r="J635" t="n">
        <v>0</v>
      </c>
      <c r="K635" t="n">
        <v>0</v>
      </c>
      <c r="L635" t="n">
        <v>0</v>
      </c>
      <c r="M635" t="n">
        <v>0</v>
      </c>
      <c r="N635" t="n">
        <v>0</v>
      </c>
      <c r="O635" t="n">
        <v>0</v>
      </c>
      <c r="P635" t="n">
        <v>0</v>
      </c>
      <c r="Q635" t="n">
        <v>0</v>
      </c>
      <c r="R635" s="2" t="inlineStr"/>
    </row>
    <row r="636" ht="15" customHeight="1">
      <c r="A636" t="inlineStr">
        <is>
          <t>A 38397-2025</t>
        </is>
      </c>
      <c r="B636" s="1" t="n">
        <v>45883</v>
      </c>
      <c r="C636" s="1" t="n">
        <v>45976</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44326.67932870371</v>
      </c>
      <c r="C637" s="1" t="n">
        <v>45976</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43301-2024</t>
        </is>
      </c>
      <c r="B638" s="1" t="n">
        <v>45568</v>
      </c>
      <c r="C638" s="1" t="n">
        <v>45976</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32343-2024</t>
        </is>
      </c>
      <c r="B639" s="1" t="n">
        <v>45512.520625</v>
      </c>
      <c r="C639" s="1" t="n">
        <v>45976</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47694-2022</t>
        </is>
      </c>
      <c r="B640" s="1" t="n">
        <v>44854</v>
      </c>
      <c r="C640" s="1" t="n">
        <v>45976</v>
      </c>
      <c r="D640" t="inlineStr">
        <is>
          <t>VÄRMLANDS LÄN</t>
        </is>
      </c>
      <c r="E640" t="inlineStr">
        <is>
          <t>TORSBY</t>
        </is>
      </c>
      <c r="G640" t="n">
        <v>7.9</v>
      </c>
      <c r="H640" t="n">
        <v>0</v>
      </c>
      <c r="I640" t="n">
        <v>0</v>
      </c>
      <c r="J640" t="n">
        <v>0</v>
      </c>
      <c r="K640" t="n">
        <v>0</v>
      </c>
      <c r="L640" t="n">
        <v>0</v>
      </c>
      <c r="M640" t="n">
        <v>0</v>
      </c>
      <c r="N640" t="n">
        <v>0</v>
      </c>
      <c r="O640" t="n">
        <v>0</v>
      </c>
      <c r="P640" t="n">
        <v>0</v>
      </c>
      <c r="Q640" t="n">
        <v>0</v>
      </c>
      <c r="R640" s="2" t="inlineStr"/>
    </row>
    <row r="641" ht="15" customHeight="1">
      <c r="A641" t="inlineStr">
        <is>
          <t>A 38249-2025</t>
        </is>
      </c>
      <c r="B641" s="1" t="n">
        <v>45883</v>
      </c>
      <c r="C641" s="1" t="n">
        <v>45976</v>
      </c>
      <c r="D641" t="inlineStr">
        <is>
          <t>VÄRMLANDS LÄN</t>
        </is>
      </c>
      <c r="E641" t="inlineStr">
        <is>
          <t>TORSBY</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24004-2024</t>
        </is>
      </c>
      <c r="B642" s="1" t="n">
        <v>45456</v>
      </c>
      <c r="C642" s="1" t="n">
        <v>45976</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44879-2022</t>
        </is>
      </c>
      <c r="B643" s="1" t="n">
        <v>44839</v>
      </c>
      <c r="C643" s="1" t="n">
        <v>45976</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31830-2024</t>
        </is>
      </c>
      <c r="B644" s="1" t="n">
        <v>45509</v>
      </c>
      <c r="C644" s="1" t="n">
        <v>45976</v>
      </c>
      <c r="D644" t="inlineStr">
        <is>
          <t>VÄRMLANDS LÄN</t>
        </is>
      </c>
      <c r="E644" t="inlineStr">
        <is>
          <t>TORSBY</t>
        </is>
      </c>
      <c r="G644" t="n">
        <v>2.6</v>
      </c>
      <c r="H644" t="n">
        <v>0</v>
      </c>
      <c r="I644" t="n">
        <v>0</v>
      </c>
      <c r="J644" t="n">
        <v>0</v>
      </c>
      <c r="K644" t="n">
        <v>0</v>
      </c>
      <c r="L644" t="n">
        <v>0</v>
      </c>
      <c r="M644" t="n">
        <v>0</v>
      </c>
      <c r="N644" t="n">
        <v>0</v>
      </c>
      <c r="O644" t="n">
        <v>0</v>
      </c>
      <c r="P644" t="n">
        <v>0</v>
      </c>
      <c r="Q644" t="n">
        <v>0</v>
      </c>
      <c r="R644" s="2" t="inlineStr"/>
    </row>
    <row r="645" ht="15" customHeight="1">
      <c r="A645" t="inlineStr">
        <is>
          <t>A 46917-2024</t>
        </is>
      </c>
      <c r="B645" s="1" t="n">
        <v>45583</v>
      </c>
      <c r="C645" s="1" t="n">
        <v>45976</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37818-2025</t>
        </is>
      </c>
      <c r="B646" s="1" t="n">
        <v>45881</v>
      </c>
      <c r="C646" s="1" t="n">
        <v>45976</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38165-2025</t>
        </is>
      </c>
      <c r="B647" s="1" t="n">
        <v>45882.63063657407</v>
      </c>
      <c r="C647" s="1" t="n">
        <v>45976</v>
      </c>
      <c r="D647" t="inlineStr">
        <is>
          <t>VÄRMLANDS LÄN</t>
        </is>
      </c>
      <c r="E647" t="inlineStr">
        <is>
          <t>TORSBY</t>
        </is>
      </c>
      <c r="F647" t="inlineStr">
        <is>
          <t>Bergvik skog väst AB</t>
        </is>
      </c>
      <c r="G647" t="n">
        <v>15.2</v>
      </c>
      <c r="H647" t="n">
        <v>0</v>
      </c>
      <c r="I647" t="n">
        <v>0</v>
      </c>
      <c r="J647" t="n">
        <v>0</v>
      </c>
      <c r="K647" t="n">
        <v>0</v>
      </c>
      <c r="L647" t="n">
        <v>0</v>
      </c>
      <c r="M647" t="n">
        <v>0</v>
      </c>
      <c r="N647" t="n">
        <v>0</v>
      </c>
      <c r="O647" t="n">
        <v>0</v>
      </c>
      <c r="P647" t="n">
        <v>0</v>
      </c>
      <c r="Q647" t="n">
        <v>0</v>
      </c>
      <c r="R647" s="2" t="inlineStr"/>
    </row>
    <row r="648" ht="15" customHeight="1">
      <c r="A648" t="inlineStr">
        <is>
          <t>A 37623-2023</t>
        </is>
      </c>
      <c r="B648" s="1" t="n">
        <v>45159.45560185185</v>
      </c>
      <c r="C648" s="1" t="n">
        <v>45976</v>
      </c>
      <c r="D648" t="inlineStr">
        <is>
          <t>VÄRMLANDS LÄN</t>
        </is>
      </c>
      <c r="E648" t="inlineStr">
        <is>
          <t>TORSBY</t>
        </is>
      </c>
      <c r="G648" t="n">
        <v>1.4</v>
      </c>
      <c r="H648" t="n">
        <v>0</v>
      </c>
      <c r="I648" t="n">
        <v>0</v>
      </c>
      <c r="J648" t="n">
        <v>0</v>
      </c>
      <c r="K648" t="n">
        <v>0</v>
      </c>
      <c r="L648" t="n">
        <v>0</v>
      </c>
      <c r="M648" t="n">
        <v>0</v>
      </c>
      <c r="N648" t="n">
        <v>0</v>
      </c>
      <c r="O648" t="n">
        <v>0</v>
      </c>
      <c r="P648" t="n">
        <v>0</v>
      </c>
      <c r="Q648" t="n">
        <v>0</v>
      </c>
      <c r="R648" s="2" t="inlineStr"/>
    </row>
    <row r="649" ht="15" customHeight="1">
      <c r="A649" t="inlineStr">
        <is>
          <t>A 66133-2021</t>
        </is>
      </c>
      <c r="B649" s="1" t="n">
        <v>44517</v>
      </c>
      <c r="C649" s="1" t="n">
        <v>45976</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1432-2025</t>
        </is>
      </c>
      <c r="B650" s="1" t="n">
        <v>45669</v>
      </c>
      <c r="C650" s="1" t="n">
        <v>45976</v>
      </c>
      <c r="D650" t="inlineStr">
        <is>
          <t>VÄRMLANDS LÄN</t>
        </is>
      </c>
      <c r="E650" t="inlineStr">
        <is>
          <t>TORSBY</t>
        </is>
      </c>
      <c r="G650" t="n">
        <v>0.6</v>
      </c>
      <c r="H650" t="n">
        <v>0</v>
      </c>
      <c r="I650" t="n">
        <v>0</v>
      </c>
      <c r="J650" t="n">
        <v>0</v>
      </c>
      <c r="K650" t="n">
        <v>0</v>
      </c>
      <c r="L650" t="n">
        <v>0</v>
      </c>
      <c r="M650" t="n">
        <v>0</v>
      </c>
      <c r="N650" t="n">
        <v>0</v>
      </c>
      <c r="O650" t="n">
        <v>0</v>
      </c>
      <c r="P650" t="n">
        <v>0</v>
      </c>
      <c r="Q650" t="n">
        <v>0</v>
      </c>
      <c r="R650" s="2" t="inlineStr"/>
    </row>
    <row r="651" ht="15" customHeight="1">
      <c r="A651" t="inlineStr">
        <is>
          <t>A 1435-2025</t>
        </is>
      </c>
      <c r="B651" s="1" t="n">
        <v>45669</v>
      </c>
      <c r="C651" s="1" t="n">
        <v>45976</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37878-2025</t>
        </is>
      </c>
      <c r="B652" s="1" t="n">
        <v>45881</v>
      </c>
      <c r="C652" s="1" t="n">
        <v>45976</v>
      </c>
      <c r="D652" t="inlineStr">
        <is>
          <t>VÄRMLANDS LÄN</t>
        </is>
      </c>
      <c r="E652" t="inlineStr">
        <is>
          <t>TORSBY</t>
        </is>
      </c>
      <c r="F652" t="inlineStr">
        <is>
          <t>Bergvik skog väst AB</t>
        </is>
      </c>
      <c r="G652" t="n">
        <v>9.9</v>
      </c>
      <c r="H652" t="n">
        <v>0</v>
      </c>
      <c r="I652" t="n">
        <v>0</v>
      </c>
      <c r="J652" t="n">
        <v>0</v>
      </c>
      <c r="K652" t="n">
        <v>0</v>
      </c>
      <c r="L652" t="n">
        <v>0</v>
      </c>
      <c r="M652" t="n">
        <v>0</v>
      </c>
      <c r="N652" t="n">
        <v>0</v>
      </c>
      <c r="O652" t="n">
        <v>0</v>
      </c>
      <c r="P652" t="n">
        <v>0</v>
      </c>
      <c r="Q652" t="n">
        <v>0</v>
      </c>
      <c r="R652" s="2" t="inlineStr"/>
    </row>
    <row r="653" ht="15" customHeight="1">
      <c r="A653" t="inlineStr">
        <is>
          <t>A 42428-2024</t>
        </is>
      </c>
      <c r="B653" s="1" t="n">
        <v>45565</v>
      </c>
      <c r="C653" s="1" t="n">
        <v>45976</v>
      </c>
      <c r="D653" t="inlineStr">
        <is>
          <t>VÄRMLANDS LÄN</t>
        </is>
      </c>
      <c r="E653" t="inlineStr">
        <is>
          <t>TORSBY</t>
        </is>
      </c>
      <c r="F653" t="inlineStr">
        <is>
          <t>Bergvik skog väst AB</t>
        </is>
      </c>
      <c r="G653" t="n">
        <v>20.7</v>
      </c>
      <c r="H653" t="n">
        <v>0</v>
      </c>
      <c r="I653" t="n">
        <v>0</v>
      </c>
      <c r="J653" t="n">
        <v>0</v>
      </c>
      <c r="K653" t="n">
        <v>0</v>
      </c>
      <c r="L653" t="n">
        <v>0</v>
      </c>
      <c r="M653" t="n">
        <v>0</v>
      </c>
      <c r="N653" t="n">
        <v>0</v>
      </c>
      <c r="O653" t="n">
        <v>0</v>
      </c>
      <c r="P653" t="n">
        <v>0</v>
      </c>
      <c r="Q653" t="n">
        <v>0</v>
      </c>
      <c r="R653" s="2" t="inlineStr"/>
    </row>
    <row r="654" ht="15" customHeight="1">
      <c r="A654" t="inlineStr">
        <is>
          <t>A 22687-2023</t>
        </is>
      </c>
      <c r="B654" s="1" t="n">
        <v>45071</v>
      </c>
      <c r="C654" s="1" t="n">
        <v>45976</v>
      </c>
      <c r="D654" t="inlineStr">
        <is>
          <t>VÄRMLANDS LÄN</t>
        </is>
      </c>
      <c r="E654" t="inlineStr">
        <is>
          <t>TORSBY</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375-2025</t>
        </is>
      </c>
      <c r="B655" s="1" t="n">
        <v>45661</v>
      </c>
      <c r="C655" s="1" t="n">
        <v>45976</v>
      </c>
      <c r="D655" t="inlineStr">
        <is>
          <t>VÄRMLANDS LÄN</t>
        </is>
      </c>
      <c r="E655" t="inlineStr">
        <is>
          <t>TORSBY</t>
        </is>
      </c>
      <c r="G655" t="n">
        <v>5.5</v>
      </c>
      <c r="H655" t="n">
        <v>0</v>
      </c>
      <c r="I655" t="n">
        <v>0</v>
      </c>
      <c r="J655" t="n">
        <v>0</v>
      </c>
      <c r="K655" t="n">
        <v>0</v>
      </c>
      <c r="L655" t="n">
        <v>0</v>
      </c>
      <c r="M655" t="n">
        <v>0</v>
      </c>
      <c r="N655" t="n">
        <v>0</v>
      </c>
      <c r="O655" t="n">
        <v>0</v>
      </c>
      <c r="P655" t="n">
        <v>0</v>
      </c>
      <c r="Q655" t="n">
        <v>0</v>
      </c>
      <c r="R655" s="2" t="inlineStr"/>
    </row>
    <row r="656" ht="15" customHeight="1">
      <c r="A656" t="inlineStr">
        <is>
          <t>A 42347-2021</t>
        </is>
      </c>
      <c r="B656" s="1" t="n">
        <v>44427</v>
      </c>
      <c r="C656" s="1" t="n">
        <v>45976</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32845-2024</t>
        </is>
      </c>
      <c r="B657" s="1" t="n">
        <v>45516.62422453704</v>
      </c>
      <c r="C657" s="1" t="n">
        <v>45976</v>
      </c>
      <c r="D657" t="inlineStr">
        <is>
          <t>VÄRMLANDS LÄN</t>
        </is>
      </c>
      <c r="E657" t="inlineStr">
        <is>
          <t>TORSBY</t>
        </is>
      </c>
      <c r="F657" t="inlineStr">
        <is>
          <t>Bergvik skog väst AB</t>
        </is>
      </c>
      <c r="G657" t="n">
        <v>2.8</v>
      </c>
      <c r="H657" t="n">
        <v>0</v>
      </c>
      <c r="I657" t="n">
        <v>0</v>
      </c>
      <c r="J657" t="n">
        <v>0</v>
      </c>
      <c r="K657" t="n">
        <v>0</v>
      </c>
      <c r="L657" t="n">
        <v>0</v>
      </c>
      <c r="M657" t="n">
        <v>0</v>
      </c>
      <c r="N657" t="n">
        <v>0</v>
      </c>
      <c r="O657" t="n">
        <v>0</v>
      </c>
      <c r="P657" t="n">
        <v>0</v>
      </c>
      <c r="Q657" t="n">
        <v>0</v>
      </c>
      <c r="R657" s="2" t="inlineStr"/>
    </row>
    <row r="658" ht="15" customHeight="1">
      <c r="A658" t="inlineStr">
        <is>
          <t>A 38232-2025</t>
        </is>
      </c>
      <c r="B658" s="1" t="n">
        <v>45883</v>
      </c>
      <c r="C658" s="1" t="n">
        <v>45976</v>
      </c>
      <c r="D658" t="inlineStr">
        <is>
          <t>VÄRMLANDS LÄN</t>
        </is>
      </c>
      <c r="E658" t="inlineStr">
        <is>
          <t>TORSBY</t>
        </is>
      </c>
      <c r="F658" t="inlineStr">
        <is>
          <t>Bergvik skog väst AB</t>
        </is>
      </c>
      <c r="G658" t="n">
        <v>4.3</v>
      </c>
      <c r="H658" t="n">
        <v>0</v>
      </c>
      <c r="I658" t="n">
        <v>0</v>
      </c>
      <c r="J658" t="n">
        <v>0</v>
      </c>
      <c r="K658" t="n">
        <v>0</v>
      </c>
      <c r="L658" t="n">
        <v>0</v>
      </c>
      <c r="M658" t="n">
        <v>0</v>
      </c>
      <c r="N658" t="n">
        <v>0</v>
      </c>
      <c r="O658" t="n">
        <v>0</v>
      </c>
      <c r="P658" t="n">
        <v>0</v>
      </c>
      <c r="Q658" t="n">
        <v>0</v>
      </c>
      <c r="R658" s="2" t="inlineStr"/>
    </row>
    <row r="659" ht="15" customHeight="1">
      <c r="A659" t="inlineStr">
        <is>
          <t>A 53652-2023</t>
        </is>
      </c>
      <c r="B659" s="1" t="n">
        <v>45224</v>
      </c>
      <c r="C659" s="1" t="n">
        <v>45976</v>
      </c>
      <c r="D659" t="inlineStr">
        <is>
          <t>VÄRMLANDS LÄN</t>
        </is>
      </c>
      <c r="E659" t="inlineStr">
        <is>
          <t>TORSBY</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23044-2024</t>
        </is>
      </c>
      <c r="B660" s="1" t="n">
        <v>45450</v>
      </c>
      <c r="C660" s="1" t="n">
        <v>45976</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18354-2021</t>
        </is>
      </c>
      <c r="B661" s="1" t="n">
        <v>44305.56186342592</v>
      </c>
      <c r="C661" s="1" t="n">
        <v>45976</v>
      </c>
      <c r="D661" t="inlineStr">
        <is>
          <t>VÄRMLANDS LÄN</t>
        </is>
      </c>
      <c r="E661" t="inlineStr">
        <is>
          <t>TORSBY</t>
        </is>
      </c>
      <c r="F661" t="inlineStr">
        <is>
          <t>Kommuner</t>
        </is>
      </c>
      <c r="G661" t="n">
        <v>2.4</v>
      </c>
      <c r="H661" t="n">
        <v>0</v>
      </c>
      <c r="I661" t="n">
        <v>0</v>
      </c>
      <c r="J661" t="n">
        <v>0</v>
      </c>
      <c r="K661" t="n">
        <v>0</v>
      </c>
      <c r="L661" t="n">
        <v>0</v>
      </c>
      <c r="M661" t="n">
        <v>0</v>
      </c>
      <c r="N661" t="n">
        <v>0</v>
      </c>
      <c r="O661" t="n">
        <v>0</v>
      </c>
      <c r="P661" t="n">
        <v>0</v>
      </c>
      <c r="Q661" t="n">
        <v>0</v>
      </c>
      <c r="R661" s="2" t="inlineStr"/>
    </row>
    <row r="662" ht="15" customHeight="1">
      <c r="A662" t="inlineStr">
        <is>
          <t>A 43599-2023</t>
        </is>
      </c>
      <c r="B662" s="1" t="n">
        <v>45184</v>
      </c>
      <c r="C662" s="1" t="n">
        <v>45976</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38076-2024</t>
        </is>
      </c>
      <c r="B663" s="1" t="n">
        <v>45544</v>
      </c>
      <c r="C663" s="1" t="n">
        <v>45976</v>
      </c>
      <c r="D663" t="inlineStr">
        <is>
          <t>VÄRMLANDS LÄN</t>
        </is>
      </c>
      <c r="E663" t="inlineStr">
        <is>
          <t>TORSBY</t>
        </is>
      </c>
      <c r="G663" t="n">
        <v>6.3</v>
      </c>
      <c r="H663" t="n">
        <v>0</v>
      </c>
      <c r="I663" t="n">
        <v>0</v>
      </c>
      <c r="J663" t="n">
        <v>0</v>
      </c>
      <c r="K663" t="n">
        <v>0</v>
      </c>
      <c r="L663" t="n">
        <v>0</v>
      </c>
      <c r="M663" t="n">
        <v>0</v>
      </c>
      <c r="N663" t="n">
        <v>0</v>
      </c>
      <c r="O663" t="n">
        <v>0</v>
      </c>
      <c r="P663" t="n">
        <v>0</v>
      </c>
      <c r="Q663" t="n">
        <v>0</v>
      </c>
      <c r="R663" s="2" t="inlineStr"/>
    </row>
    <row r="664" ht="15" customHeight="1">
      <c r="A664" t="inlineStr">
        <is>
          <t>A 44325-2024</t>
        </is>
      </c>
      <c r="B664" s="1" t="n">
        <v>45573</v>
      </c>
      <c r="C664" s="1" t="n">
        <v>45976</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17184-2023</t>
        </is>
      </c>
      <c r="B665" s="1" t="n">
        <v>45034.69127314815</v>
      </c>
      <c r="C665" s="1" t="n">
        <v>45976</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44424-2024</t>
        </is>
      </c>
      <c r="B666" s="1" t="n">
        <v>45573</v>
      </c>
      <c r="C666" s="1" t="n">
        <v>45976</v>
      </c>
      <c r="D666" t="inlineStr">
        <is>
          <t>VÄRMLANDS LÄN</t>
        </is>
      </c>
      <c r="E666" t="inlineStr">
        <is>
          <t>TORSBY</t>
        </is>
      </c>
      <c r="G666" t="n">
        <v>8.5</v>
      </c>
      <c r="H666" t="n">
        <v>0</v>
      </c>
      <c r="I666" t="n">
        <v>0</v>
      </c>
      <c r="J666" t="n">
        <v>0</v>
      </c>
      <c r="K666" t="n">
        <v>0</v>
      </c>
      <c r="L666" t="n">
        <v>0</v>
      </c>
      <c r="M666" t="n">
        <v>0</v>
      </c>
      <c r="N666" t="n">
        <v>0</v>
      </c>
      <c r="O666" t="n">
        <v>0</v>
      </c>
      <c r="P666" t="n">
        <v>0</v>
      </c>
      <c r="Q666" t="n">
        <v>0</v>
      </c>
      <c r="R666" s="2" t="inlineStr"/>
    </row>
    <row r="667" ht="15" customHeight="1">
      <c r="A667" t="inlineStr">
        <is>
          <t>A 9056-2023</t>
        </is>
      </c>
      <c r="B667" s="1" t="n">
        <v>44979</v>
      </c>
      <c r="C667" s="1" t="n">
        <v>45976</v>
      </c>
      <c r="D667" t="inlineStr">
        <is>
          <t>VÄRMLANDS LÄN</t>
        </is>
      </c>
      <c r="E667" t="inlineStr">
        <is>
          <t>TORSBY</t>
        </is>
      </c>
      <c r="G667" t="n">
        <v>2.2</v>
      </c>
      <c r="H667" t="n">
        <v>0</v>
      </c>
      <c r="I667" t="n">
        <v>0</v>
      </c>
      <c r="J667" t="n">
        <v>0</v>
      </c>
      <c r="K667" t="n">
        <v>0</v>
      </c>
      <c r="L667" t="n">
        <v>0</v>
      </c>
      <c r="M667" t="n">
        <v>0</v>
      </c>
      <c r="N667" t="n">
        <v>0</v>
      </c>
      <c r="O667" t="n">
        <v>0</v>
      </c>
      <c r="P667" t="n">
        <v>0</v>
      </c>
      <c r="Q667" t="n">
        <v>0</v>
      </c>
      <c r="R667" s="2" t="inlineStr"/>
    </row>
    <row r="668" ht="15" customHeight="1">
      <c r="A668" t="inlineStr">
        <is>
          <t>A 65301-2021</t>
        </is>
      </c>
      <c r="B668" s="1" t="n">
        <v>44515</v>
      </c>
      <c r="C668" s="1" t="n">
        <v>45976</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33853-2021</t>
        </is>
      </c>
      <c r="B669" s="1" t="n">
        <v>44378.61460648148</v>
      </c>
      <c r="C669" s="1" t="n">
        <v>45976</v>
      </c>
      <c r="D669" t="inlineStr">
        <is>
          <t>VÄRMLANDS LÄN</t>
        </is>
      </c>
      <c r="E669" t="inlineStr">
        <is>
          <t>TORSBY</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49936-2024</t>
        </is>
      </c>
      <c r="B670" s="1" t="n">
        <v>45597</v>
      </c>
      <c r="C670" s="1" t="n">
        <v>45976</v>
      </c>
      <c r="D670" t="inlineStr">
        <is>
          <t>VÄRMLANDS LÄN</t>
        </is>
      </c>
      <c r="E670" t="inlineStr">
        <is>
          <t>TORSBY</t>
        </is>
      </c>
      <c r="F670" t="inlineStr">
        <is>
          <t>Bergvik skog väst AB</t>
        </is>
      </c>
      <c r="G670" t="n">
        <v>2.1</v>
      </c>
      <c r="H670" t="n">
        <v>0</v>
      </c>
      <c r="I670" t="n">
        <v>0</v>
      </c>
      <c r="J670" t="n">
        <v>0</v>
      </c>
      <c r="K670" t="n">
        <v>0</v>
      </c>
      <c r="L670" t="n">
        <v>0</v>
      </c>
      <c r="M670" t="n">
        <v>0</v>
      </c>
      <c r="N670" t="n">
        <v>0</v>
      </c>
      <c r="O670" t="n">
        <v>0</v>
      </c>
      <c r="P670" t="n">
        <v>0</v>
      </c>
      <c r="Q670" t="n">
        <v>0</v>
      </c>
      <c r="R670" s="2" t="inlineStr"/>
    </row>
    <row r="671" ht="15" customHeight="1">
      <c r="A671" t="inlineStr">
        <is>
          <t>A 57469-2024</t>
        </is>
      </c>
      <c r="B671" s="1" t="n">
        <v>45630</v>
      </c>
      <c r="C671" s="1" t="n">
        <v>45976</v>
      </c>
      <c r="D671" t="inlineStr">
        <is>
          <t>VÄRMLANDS LÄN</t>
        </is>
      </c>
      <c r="E671" t="inlineStr">
        <is>
          <t>TORSBY</t>
        </is>
      </c>
      <c r="F671" t="inlineStr">
        <is>
          <t>Bergvik skog väst AB</t>
        </is>
      </c>
      <c r="G671" t="n">
        <v>12.8</v>
      </c>
      <c r="H671" t="n">
        <v>0</v>
      </c>
      <c r="I671" t="n">
        <v>0</v>
      </c>
      <c r="J671" t="n">
        <v>0</v>
      </c>
      <c r="K671" t="n">
        <v>0</v>
      </c>
      <c r="L671" t="n">
        <v>0</v>
      </c>
      <c r="M671" t="n">
        <v>0</v>
      </c>
      <c r="N671" t="n">
        <v>0</v>
      </c>
      <c r="O671" t="n">
        <v>0</v>
      </c>
      <c r="P671" t="n">
        <v>0</v>
      </c>
      <c r="Q671" t="n">
        <v>0</v>
      </c>
      <c r="R671" s="2" t="inlineStr"/>
    </row>
    <row r="672" ht="15" customHeight="1">
      <c r="A672" t="inlineStr">
        <is>
          <t>A 4231-2024</t>
        </is>
      </c>
      <c r="B672" s="1" t="n">
        <v>45324.42771990741</v>
      </c>
      <c r="C672" s="1" t="n">
        <v>45976</v>
      </c>
      <c r="D672" t="inlineStr">
        <is>
          <t>VÄRMLANDS LÄN</t>
        </is>
      </c>
      <c r="E672" t="inlineStr">
        <is>
          <t>TORSBY</t>
        </is>
      </c>
      <c r="G672" t="n">
        <v>3.6</v>
      </c>
      <c r="H672" t="n">
        <v>0</v>
      </c>
      <c r="I672" t="n">
        <v>0</v>
      </c>
      <c r="J672" t="n">
        <v>0</v>
      </c>
      <c r="K672" t="n">
        <v>0</v>
      </c>
      <c r="L672" t="n">
        <v>0</v>
      </c>
      <c r="M672" t="n">
        <v>0</v>
      </c>
      <c r="N672" t="n">
        <v>0</v>
      </c>
      <c r="O672" t="n">
        <v>0</v>
      </c>
      <c r="P672" t="n">
        <v>0</v>
      </c>
      <c r="Q672" t="n">
        <v>0</v>
      </c>
      <c r="R672" s="2" t="inlineStr"/>
    </row>
    <row r="673" ht="15" customHeight="1">
      <c r="A673" t="inlineStr">
        <is>
          <t>A 37238-2024</t>
        </is>
      </c>
      <c r="B673" s="1" t="n">
        <v>45540</v>
      </c>
      <c r="C673" s="1" t="n">
        <v>45976</v>
      </c>
      <c r="D673" t="inlineStr">
        <is>
          <t>VÄRMLANDS LÄN</t>
        </is>
      </c>
      <c r="E673" t="inlineStr">
        <is>
          <t>TORSBY</t>
        </is>
      </c>
      <c r="F673" t="inlineStr">
        <is>
          <t>Bergvik skog väst AB</t>
        </is>
      </c>
      <c r="G673" t="n">
        <v>11.9</v>
      </c>
      <c r="H673" t="n">
        <v>0</v>
      </c>
      <c r="I673" t="n">
        <v>0</v>
      </c>
      <c r="J673" t="n">
        <v>0</v>
      </c>
      <c r="K673" t="n">
        <v>0</v>
      </c>
      <c r="L673" t="n">
        <v>0</v>
      </c>
      <c r="M673" t="n">
        <v>0</v>
      </c>
      <c r="N673" t="n">
        <v>0</v>
      </c>
      <c r="O673" t="n">
        <v>0</v>
      </c>
      <c r="P673" t="n">
        <v>0</v>
      </c>
      <c r="Q673" t="n">
        <v>0</v>
      </c>
      <c r="R673" s="2" t="inlineStr"/>
    </row>
    <row r="674" ht="15" customHeight="1">
      <c r="A674" t="inlineStr">
        <is>
          <t>A 24182-2024</t>
        </is>
      </c>
      <c r="B674" s="1" t="n">
        <v>45456</v>
      </c>
      <c r="C674" s="1" t="n">
        <v>45976</v>
      </c>
      <c r="D674" t="inlineStr">
        <is>
          <t>VÄRMLANDS LÄN</t>
        </is>
      </c>
      <c r="E674" t="inlineStr">
        <is>
          <t>TORSBY</t>
        </is>
      </c>
      <c r="F674" t="inlineStr">
        <is>
          <t>Bergvik skog väst AB</t>
        </is>
      </c>
      <c r="G674" t="n">
        <v>28.9</v>
      </c>
      <c r="H674" t="n">
        <v>0</v>
      </c>
      <c r="I674" t="n">
        <v>0</v>
      </c>
      <c r="J674" t="n">
        <v>0</v>
      </c>
      <c r="K674" t="n">
        <v>0</v>
      </c>
      <c r="L674" t="n">
        <v>0</v>
      </c>
      <c r="M674" t="n">
        <v>0</v>
      </c>
      <c r="N674" t="n">
        <v>0</v>
      </c>
      <c r="O674" t="n">
        <v>0</v>
      </c>
      <c r="P674" t="n">
        <v>0</v>
      </c>
      <c r="Q674" t="n">
        <v>0</v>
      </c>
      <c r="R674" s="2" t="inlineStr"/>
    </row>
    <row r="675" ht="15" customHeight="1">
      <c r="A675" t="inlineStr">
        <is>
          <t>A 20298-2023</t>
        </is>
      </c>
      <c r="B675" s="1" t="n">
        <v>45056</v>
      </c>
      <c r="C675" s="1" t="n">
        <v>45976</v>
      </c>
      <c r="D675" t="inlineStr">
        <is>
          <t>VÄRMLANDS LÄN</t>
        </is>
      </c>
      <c r="E675" t="inlineStr">
        <is>
          <t>TORSBY</t>
        </is>
      </c>
      <c r="F675" t="inlineStr">
        <is>
          <t>Kyrkan</t>
        </is>
      </c>
      <c r="G675" t="n">
        <v>2</v>
      </c>
      <c r="H675" t="n">
        <v>0</v>
      </c>
      <c r="I675" t="n">
        <v>0</v>
      </c>
      <c r="J675" t="n">
        <v>0</v>
      </c>
      <c r="K675" t="n">
        <v>0</v>
      </c>
      <c r="L675" t="n">
        <v>0</v>
      </c>
      <c r="M675" t="n">
        <v>0</v>
      </c>
      <c r="N675" t="n">
        <v>0</v>
      </c>
      <c r="O675" t="n">
        <v>0</v>
      </c>
      <c r="P675" t="n">
        <v>0</v>
      </c>
      <c r="Q675" t="n">
        <v>0</v>
      </c>
      <c r="R675" s="2" t="inlineStr"/>
    </row>
    <row r="676" ht="15" customHeight="1">
      <c r="A676" t="inlineStr">
        <is>
          <t>A 33072-2023</t>
        </is>
      </c>
      <c r="B676" s="1" t="n">
        <v>45126</v>
      </c>
      <c r="C676" s="1" t="n">
        <v>45976</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52078-2023</t>
        </is>
      </c>
      <c r="B677" s="1" t="n">
        <v>45223</v>
      </c>
      <c r="C677" s="1" t="n">
        <v>45976</v>
      </c>
      <c r="D677" t="inlineStr">
        <is>
          <t>VÄRMLANDS LÄN</t>
        </is>
      </c>
      <c r="E677" t="inlineStr">
        <is>
          <t>TORSBY</t>
        </is>
      </c>
      <c r="G677" t="n">
        <v>7.1</v>
      </c>
      <c r="H677" t="n">
        <v>0</v>
      </c>
      <c r="I677" t="n">
        <v>0</v>
      </c>
      <c r="J677" t="n">
        <v>0</v>
      </c>
      <c r="K677" t="n">
        <v>0</v>
      </c>
      <c r="L677" t="n">
        <v>0</v>
      </c>
      <c r="M677" t="n">
        <v>0</v>
      </c>
      <c r="N677" t="n">
        <v>0</v>
      </c>
      <c r="O677" t="n">
        <v>0</v>
      </c>
      <c r="P677" t="n">
        <v>0</v>
      </c>
      <c r="Q677" t="n">
        <v>0</v>
      </c>
      <c r="R677" s="2" t="inlineStr"/>
    </row>
    <row r="678" ht="15" customHeight="1">
      <c r="A678" t="inlineStr">
        <is>
          <t>A 3670-2023</t>
        </is>
      </c>
      <c r="B678" s="1" t="n">
        <v>44950</v>
      </c>
      <c r="C678" s="1" t="n">
        <v>45976</v>
      </c>
      <c r="D678" t="inlineStr">
        <is>
          <t>VÄRMLANDS LÄN</t>
        </is>
      </c>
      <c r="E678" t="inlineStr">
        <is>
          <t>TORSBY</t>
        </is>
      </c>
      <c r="G678" t="n">
        <v>15.4</v>
      </c>
      <c r="H678" t="n">
        <v>0</v>
      </c>
      <c r="I678" t="n">
        <v>0</v>
      </c>
      <c r="J678" t="n">
        <v>0</v>
      </c>
      <c r="K678" t="n">
        <v>0</v>
      </c>
      <c r="L678" t="n">
        <v>0</v>
      </c>
      <c r="M678" t="n">
        <v>0</v>
      </c>
      <c r="N678" t="n">
        <v>0</v>
      </c>
      <c r="O678" t="n">
        <v>0</v>
      </c>
      <c r="P678" t="n">
        <v>0</v>
      </c>
      <c r="Q678" t="n">
        <v>0</v>
      </c>
      <c r="R678" s="2" t="inlineStr"/>
    </row>
    <row r="679" ht="15" customHeight="1">
      <c r="A679" t="inlineStr">
        <is>
          <t>A 60525-2023</t>
        </is>
      </c>
      <c r="B679" s="1" t="n">
        <v>45259</v>
      </c>
      <c r="C679" s="1" t="n">
        <v>45976</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26979-2023</t>
        </is>
      </c>
      <c r="B680" s="1" t="n">
        <v>45091</v>
      </c>
      <c r="C680" s="1" t="n">
        <v>45976</v>
      </c>
      <c r="D680" t="inlineStr">
        <is>
          <t>VÄRMLANDS LÄN</t>
        </is>
      </c>
      <c r="E680" t="inlineStr">
        <is>
          <t>TORSBY</t>
        </is>
      </c>
      <c r="G680" t="n">
        <v>1.9</v>
      </c>
      <c r="H680" t="n">
        <v>0</v>
      </c>
      <c r="I680" t="n">
        <v>0</v>
      </c>
      <c r="J680" t="n">
        <v>0</v>
      </c>
      <c r="K680" t="n">
        <v>0</v>
      </c>
      <c r="L680" t="n">
        <v>0</v>
      </c>
      <c r="M680" t="n">
        <v>0</v>
      </c>
      <c r="N680" t="n">
        <v>0</v>
      </c>
      <c r="O680" t="n">
        <v>0</v>
      </c>
      <c r="P680" t="n">
        <v>0</v>
      </c>
      <c r="Q680" t="n">
        <v>0</v>
      </c>
      <c r="R680" s="2" t="inlineStr"/>
    </row>
    <row r="681" ht="15" customHeight="1">
      <c r="A681" t="inlineStr">
        <is>
          <t>A 36419-2024</t>
        </is>
      </c>
      <c r="B681" s="1" t="n">
        <v>45536.58380787037</v>
      </c>
      <c r="C681" s="1" t="n">
        <v>45976</v>
      </c>
      <c r="D681" t="inlineStr">
        <is>
          <t>VÄRMLANDS LÄN</t>
        </is>
      </c>
      <c r="E681" t="inlineStr">
        <is>
          <t>TORSBY</t>
        </is>
      </c>
      <c r="G681" t="n">
        <v>8.9</v>
      </c>
      <c r="H681" t="n">
        <v>0</v>
      </c>
      <c r="I681" t="n">
        <v>0</v>
      </c>
      <c r="J681" t="n">
        <v>0</v>
      </c>
      <c r="K681" t="n">
        <v>0</v>
      </c>
      <c r="L681" t="n">
        <v>0</v>
      </c>
      <c r="M681" t="n">
        <v>0</v>
      </c>
      <c r="N681" t="n">
        <v>0</v>
      </c>
      <c r="O681" t="n">
        <v>0</v>
      </c>
      <c r="P681" t="n">
        <v>0</v>
      </c>
      <c r="Q681" t="n">
        <v>0</v>
      </c>
      <c r="R681" s="2" t="inlineStr"/>
    </row>
    <row r="682" ht="15" customHeight="1">
      <c r="A682" t="inlineStr">
        <is>
          <t>A 55428-2022</t>
        </is>
      </c>
      <c r="B682" s="1" t="n">
        <v>44887.60894675926</v>
      </c>
      <c r="C682" s="1" t="n">
        <v>45976</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18576-2025</t>
        </is>
      </c>
      <c r="B683" s="1" t="n">
        <v>45763</v>
      </c>
      <c r="C683" s="1" t="n">
        <v>45976</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18584-2025</t>
        </is>
      </c>
      <c r="B684" s="1" t="n">
        <v>45763.46973379629</v>
      </c>
      <c r="C684" s="1" t="n">
        <v>45976</v>
      </c>
      <c r="D684" t="inlineStr">
        <is>
          <t>VÄRMLANDS LÄN</t>
        </is>
      </c>
      <c r="E684" t="inlineStr">
        <is>
          <t>TORSBY</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58728-2021</t>
        </is>
      </c>
      <c r="B685" s="1" t="n">
        <v>44489</v>
      </c>
      <c r="C685" s="1" t="n">
        <v>45976</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38497-2025</t>
        </is>
      </c>
      <c r="B686" s="1" t="n">
        <v>45884</v>
      </c>
      <c r="C686" s="1" t="n">
        <v>45976</v>
      </c>
      <c r="D686" t="inlineStr">
        <is>
          <t>VÄRMLANDS LÄN</t>
        </is>
      </c>
      <c r="E686" t="inlineStr">
        <is>
          <t>TORSBY</t>
        </is>
      </c>
      <c r="G686" t="n">
        <v>7.7</v>
      </c>
      <c r="H686" t="n">
        <v>0</v>
      </c>
      <c r="I686" t="n">
        <v>0</v>
      </c>
      <c r="J686" t="n">
        <v>0</v>
      </c>
      <c r="K686" t="n">
        <v>0</v>
      </c>
      <c r="L686" t="n">
        <v>0</v>
      </c>
      <c r="M686" t="n">
        <v>0</v>
      </c>
      <c r="N686" t="n">
        <v>0</v>
      </c>
      <c r="O686" t="n">
        <v>0</v>
      </c>
      <c r="P686" t="n">
        <v>0</v>
      </c>
      <c r="Q686" t="n">
        <v>0</v>
      </c>
      <c r="R686" s="2" t="inlineStr"/>
    </row>
    <row r="687" ht="15" customHeight="1">
      <c r="A687" t="inlineStr">
        <is>
          <t>A 43037-2024</t>
        </is>
      </c>
      <c r="B687" s="1" t="n">
        <v>45567</v>
      </c>
      <c r="C687" s="1" t="n">
        <v>45976</v>
      </c>
      <c r="D687" t="inlineStr">
        <is>
          <t>VÄRMLANDS LÄN</t>
        </is>
      </c>
      <c r="E687" t="inlineStr">
        <is>
          <t>TORSBY</t>
        </is>
      </c>
      <c r="F687" t="inlineStr">
        <is>
          <t>Bergvik skog väst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22702-2023</t>
        </is>
      </c>
      <c r="B688" s="1" t="n">
        <v>45071</v>
      </c>
      <c r="C688" s="1" t="n">
        <v>45976</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23572-2023</t>
        </is>
      </c>
      <c r="B689" s="1" t="n">
        <v>45077</v>
      </c>
      <c r="C689" s="1" t="n">
        <v>45976</v>
      </c>
      <c r="D689" t="inlineStr">
        <is>
          <t>VÄRMLANDS LÄN</t>
        </is>
      </c>
      <c r="E689" t="inlineStr">
        <is>
          <t>TORSBY</t>
        </is>
      </c>
      <c r="G689" t="n">
        <v>4.4</v>
      </c>
      <c r="H689" t="n">
        <v>0</v>
      </c>
      <c r="I689" t="n">
        <v>0</v>
      </c>
      <c r="J689" t="n">
        <v>0</v>
      </c>
      <c r="K689" t="n">
        <v>0</v>
      </c>
      <c r="L689" t="n">
        <v>0</v>
      </c>
      <c r="M689" t="n">
        <v>0</v>
      </c>
      <c r="N689" t="n">
        <v>0</v>
      </c>
      <c r="O689" t="n">
        <v>0</v>
      </c>
      <c r="P689" t="n">
        <v>0</v>
      </c>
      <c r="Q689" t="n">
        <v>0</v>
      </c>
      <c r="R689" s="2" t="inlineStr"/>
    </row>
    <row r="690" ht="15" customHeight="1">
      <c r="A690" t="inlineStr">
        <is>
          <t>A 53499-2023</t>
        </is>
      </c>
      <c r="B690" s="1" t="n">
        <v>45223</v>
      </c>
      <c r="C690" s="1" t="n">
        <v>45976</v>
      </c>
      <c r="D690" t="inlineStr">
        <is>
          <t>VÄRMLANDS LÄN</t>
        </is>
      </c>
      <c r="E690" t="inlineStr">
        <is>
          <t>TORSBY</t>
        </is>
      </c>
      <c r="G690" t="n">
        <v>4.3</v>
      </c>
      <c r="H690" t="n">
        <v>0</v>
      </c>
      <c r="I690" t="n">
        <v>0</v>
      </c>
      <c r="J690" t="n">
        <v>0</v>
      </c>
      <c r="K690" t="n">
        <v>0</v>
      </c>
      <c r="L690" t="n">
        <v>0</v>
      </c>
      <c r="M690" t="n">
        <v>0</v>
      </c>
      <c r="N690" t="n">
        <v>0</v>
      </c>
      <c r="O690" t="n">
        <v>0</v>
      </c>
      <c r="P690" t="n">
        <v>0</v>
      </c>
      <c r="Q690" t="n">
        <v>0</v>
      </c>
      <c r="R690" s="2" t="inlineStr"/>
    </row>
    <row r="691" ht="15" customHeight="1">
      <c r="A691" t="inlineStr">
        <is>
          <t>A 9793-2024</t>
        </is>
      </c>
      <c r="B691" s="1" t="n">
        <v>45362.71013888889</v>
      </c>
      <c r="C691" s="1" t="n">
        <v>45976</v>
      </c>
      <c r="D691" t="inlineStr">
        <is>
          <t>VÄRMLANDS LÄN</t>
        </is>
      </c>
      <c r="E691" t="inlineStr">
        <is>
          <t>TORSBY</t>
        </is>
      </c>
      <c r="G691" t="n">
        <v>6</v>
      </c>
      <c r="H691" t="n">
        <v>0</v>
      </c>
      <c r="I691" t="n">
        <v>0</v>
      </c>
      <c r="J691" t="n">
        <v>0</v>
      </c>
      <c r="K691" t="n">
        <v>0</v>
      </c>
      <c r="L691" t="n">
        <v>0</v>
      </c>
      <c r="M691" t="n">
        <v>0</v>
      </c>
      <c r="N691" t="n">
        <v>0</v>
      </c>
      <c r="O691" t="n">
        <v>0</v>
      </c>
      <c r="P691" t="n">
        <v>0</v>
      </c>
      <c r="Q691" t="n">
        <v>0</v>
      </c>
      <c r="R691" s="2" t="inlineStr"/>
    </row>
    <row r="692" ht="15" customHeight="1">
      <c r="A692" t="inlineStr">
        <is>
          <t>A 46152-2024</t>
        </is>
      </c>
      <c r="B692" s="1" t="n">
        <v>45581</v>
      </c>
      <c r="C692" s="1" t="n">
        <v>45976</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34093-2024</t>
        </is>
      </c>
      <c r="B693" s="1" t="n">
        <v>45523</v>
      </c>
      <c r="C693" s="1" t="n">
        <v>45976</v>
      </c>
      <c r="D693" t="inlineStr">
        <is>
          <t>VÄRMLANDS LÄN</t>
        </is>
      </c>
      <c r="E693" t="inlineStr">
        <is>
          <t>TORSBY</t>
        </is>
      </c>
      <c r="F693" t="inlineStr">
        <is>
          <t>Bergvik skog väst AB</t>
        </is>
      </c>
      <c r="G693" t="n">
        <v>5.9</v>
      </c>
      <c r="H693" t="n">
        <v>0</v>
      </c>
      <c r="I693" t="n">
        <v>0</v>
      </c>
      <c r="J693" t="n">
        <v>0</v>
      </c>
      <c r="K693" t="n">
        <v>0</v>
      </c>
      <c r="L693" t="n">
        <v>0</v>
      </c>
      <c r="M693" t="n">
        <v>0</v>
      </c>
      <c r="N693" t="n">
        <v>0</v>
      </c>
      <c r="O693" t="n">
        <v>0</v>
      </c>
      <c r="P693" t="n">
        <v>0</v>
      </c>
      <c r="Q693" t="n">
        <v>0</v>
      </c>
      <c r="R693" s="2" t="inlineStr"/>
    </row>
    <row r="694" ht="15" customHeight="1">
      <c r="A694" t="inlineStr">
        <is>
          <t>A 8188-2025</t>
        </is>
      </c>
      <c r="B694" s="1" t="n">
        <v>45708.40246527778</v>
      </c>
      <c r="C694" s="1" t="n">
        <v>45976</v>
      </c>
      <c r="D694" t="inlineStr">
        <is>
          <t>VÄRMLANDS LÄN</t>
        </is>
      </c>
      <c r="E694" t="inlineStr">
        <is>
          <t>TORSBY</t>
        </is>
      </c>
      <c r="G694" t="n">
        <v>9.6</v>
      </c>
      <c r="H694" t="n">
        <v>0</v>
      </c>
      <c r="I694" t="n">
        <v>0</v>
      </c>
      <c r="J694" t="n">
        <v>0</v>
      </c>
      <c r="K694" t="n">
        <v>0</v>
      </c>
      <c r="L694" t="n">
        <v>0</v>
      </c>
      <c r="M694" t="n">
        <v>0</v>
      </c>
      <c r="N694" t="n">
        <v>0</v>
      </c>
      <c r="O694" t="n">
        <v>0</v>
      </c>
      <c r="P694" t="n">
        <v>0</v>
      </c>
      <c r="Q694" t="n">
        <v>0</v>
      </c>
      <c r="R694" s="2" t="inlineStr"/>
    </row>
    <row r="695" ht="15" customHeight="1">
      <c r="A695" t="inlineStr">
        <is>
          <t>A 38143-2025</t>
        </is>
      </c>
      <c r="B695" s="1" t="n">
        <v>45882</v>
      </c>
      <c r="C695" s="1" t="n">
        <v>45976</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54528-2023</t>
        </is>
      </c>
      <c r="B696" s="1" t="n">
        <v>45233.59122685185</v>
      </c>
      <c r="C696" s="1" t="n">
        <v>45976</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10888-2023</t>
        </is>
      </c>
      <c r="B697" s="1" t="n">
        <v>44985</v>
      </c>
      <c r="C697" s="1" t="n">
        <v>45976</v>
      </c>
      <c r="D697" t="inlineStr">
        <is>
          <t>VÄRMLANDS LÄN</t>
        </is>
      </c>
      <c r="E697" t="inlineStr">
        <is>
          <t>TORSBY</t>
        </is>
      </c>
      <c r="G697" t="n">
        <v>0.5</v>
      </c>
      <c r="H697" t="n">
        <v>0</v>
      </c>
      <c r="I697" t="n">
        <v>0</v>
      </c>
      <c r="J697" t="n">
        <v>0</v>
      </c>
      <c r="K697" t="n">
        <v>0</v>
      </c>
      <c r="L697" t="n">
        <v>0</v>
      </c>
      <c r="M697" t="n">
        <v>0</v>
      </c>
      <c r="N697" t="n">
        <v>0</v>
      </c>
      <c r="O697" t="n">
        <v>0</v>
      </c>
      <c r="P697" t="n">
        <v>0</v>
      </c>
      <c r="Q697" t="n">
        <v>0</v>
      </c>
      <c r="R697" s="2" t="inlineStr"/>
    </row>
    <row r="698" ht="15" customHeight="1">
      <c r="A698" t="inlineStr">
        <is>
          <t>A 50608-2023</t>
        </is>
      </c>
      <c r="B698" s="1" t="n">
        <v>45217</v>
      </c>
      <c r="C698" s="1" t="n">
        <v>45976</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52239-2024</t>
        </is>
      </c>
      <c r="B699" s="1" t="n">
        <v>45608.61837962963</v>
      </c>
      <c r="C699" s="1" t="n">
        <v>45976</v>
      </c>
      <c r="D699" t="inlineStr">
        <is>
          <t>VÄRMLANDS LÄN</t>
        </is>
      </c>
      <c r="E699" t="inlineStr">
        <is>
          <t>TORSBY</t>
        </is>
      </c>
      <c r="F699" t="inlineStr">
        <is>
          <t>Bergvik skog väst AB</t>
        </is>
      </c>
      <c r="G699" t="n">
        <v>3.4</v>
      </c>
      <c r="H699" t="n">
        <v>0</v>
      </c>
      <c r="I699" t="n">
        <v>0</v>
      </c>
      <c r="J699" t="n">
        <v>0</v>
      </c>
      <c r="K699" t="n">
        <v>0</v>
      </c>
      <c r="L699" t="n">
        <v>0</v>
      </c>
      <c r="M699" t="n">
        <v>0</v>
      </c>
      <c r="N699" t="n">
        <v>0</v>
      </c>
      <c r="O699" t="n">
        <v>0</v>
      </c>
      <c r="P699" t="n">
        <v>0</v>
      </c>
      <c r="Q699" t="n">
        <v>0</v>
      </c>
      <c r="R699" s="2" t="inlineStr"/>
    </row>
    <row r="700" ht="15" customHeight="1">
      <c r="A700" t="inlineStr">
        <is>
          <t>A 46424-2023</t>
        </is>
      </c>
      <c r="B700" s="1" t="n">
        <v>45197.56141203704</v>
      </c>
      <c r="C700" s="1" t="n">
        <v>45976</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8025-2025</t>
        </is>
      </c>
      <c r="B701" s="1" t="n">
        <v>45707</v>
      </c>
      <c r="C701" s="1" t="n">
        <v>45976</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56716-2023</t>
        </is>
      </c>
      <c r="B702" s="1" t="n">
        <v>45238</v>
      </c>
      <c r="C702" s="1" t="n">
        <v>45976</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54556-2023</t>
        </is>
      </c>
      <c r="B703" s="1" t="n">
        <v>45233.63445601852</v>
      </c>
      <c r="C703" s="1" t="n">
        <v>45976</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30700-2024</t>
        </is>
      </c>
      <c r="B704" s="1" t="n">
        <v>45496.35869212963</v>
      </c>
      <c r="C704" s="1" t="n">
        <v>45976</v>
      </c>
      <c r="D704" t="inlineStr">
        <is>
          <t>VÄRMLANDS LÄN</t>
        </is>
      </c>
      <c r="E704" t="inlineStr">
        <is>
          <t>TORSBY</t>
        </is>
      </c>
      <c r="G704" t="n">
        <v>7.2</v>
      </c>
      <c r="H704" t="n">
        <v>0</v>
      </c>
      <c r="I704" t="n">
        <v>0</v>
      </c>
      <c r="J704" t="n">
        <v>0</v>
      </c>
      <c r="K704" t="n">
        <v>0</v>
      </c>
      <c r="L704" t="n">
        <v>0</v>
      </c>
      <c r="M704" t="n">
        <v>0</v>
      </c>
      <c r="N704" t="n">
        <v>0</v>
      </c>
      <c r="O704" t="n">
        <v>0</v>
      </c>
      <c r="P704" t="n">
        <v>0</v>
      </c>
      <c r="Q704" t="n">
        <v>0</v>
      </c>
      <c r="R704" s="2" t="inlineStr"/>
    </row>
    <row r="705" ht="15" customHeight="1">
      <c r="A705" t="inlineStr">
        <is>
          <t>A 30705-2024</t>
        </is>
      </c>
      <c r="B705" s="1" t="n">
        <v>45496.38092592593</v>
      </c>
      <c r="C705" s="1" t="n">
        <v>45976</v>
      </c>
      <c r="D705" t="inlineStr">
        <is>
          <t>VÄRMLANDS LÄN</t>
        </is>
      </c>
      <c r="E705" t="inlineStr">
        <is>
          <t>TORSBY</t>
        </is>
      </c>
      <c r="F705" t="inlineStr">
        <is>
          <t>Bergvik skog väst AB</t>
        </is>
      </c>
      <c r="G705" t="n">
        <v>1.4</v>
      </c>
      <c r="H705" t="n">
        <v>0</v>
      </c>
      <c r="I705" t="n">
        <v>0</v>
      </c>
      <c r="J705" t="n">
        <v>0</v>
      </c>
      <c r="K705" t="n">
        <v>0</v>
      </c>
      <c r="L705" t="n">
        <v>0</v>
      </c>
      <c r="M705" t="n">
        <v>0</v>
      </c>
      <c r="N705" t="n">
        <v>0</v>
      </c>
      <c r="O705" t="n">
        <v>0</v>
      </c>
      <c r="P705" t="n">
        <v>0</v>
      </c>
      <c r="Q705" t="n">
        <v>0</v>
      </c>
      <c r="R705" s="2" t="inlineStr"/>
    </row>
    <row r="706" ht="15" customHeight="1">
      <c r="A706" t="inlineStr">
        <is>
          <t>A 17941-2021</t>
        </is>
      </c>
      <c r="B706" s="1" t="n">
        <v>44301</v>
      </c>
      <c r="C706" s="1" t="n">
        <v>45976</v>
      </c>
      <c r="D706" t="inlineStr">
        <is>
          <t>VÄRMLANDS LÄN</t>
        </is>
      </c>
      <c r="E706" t="inlineStr">
        <is>
          <t>TORSBY</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34667-2022</t>
        </is>
      </c>
      <c r="B707" s="1" t="n">
        <v>44795</v>
      </c>
      <c r="C707" s="1" t="n">
        <v>45976</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6068-2021</t>
        </is>
      </c>
      <c r="B708" s="1" t="n">
        <v>44232</v>
      </c>
      <c r="C708" s="1" t="n">
        <v>45976</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26686-2022</t>
        </is>
      </c>
      <c r="B709" s="1" t="n">
        <v>44739.67833333334</v>
      </c>
      <c r="C709" s="1" t="n">
        <v>45976</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63266-2023</t>
        </is>
      </c>
      <c r="B710" s="1" t="n">
        <v>45273.741875</v>
      </c>
      <c r="C710" s="1" t="n">
        <v>45976</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16309-2023</t>
        </is>
      </c>
      <c r="B711" s="1" t="n">
        <v>45028.58873842593</v>
      </c>
      <c r="C711" s="1" t="n">
        <v>45976</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13848-2024</t>
        </is>
      </c>
      <c r="B712" s="1" t="n">
        <v>45390</v>
      </c>
      <c r="C712" s="1" t="n">
        <v>45976</v>
      </c>
      <c r="D712" t="inlineStr">
        <is>
          <t>VÄRMLANDS LÄN</t>
        </is>
      </c>
      <c r="E712" t="inlineStr">
        <is>
          <t>TORSBY</t>
        </is>
      </c>
      <c r="G712" t="n">
        <v>4.5</v>
      </c>
      <c r="H712" t="n">
        <v>0</v>
      </c>
      <c r="I712" t="n">
        <v>0</v>
      </c>
      <c r="J712" t="n">
        <v>0</v>
      </c>
      <c r="K712" t="n">
        <v>0</v>
      </c>
      <c r="L712" t="n">
        <v>0</v>
      </c>
      <c r="M712" t="n">
        <v>0</v>
      </c>
      <c r="N712" t="n">
        <v>0</v>
      </c>
      <c r="O712" t="n">
        <v>0</v>
      </c>
      <c r="P712" t="n">
        <v>0</v>
      </c>
      <c r="Q712" t="n">
        <v>0</v>
      </c>
      <c r="R712" s="2" t="inlineStr"/>
    </row>
    <row r="713" ht="15" customHeight="1">
      <c r="A713" t="inlineStr">
        <is>
          <t>A 46456-2024</t>
        </is>
      </c>
      <c r="B713" s="1" t="n">
        <v>45582</v>
      </c>
      <c r="C713" s="1" t="n">
        <v>45976</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38914-2022</t>
        </is>
      </c>
      <c r="B714" s="1" t="n">
        <v>44816.61194444444</v>
      </c>
      <c r="C714" s="1" t="n">
        <v>45976</v>
      </c>
      <c r="D714" t="inlineStr">
        <is>
          <t>VÄRMLANDS LÄN</t>
        </is>
      </c>
      <c r="E714" t="inlineStr">
        <is>
          <t>TORSBY</t>
        </is>
      </c>
      <c r="G714" t="n">
        <v>4.8</v>
      </c>
      <c r="H714" t="n">
        <v>0</v>
      </c>
      <c r="I714" t="n">
        <v>0</v>
      </c>
      <c r="J714" t="n">
        <v>0</v>
      </c>
      <c r="K714" t="n">
        <v>0</v>
      </c>
      <c r="L714" t="n">
        <v>0</v>
      </c>
      <c r="M714" t="n">
        <v>0</v>
      </c>
      <c r="N714" t="n">
        <v>0</v>
      </c>
      <c r="O714" t="n">
        <v>0</v>
      </c>
      <c r="P714" t="n">
        <v>0</v>
      </c>
      <c r="Q714" t="n">
        <v>0</v>
      </c>
      <c r="R714" s="2" t="inlineStr"/>
    </row>
    <row r="715" ht="15" customHeight="1">
      <c r="A715" t="inlineStr">
        <is>
          <t>A 38662-2025</t>
        </is>
      </c>
      <c r="B715" s="1" t="n">
        <v>45884.61193287037</v>
      </c>
      <c r="C715" s="1" t="n">
        <v>45976</v>
      </c>
      <c r="D715" t="inlineStr">
        <is>
          <t>VÄRMLANDS LÄN</t>
        </is>
      </c>
      <c r="E715" t="inlineStr">
        <is>
          <t>TORSBY</t>
        </is>
      </c>
      <c r="F715" t="inlineStr">
        <is>
          <t>Bergvik skog väst AB</t>
        </is>
      </c>
      <c r="G715" t="n">
        <v>5.1</v>
      </c>
      <c r="H715" t="n">
        <v>0</v>
      </c>
      <c r="I715" t="n">
        <v>0</v>
      </c>
      <c r="J715" t="n">
        <v>0</v>
      </c>
      <c r="K715" t="n">
        <v>0</v>
      </c>
      <c r="L715" t="n">
        <v>0</v>
      </c>
      <c r="M715" t="n">
        <v>0</v>
      </c>
      <c r="N715" t="n">
        <v>0</v>
      </c>
      <c r="O715" t="n">
        <v>0</v>
      </c>
      <c r="P715" t="n">
        <v>0</v>
      </c>
      <c r="Q715" t="n">
        <v>0</v>
      </c>
      <c r="R715" s="2" t="inlineStr"/>
    </row>
    <row r="716" ht="15" customHeight="1">
      <c r="A716" t="inlineStr">
        <is>
          <t>A 38882-2022</t>
        </is>
      </c>
      <c r="B716" s="1" t="n">
        <v>44816.565625</v>
      </c>
      <c r="C716" s="1" t="n">
        <v>45976</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22030-2023</t>
        </is>
      </c>
      <c r="B717" s="1" t="n">
        <v>45069</v>
      </c>
      <c r="C717" s="1" t="n">
        <v>45976</v>
      </c>
      <c r="D717" t="inlineStr">
        <is>
          <t>VÄRMLANDS LÄN</t>
        </is>
      </c>
      <c r="E717" t="inlineStr">
        <is>
          <t>TORSBY</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10895-2024</t>
        </is>
      </c>
      <c r="B718" s="1" t="n">
        <v>45370.34901620371</v>
      </c>
      <c r="C718" s="1" t="n">
        <v>45976</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60385-2024</t>
        </is>
      </c>
      <c r="B719" s="1" t="n">
        <v>45643</v>
      </c>
      <c r="C719" s="1" t="n">
        <v>45976</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44170-2022</t>
        </is>
      </c>
      <c r="B720" s="1" t="n">
        <v>44838</v>
      </c>
      <c r="C720" s="1" t="n">
        <v>45976</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2203-2025</t>
        </is>
      </c>
      <c r="B721" s="1" t="n">
        <v>45672</v>
      </c>
      <c r="C721" s="1" t="n">
        <v>45976</v>
      </c>
      <c r="D721" t="inlineStr">
        <is>
          <t>VÄRMLANDS LÄN</t>
        </is>
      </c>
      <c r="E721" t="inlineStr">
        <is>
          <t>TORSBY</t>
        </is>
      </c>
      <c r="G721" t="n">
        <v>11.3</v>
      </c>
      <c r="H721" t="n">
        <v>0</v>
      </c>
      <c r="I721" t="n">
        <v>0</v>
      </c>
      <c r="J721" t="n">
        <v>0</v>
      </c>
      <c r="K721" t="n">
        <v>0</v>
      </c>
      <c r="L721" t="n">
        <v>0</v>
      </c>
      <c r="M721" t="n">
        <v>0</v>
      </c>
      <c r="N721" t="n">
        <v>0</v>
      </c>
      <c r="O721" t="n">
        <v>0</v>
      </c>
      <c r="P721" t="n">
        <v>0</v>
      </c>
      <c r="Q721" t="n">
        <v>0</v>
      </c>
      <c r="R721" s="2" t="inlineStr"/>
    </row>
    <row r="722" ht="15" customHeight="1">
      <c r="A722" t="inlineStr">
        <is>
          <t>A 34256-2024</t>
        </is>
      </c>
      <c r="B722" s="1" t="n">
        <v>45524.59434027778</v>
      </c>
      <c r="C722" s="1" t="n">
        <v>45976</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30531-2023</t>
        </is>
      </c>
      <c r="B723" s="1" t="n">
        <v>45111.68223379629</v>
      </c>
      <c r="C723" s="1" t="n">
        <v>45976</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7907-2025</t>
        </is>
      </c>
      <c r="B724" s="1" t="n">
        <v>45707</v>
      </c>
      <c r="C724" s="1" t="n">
        <v>45976</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6529-2025</t>
        </is>
      </c>
      <c r="B725" s="1" t="n">
        <v>45699</v>
      </c>
      <c r="C725" s="1" t="n">
        <v>45976</v>
      </c>
      <c r="D725" t="inlineStr">
        <is>
          <t>VÄRMLANDS LÄN</t>
        </is>
      </c>
      <c r="E725" t="inlineStr">
        <is>
          <t>TORSBY</t>
        </is>
      </c>
      <c r="F725" t="inlineStr">
        <is>
          <t>Kommuner</t>
        </is>
      </c>
      <c r="G725" t="n">
        <v>0.2</v>
      </c>
      <c r="H725" t="n">
        <v>0</v>
      </c>
      <c r="I725" t="n">
        <v>0</v>
      </c>
      <c r="J725" t="n">
        <v>0</v>
      </c>
      <c r="K725" t="n">
        <v>0</v>
      </c>
      <c r="L725" t="n">
        <v>0</v>
      </c>
      <c r="M725" t="n">
        <v>0</v>
      </c>
      <c r="N725" t="n">
        <v>0</v>
      </c>
      <c r="O725" t="n">
        <v>0</v>
      </c>
      <c r="P725" t="n">
        <v>0</v>
      </c>
      <c r="Q725" t="n">
        <v>0</v>
      </c>
      <c r="R725" s="2" t="inlineStr"/>
    </row>
    <row r="726" ht="15" customHeight="1">
      <c r="A726" t="inlineStr">
        <is>
          <t>A 33469-2024</t>
        </is>
      </c>
      <c r="B726" s="1" t="n">
        <v>45519.5996875</v>
      </c>
      <c r="C726" s="1" t="n">
        <v>45976</v>
      </c>
      <c r="D726" t="inlineStr">
        <is>
          <t>VÄRMLANDS LÄN</t>
        </is>
      </c>
      <c r="E726" t="inlineStr">
        <is>
          <t>TORSBY</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15413-2023</t>
        </is>
      </c>
      <c r="B727" s="1" t="n">
        <v>45019</v>
      </c>
      <c r="C727" s="1" t="n">
        <v>45976</v>
      </c>
      <c r="D727" t="inlineStr">
        <is>
          <t>VÄRMLANDS LÄN</t>
        </is>
      </c>
      <c r="E727" t="inlineStr">
        <is>
          <t>TORSBY</t>
        </is>
      </c>
      <c r="G727" t="n">
        <v>17.1</v>
      </c>
      <c r="H727" t="n">
        <v>0</v>
      </c>
      <c r="I727" t="n">
        <v>0</v>
      </c>
      <c r="J727" t="n">
        <v>0</v>
      </c>
      <c r="K727" t="n">
        <v>0</v>
      </c>
      <c r="L727" t="n">
        <v>0</v>
      </c>
      <c r="M727" t="n">
        <v>0</v>
      </c>
      <c r="N727" t="n">
        <v>0</v>
      </c>
      <c r="O727" t="n">
        <v>0</v>
      </c>
      <c r="P727" t="n">
        <v>0</v>
      </c>
      <c r="Q727" t="n">
        <v>0</v>
      </c>
      <c r="R727" s="2" t="inlineStr"/>
    </row>
    <row r="728" ht="15" customHeight="1">
      <c r="A728" t="inlineStr">
        <is>
          <t>A 38795-2025</t>
        </is>
      </c>
      <c r="B728" s="1" t="n">
        <v>45887</v>
      </c>
      <c r="C728" s="1" t="n">
        <v>45976</v>
      </c>
      <c r="D728" t="inlineStr">
        <is>
          <t>VÄRMLANDS LÄN</t>
        </is>
      </c>
      <c r="E728" t="inlineStr">
        <is>
          <t>TORSBY</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38771-2025</t>
        </is>
      </c>
      <c r="B729" s="1" t="n">
        <v>45887</v>
      </c>
      <c r="C729" s="1" t="n">
        <v>45976</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39390-2023</t>
        </is>
      </c>
      <c r="B730" s="1" t="n">
        <v>45166.65104166666</v>
      </c>
      <c r="C730" s="1" t="n">
        <v>45976</v>
      </c>
      <c r="D730" t="inlineStr">
        <is>
          <t>VÄRMLANDS LÄN</t>
        </is>
      </c>
      <c r="E730" t="inlineStr">
        <is>
          <t>TORSBY</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3071-2022</t>
        </is>
      </c>
      <c r="B731" s="1" t="n">
        <v>44582.42109953704</v>
      </c>
      <c r="C731" s="1" t="n">
        <v>45976</v>
      </c>
      <c r="D731" t="inlineStr">
        <is>
          <t>VÄRMLANDS LÄN</t>
        </is>
      </c>
      <c r="E731" t="inlineStr">
        <is>
          <t>TORSBY</t>
        </is>
      </c>
      <c r="G731" t="n">
        <v>7.9</v>
      </c>
      <c r="H731" t="n">
        <v>0</v>
      </c>
      <c r="I731" t="n">
        <v>0</v>
      </c>
      <c r="J731" t="n">
        <v>0</v>
      </c>
      <c r="K731" t="n">
        <v>0</v>
      </c>
      <c r="L731" t="n">
        <v>0</v>
      </c>
      <c r="M731" t="n">
        <v>0</v>
      </c>
      <c r="N731" t="n">
        <v>0</v>
      </c>
      <c r="O731" t="n">
        <v>0</v>
      </c>
      <c r="P731" t="n">
        <v>0</v>
      </c>
      <c r="Q731" t="n">
        <v>0</v>
      </c>
      <c r="R731" s="2" t="inlineStr"/>
    </row>
    <row r="732" ht="15" customHeight="1">
      <c r="A732" t="inlineStr">
        <is>
          <t>A 15126-2024</t>
        </is>
      </c>
      <c r="B732" s="1" t="n">
        <v>45399</v>
      </c>
      <c r="C732" s="1" t="n">
        <v>45976</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15127-2024</t>
        </is>
      </c>
      <c r="B733" s="1" t="n">
        <v>45399.76815972223</v>
      </c>
      <c r="C733" s="1" t="n">
        <v>45976</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38536-2025</t>
        </is>
      </c>
      <c r="B734" s="1" t="n">
        <v>45884.42</v>
      </c>
      <c r="C734" s="1" t="n">
        <v>45976</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15154-2025</t>
        </is>
      </c>
      <c r="B735" s="1" t="n">
        <v>45744.46157407408</v>
      </c>
      <c r="C735" s="1" t="n">
        <v>45976</v>
      </c>
      <c r="D735" t="inlineStr">
        <is>
          <t>VÄRMLANDS LÄN</t>
        </is>
      </c>
      <c r="E735" t="inlineStr">
        <is>
          <t>TORSBY</t>
        </is>
      </c>
      <c r="G735" t="n">
        <v>0.4</v>
      </c>
      <c r="H735" t="n">
        <v>0</v>
      </c>
      <c r="I735" t="n">
        <v>0</v>
      </c>
      <c r="J735" t="n">
        <v>0</v>
      </c>
      <c r="K735" t="n">
        <v>0</v>
      </c>
      <c r="L735" t="n">
        <v>0</v>
      </c>
      <c r="M735" t="n">
        <v>0</v>
      </c>
      <c r="N735" t="n">
        <v>0</v>
      </c>
      <c r="O735" t="n">
        <v>0</v>
      </c>
      <c r="P735" t="n">
        <v>0</v>
      </c>
      <c r="Q735" t="n">
        <v>0</v>
      </c>
      <c r="R735" s="2" t="inlineStr"/>
    </row>
    <row r="736" ht="15" customHeight="1">
      <c r="A736" t="inlineStr">
        <is>
          <t>A 19307-2022</t>
        </is>
      </c>
      <c r="B736" s="1" t="n">
        <v>44692.55497685185</v>
      </c>
      <c r="C736" s="1" t="n">
        <v>45976</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20872-2024</t>
        </is>
      </c>
      <c r="B737" s="1" t="n">
        <v>45439.44173611111</v>
      </c>
      <c r="C737" s="1" t="n">
        <v>45976</v>
      </c>
      <c r="D737" t="inlineStr">
        <is>
          <t>VÄRMLANDS LÄN</t>
        </is>
      </c>
      <c r="E737" t="inlineStr">
        <is>
          <t>TORSBY</t>
        </is>
      </c>
      <c r="G737" t="n">
        <v>7.4</v>
      </c>
      <c r="H737" t="n">
        <v>0</v>
      </c>
      <c r="I737" t="n">
        <v>0</v>
      </c>
      <c r="J737" t="n">
        <v>0</v>
      </c>
      <c r="K737" t="n">
        <v>0</v>
      </c>
      <c r="L737" t="n">
        <v>0</v>
      </c>
      <c r="M737" t="n">
        <v>0</v>
      </c>
      <c r="N737" t="n">
        <v>0</v>
      </c>
      <c r="O737" t="n">
        <v>0</v>
      </c>
      <c r="P737" t="n">
        <v>0</v>
      </c>
      <c r="Q737" t="n">
        <v>0</v>
      </c>
      <c r="R737" s="2" t="inlineStr"/>
    </row>
    <row r="738" ht="15" customHeight="1">
      <c r="A738" t="inlineStr">
        <is>
          <t>A 8054-2022</t>
        </is>
      </c>
      <c r="B738" s="1" t="n">
        <v>44609</v>
      </c>
      <c r="C738" s="1" t="n">
        <v>45976</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48721-2024</t>
        </is>
      </c>
      <c r="B739" s="1" t="n">
        <v>45593.54752314815</v>
      </c>
      <c r="C739" s="1" t="n">
        <v>45976</v>
      </c>
      <c r="D739" t="inlineStr">
        <is>
          <t>VÄRMLANDS LÄN</t>
        </is>
      </c>
      <c r="E739" t="inlineStr">
        <is>
          <t>TORSBY</t>
        </is>
      </c>
      <c r="F739" t="inlineStr">
        <is>
          <t>Bergvik skog väst AB</t>
        </is>
      </c>
      <c r="G739" t="n">
        <v>4.6</v>
      </c>
      <c r="H739" t="n">
        <v>0</v>
      </c>
      <c r="I739" t="n">
        <v>0</v>
      </c>
      <c r="J739" t="n">
        <v>0</v>
      </c>
      <c r="K739" t="n">
        <v>0</v>
      </c>
      <c r="L739" t="n">
        <v>0</v>
      </c>
      <c r="M739" t="n">
        <v>0</v>
      </c>
      <c r="N739" t="n">
        <v>0</v>
      </c>
      <c r="O739" t="n">
        <v>0</v>
      </c>
      <c r="P739" t="n">
        <v>0</v>
      </c>
      <c r="Q739" t="n">
        <v>0</v>
      </c>
      <c r="R739" s="2" t="inlineStr"/>
    </row>
    <row r="740" ht="15" customHeight="1">
      <c r="A740" t="inlineStr">
        <is>
          <t>A 49073-2022</t>
        </is>
      </c>
      <c r="B740" s="1" t="n">
        <v>44860</v>
      </c>
      <c r="C740" s="1" t="n">
        <v>45976</v>
      </c>
      <c r="D740" t="inlineStr">
        <is>
          <t>VÄRMLANDS LÄN</t>
        </is>
      </c>
      <c r="E740" t="inlineStr">
        <is>
          <t>TORSBY</t>
        </is>
      </c>
      <c r="G740" t="n">
        <v>4.7</v>
      </c>
      <c r="H740" t="n">
        <v>0</v>
      </c>
      <c r="I740" t="n">
        <v>0</v>
      </c>
      <c r="J740" t="n">
        <v>0</v>
      </c>
      <c r="K740" t="n">
        <v>0</v>
      </c>
      <c r="L740" t="n">
        <v>0</v>
      </c>
      <c r="M740" t="n">
        <v>0</v>
      </c>
      <c r="N740" t="n">
        <v>0</v>
      </c>
      <c r="O740" t="n">
        <v>0</v>
      </c>
      <c r="P740" t="n">
        <v>0</v>
      </c>
      <c r="Q740" t="n">
        <v>0</v>
      </c>
      <c r="R740" s="2" t="inlineStr"/>
    </row>
    <row r="741" ht="15" customHeight="1">
      <c r="A741" t="inlineStr">
        <is>
          <t>A 46915-2024</t>
        </is>
      </c>
      <c r="B741" s="1" t="n">
        <v>45583</v>
      </c>
      <c r="C741" s="1" t="n">
        <v>45976</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58945-2024</t>
        </is>
      </c>
      <c r="B742" s="1" t="n">
        <v>45636</v>
      </c>
      <c r="C742" s="1" t="n">
        <v>45976</v>
      </c>
      <c r="D742" t="inlineStr">
        <is>
          <t>VÄRMLANDS LÄN</t>
        </is>
      </c>
      <c r="E742" t="inlineStr">
        <is>
          <t>TORSBY</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58386-2023</t>
        </is>
      </c>
      <c r="B743" s="1" t="n">
        <v>45250</v>
      </c>
      <c r="C743" s="1" t="n">
        <v>45976</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50147-2023</t>
        </is>
      </c>
      <c r="B744" s="1" t="n">
        <v>45215</v>
      </c>
      <c r="C744" s="1" t="n">
        <v>45976</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11447-2022</t>
        </is>
      </c>
      <c r="B745" s="1" t="n">
        <v>44630</v>
      </c>
      <c r="C745" s="1" t="n">
        <v>45976</v>
      </c>
      <c r="D745" t="inlineStr">
        <is>
          <t>VÄRMLANDS LÄN</t>
        </is>
      </c>
      <c r="E745" t="inlineStr">
        <is>
          <t>TORSBY</t>
        </is>
      </c>
      <c r="G745" t="n">
        <v>2.4</v>
      </c>
      <c r="H745" t="n">
        <v>0</v>
      </c>
      <c r="I745" t="n">
        <v>0</v>
      </c>
      <c r="J745" t="n">
        <v>0</v>
      </c>
      <c r="K745" t="n">
        <v>0</v>
      </c>
      <c r="L745" t="n">
        <v>0</v>
      </c>
      <c r="M745" t="n">
        <v>0</v>
      </c>
      <c r="N745" t="n">
        <v>0</v>
      </c>
      <c r="O745" t="n">
        <v>0</v>
      </c>
      <c r="P745" t="n">
        <v>0</v>
      </c>
      <c r="Q745" t="n">
        <v>0</v>
      </c>
      <c r="R745" s="2" t="inlineStr"/>
    </row>
    <row r="746" ht="15" customHeight="1">
      <c r="A746" t="inlineStr">
        <is>
          <t>A 44470-2024</t>
        </is>
      </c>
      <c r="B746" s="1" t="n">
        <v>45574</v>
      </c>
      <c r="C746" s="1" t="n">
        <v>45976</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6111-2021</t>
        </is>
      </c>
      <c r="B747" s="1" t="n">
        <v>44232</v>
      </c>
      <c r="C747" s="1" t="n">
        <v>45976</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44497-2023</t>
        </is>
      </c>
      <c r="B748" s="1" t="n">
        <v>45189.45701388889</v>
      </c>
      <c r="C748" s="1" t="n">
        <v>45976</v>
      </c>
      <c r="D748" t="inlineStr">
        <is>
          <t>VÄRMLANDS LÄN</t>
        </is>
      </c>
      <c r="E748" t="inlineStr">
        <is>
          <t>TORSBY</t>
        </is>
      </c>
      <c r="G748" t="n">
        <v>7.6</v>
      </c>
      <c r="H748" t="n">
        <v>0</v>
      </c>
      <c r="I748" t="n">
        <v>0</v>
      </c>
      <c r="J748" t="n">
        <v>0</v>
      </c>
      <c r="K748" t="n">
        <v>0</v>
      </c>
      <c r="L748" t="n">
        <v>0</v>
      </c>
      <c r="M748" t="n">
        <v>0</v>
      </c>
      <c r="N748" t="n">
        <v>0</v>
      </c>
      <c r="O748" t="n">
        <v>0</v>
      </c>
      <c r="P748" t="n">
        <v>0</v>
      </c>
      <c r="Q748" t="n">
        <v>0</v>
      </c>
      <c r="R748" s="2" t="inlineStr"/>
    </row>
    <row r="749" ht="15" customHeight="1">
      <c r="A749" t="inlineStr">
        <is>
          <t>A 61138-2022</t>
        </is>
      </c>
      <c r="B749" s="1" t="n">
        <v>44915</v>
      </c>
      <c r="C749" s="1" t="n">
        <v>45976</v>
      </c>
      <c r="D749" t="inlineStr">
        <is>
          <t>VÄRMLANDS LÄN</t>
        </is>
      </c>
      <c r="E749" t="inlineStr">
        <is>
          <t>TORSBY</t>
        </is>
      </c>
      <c r="G749" t="n">
        <v>3.6</v>
      </c>
      <c r="H749" t="n">
        <v>0</v>
      </c>
      <c r="I749" t="n">
        <v>0</v>
      </c>
      <c r="J749" t="n">
        <v>0</v>
      </c>
      <c r="K749" t="n">
        <v>0</v>
      </c>
      <c r="L749" t="n">
        <v>0</v>
      </c>
      <c r="M749" t="n">
        <v>0</v>
      </c>
      <c r="N749" t="n">
        <v>0</v>
      </c>
      <c r="O749" t="n">
        <v>0</v>
      </c>
      <c r="P749" t="n">
        <v>0</v>
      </c>
      <c r="Q749" t="n">
        <v>0</v>
      </c>
      <c r="R749" s="2" t="inlineStr"/>
    </row>
    <row r="750" ht="15" customHeight="1">
      <c r="A750" t="inlineStr">
        <is>
          <t>A 3904-2025</t>
        </is>
      </c>
      <c r="B750" s="1" t="n">
        <v>45684</v>
      </c>
      <c r="C750" s="1" t="n">
        <v>45976</v>
      </c>
      <c r="D750" t="inlineStr">
        <is>
          <t>VÄRMLANDS LÄN</t>
        </is>
      </c>
      <c r="E750" t="inlineStr">
        <is>
          <t>TORSBY</t>
        </is>
      </c>
      <c r="F750" t="inlineStr">
        <is>
          <t>Övriga statliga verk och myndigheter</t>
        </is>
      </c>
      <c r="G750" t="n">
        <v>0.7</v>
      </c>
      <c r="H750" t="n">
        <v>0</v>
      </c>
      <c r="I750" t="n">
        <v>0</v>
      </c>
      <c r="J750" t="n">
        <v>0</v>
      </c>
      <c r="K750" t="n">
        <v>0</v>
      </c>
      <c r="L750" t="n">
        <v>0</v>
      </c>
      <c r="M750" t="n">
        <v>0</v>
      </c>
      <c r="N750" t="n">
        <v>0</v>
      </c>
      <c r="O750" t="n">
        <v>0</v>
      </c>
      <c r="P750" t="n">
        <v>0</v>
      </c>
      <c r="Q750" t="n">
        <v>0</v>
      </c>
      <c r="R750" s="2" t="inlineStr"/>
    </row>
    <row r="751" ht="15" customHeight="1">
      <c r="A751" t="inlineStr">
        <is>
          <t>A 3951-2025</t>
        </is>
      </c>
      <c r="B751" s="1" t="n">
        <v>45684.49333333333</v>
      </c>
      <c r="C751" s="1" t="n">
        <v>45976</v>
      </c>
      <c r="D751" t="inlineStr">
        <is>
          <t>VÄRMLANDS LÄN</t>
        </is>
      </c>
      <c r="E751" t="inlineStr">
        <is>
          <t>TORSBY</t>
        </is>
      </c>
      <c r="F751" t="inlineStr">
        <is>
          <t>Bergvik skog väst AB</t>
        </is>
      </c>
      <c r="G751" t="n">
        <v>2.3</v>
      </c>
      <c r="H751" t="n">
        <v>0</v>
      </c>
      <c r="I751" t="n">
        <v>0</v>
      </c>
      <c r="J751" t="n">
        <v>0</v>
      </c>
      <c r="K751" t="n">
        <v>0</v>
      </c>
      <c r="L751" t="n">
        <v>0</v>
      </c>
      <c r="M751" t="n">
        <v>0</v>
      </c>
      <c r="N751" t="n">
        <v>0</v>
      </c>
      <c r="O751" t="n">
        <v>0</v>
      </c>
      <c r="P751" t="n">
        <v>0</v>
      </c>
      <c r="Q751" t="n">
        <v>0</v>
      </c>
      <c r="R751" s="2" t="inlineStr"/>
    </row>
    <row r="752" ht="15" customHeight="1">
      <c r="A752" t="inlineStr">
        <is>
          <t>A 41936-2024</t>
        </is>
      </c>
      <c r="B752" s="1" t="n">
        <v>45561</v>
      </c>
      <c r="C752" s="1" t="n">
        <v>45976</v>
      </c>
      <c r="D752" t="inlineStr">
        <is>
          <t>VÄRMLANDS LÄN</t>
        </is>
      </c>
      <c r="E752" t="inlineStr">
        <is>
          <t>TORSBY</t>
        </is>
      </c>
      <c r="G752" t="n">
        <v>9.9</v>
      </c>
      <c r="H752" t="n">
        <v>0</v>
      </c>
      <c r="I752" t="n">
        <v>0</v>
      </c>
      <c r="J752" t="n">
        <v>0</v>
      </c>
      <c r="K752" t="n">
        <v>0</v>
      </c>
      <c r="L752" t="n">
        <v>0</v>
      </c>
      <c r="M752" t="n">
        <v>0</v>
      </c>
      <c r="N752" t="n">
        <v>0</v>
      </c>
      <c r="O752" t="n">
        <v>0</v>
      </c>
      <c r="P752" t="n">
        <v>0</v>
      </c>
      <c r="Q752" t="n">
        <v>0</v>
      </c>
      <c r="R752" s="2" t="inlineStr"/>
    </row>
    <row r="753" ht="15" customHeight="1">
      <c r="A753" t="inlineStr">
        <is>
          <t>A 8447-2023</t>
        </is>
      </c>
      <c r="B753" s="1" t="n">
        <v>44977</v>
      </c>
      <c r="C753" s="1" t="n">
        <v>45976</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38808-2025</t>
        </is>
      </c>
      <c r="B754" s="1" t="n">
        <v>45887.47344907407</v>
      </c>
      <c r="C754" s="1" t="n">
        <v>45976</v>
      </c>
      <c r="D754" t="inlineStr">
        <is>
          <t>VÄRMLANDS LÄN</t>
        </is>
      </c>
      <c r="E754" t="inlineStr">
        <is>
          <t>TORSBY</t>
        </is>
      </c>
      <c r="G754" t="n">
        <v>4.6</v>
      </c>
      <c r="H754" t="n">
        <v>0</v>
      </c>
      <c r="I754" t="n">
        <v>0</v>
      </c>
      <c r="J754" t="n">
        <v>0</v>
      </c>
      <c r="K754" t="n">
        <v>0</v>
      </c>
      <c r="L754" t="n">
        <v>0</v>
      </c>
      <c r="M754" t="n">
        <v>0</v>
      </c>
      <c r="N754" t="n">
        <v>0</v>
      </c>
      <c r="O754" t="n">
        <v>0</v>
      </c>
      <c r="P754" t="n">
        <v>0</v>
      </c>
      <c r="Q754" t="n">
        <v>0</v>
      </c>
      <c r="R754" s="2" t="inlineStr"/>
    </row>
    <row r="755" ht="15" customHeight="1">
      <c r="A755" t="inlineStr">
        <is>
          <t>A 6063-2021</t>
        </is>
      </c>
      <c r="B755" s="1" t="n">
        <v>44232</v>
      </c>
      <c r="C755" s="1" t="n">
        <v>45976</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4030-2024</t>
        </is>
      </c>
      <c r="B756" s="1" t="n">
        <v>45323</v>
      </c>
      <c r="C756" s="1" t="n">
        <v>45976</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38738-2025</t>
        </is>
      </c>
      <c r="B757" s="1" t="n">
        <v>45887.3715162037</v>
      </c>
      <c r="C757" s="1" t="n">
        <v>45976</v>
      </c>
      <c r="D757" t="inlineStr">
        <is>
          <t>VÄRMLANDS LÄN</t>
        </is>
      </c>
      <c r="E757" t="inlineStr">
        <is>
          <t>TORSBY</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11235-2024</t>
        </is>
      </c>
      <c r="B758" s="1" t="n">
        <v>45371</v>
      </c>
      <c r="C758" s="1" t="n">
        <v>45976</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11242-2024</t>
        </is>
      </c>
      <c r="B759" s="1" t="n">
        <v>45371</v>
      </c>
      <c r="C759" s="1" t="n">
        <v>45976</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11253-2024</t>
        </is>
      </c>
      <c r="B760" s="1" t="n">
        <v>45371</v>
      </c>
      <c r="C760" s="1" t="n">
        <v>45976</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53583-2024</t>
        </is>
      </c>
      <c r="B761" s="1" t="n">
        <v>45614.66449074074</v>
      </c>
      <c r="C761" s="1" t="n">
        <v>45976</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38991-2023</t>
        </is>
      </c>
      <c r="B762" s="1" t="n">
        <v>45163.65929398148</v>
      </c>
      <c r="C762" s="1" t="n">
        <v>45976</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38611-2025</t>
        </is>
      </c>
      <c r="B763" s="1" t="n">
        <v>45884.53958333333</v>
      </c>
      <c r="C763" s="1" t="n">
        <v>45976</v>
      </c>
      <c r="D763" t="inlineStr">
        <is>
          <t>VÄRMLANDS LÄN</t>
        </is>
      </c>
      <c r="E763" t="inlineStr">
        <is>
          <t>TORSBY</t>
        </is>
      </c>
      <c r="G763" t="n">
        <v>3.3</v>
      </c>
      <c r="H763" t="n">
        <v>0</v>
      </c>
      <c r="I763" t="n">
        <v>0</v>
      </c>
      <c r="J763" t="n">
        <v>0</v>
      </c>
      <c r="K763" t="n">
        <v>0</v>
      </c>
      <c r="L763" t="n">
        <v>0</v>
      </c>
      <c r="M763" t="n">
        <v>0</v>
      </c>
      <c r="N763" t="n">
        <v>0</v>
      </c>
      <c r="O763" t="n">
        <v>0</v>
      </c>
      <c r="P763" t="n">
        <v>0</v>
      </c>
      <c r="Q763" t="n">
        <v>0</v>
      </c>
      <c r="R763" s="2" t="inlineStr"/>
    </row>
    <row r="764" ht="15" customHeight="1">
      <c r="A764" t="inlineStr">
        <is>
          <t>A 69250-2020</t>
        </is>
      </c>
      <c r="B764" s="1" t="n">
        <v>44192</v>
      </c>
      <c r="C764" s="1" t="n">
        <v>45976</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21581-2024</t>
        </is>
      </c>
      <c r="B765" s="1" t="n">
        <v>45441</v>
      </c>
      <c r="C765" s="1" t="n">
        <v>45976</v>
      </c>
      <c r="D765" t="inlineStr">
        <is>
          <t>VÄRMLANDS LÄN</t>
        </is>
      </c>
      <c r="E765" t="inlineStr">
        <is>
          <t>TORSBY</t>
        </is>
      </c>
      <c r="G765" t="n">
        <v>5.5</v>
      </c>
      <c r="H765" t="n">
        <v>0</v>
      </c>
      <c r="I765" t="n">
        <v>0</v>
      </c>
      <c r="J765" t="n">
        <v>0</v>
      </c>
      <c r="K765" t="n">
        <v>0</v>
      </c>
      <c r="L765" t="n">
        <v>0</v>
      </c>
      <c r="M765" t="n">
        <v>0</v>
      </c>
      <c r="N765" t="n">
        <v>0</v>
      </c>
      <c r="O765" t="n">
        <v>0</v>
      </c>
      <c r="P765" t="n">
        <v>0</v>
      </c>
      <c r="Q765" t="n">
        <v>0</v>
      </c>
      <c r="R765" s="2" t="inlineStr"/>
    </row>
    <row r="766" ht="15" customHeight="1">
      <c r="A766" t="inlineStr">
        <is>
          <t>A 16949-2025</t>
        </is>
      </c>
      <c r="B766" s="1" t="n">
        <v>45755</v>
      </c>
      <c r="C766" s="1" t="n">
        <v>45976</v>
      </c>
      <c r="D766" t="inlineStr">
        <is>
          <t>VÄRMLANDS LÄN</t>
        </is>
      </c>
      <c r="E766" t="inlineStr">
        <is>
          <t>TORSBY</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57172-2022</t>
        </is>
      </c>
      <c r="B767" s="1" t="n">
        <v>44895</v>
      </c>
      <c r="C767" s="1" t="n">
        <v>45976</v>
      </c>
      <c r="D767" t="inlineStr">
        <is>
          <t>VÄRMLANDS LÄN</t>
        </is>
      </c>
      <c r="E767" t="inlineStr">
        <is>
          <t>TORSBY</t>
        </is>
      </c>
      <c r="G767" t="n">
        <v>3.8</v>
      </c>
      <c r="H767" t="n">
        <v>0</v>
      </c>
      <c r="I767" t="n">
        <v>0</v>
      </c>
      <c r="J767" t="n">
        <v>0</v>
      </c>
      <c r="K767" t="n">
        <v>0</v>
      </c>
      <c r="L767" t="n">
        <v>0</v>
      </c>
      <c r="M767" t="n">
        <v>0</v>
      </c>
      <c r="N767" t="n">
        <v>0</v>
      </c>
      <c r="O767" t="n">
        <v>0</v>
      </c>
      <c r="P767" t="n">
        <v>0</v>
      </c>
      <c r="Q767" t="n">
        <v>0</v>
      </c>
      <c r="R767" s="2" t="inlineStr"/>
    </row>
    <row r="768" ht="15" customHeight="1">
      <c r="A768" t="inlineStr">
        <is>
          <t>A 55436-2022</t>
        </is>
      </c>
      <c r="B768" s="1" t="n">
        <v>44887</v>
      </c>
      <c r="C768" s="1" t="n">
        <v>45976</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1911-2022</t>
        </is>
      </c>
      <c r="B769" s="1" t="n">
        <v>44575</v>
      </c>
      <c r="C769" s="1" t="n">
        <v>45976</v>
      </c>
      <c r="D769" t="inlineStr">
        <is>
          <t>VÄRMLANDS LÄN</t>
        </is>
      </c>
      <c r="E769" t="inlineStr">
        <is>
          <t>TORSBY</t>
        </is>
      </c>
      <c r="F769" t="inlineStr">
        <is>
          <t>Kommuner</t>
        </is>
      </c>
      <c r="G769" t="n">
        <v>0.8</v>
      </c>
      <c r="H769" t="n">
        <v>0</v>
      </c>
      <c r="I769" t="n">
        <v>0</v>
      </c>
      <c r="J769" t="n">
        <v>0</v>
      </c>
      <c r="K769" t="n">
        <v>0</v>
      </c>
      <c r="L769" t="n">
        <v>0</v>
      </c>
      <c r="M769" t="n">
        <v>0</v>
      </c>
      <c r="N769" t="n">
        <v>0</v>
      </c>
      <c r="O769" t="n">
        <v>0</v>
      </c>
      <c r="P769" t="n">
        <v>0</v>
      </c>
      <c r="Q769" t="n">
        <v>0</v>
      </c>
      <c r="R769" s="2" t="inlineStr"/>
    </row>
    <row r="770" ht="15" customHeight="1">
      <c r="A770" t="inlineStr">
        <is>
          <t>A 3536-2024</t>
        </is>
      </c>
      <c r="B770" s="1" t="n">
        <v>45320</v>
      </c>
      <c r="C770" s="1" t="n">
        <v>45976</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8979-2025</t>
        </is>
      </c>
      <c r="B771" s="1" t="n">
        <v>45713</v>
      </c>
      <c r="C771" s="1" t="n">
        <v>45976</v>
      </c>
      <c r="D771" t="inlineStr">
        <is>
          <t>VÄRMLANDS LÄN</t>
        </is>
      </c>
      <c r="E771" t="inlineStr">
        <is>
          <t>TORSBY</t>
        </is>
      </c>
      <c r="G771" t="n">
        <v>6.5</v>
      </c>
      <c r="H771" t="n">
        <v>0</v>
      </c>
      <c r="I771" t="n">
        <v>0</v>
      </c>
      <c r="J771" t="n">
        <v>0</v>
      </c>
      <c r="K771" t="n">
        <v>0</v>
      </c>
      <c r="L771" t="n">
        <v>0</v>
      </c>
      <c r="M771" t="n">
        <v>0</v>
      </c>
      <c r="N771" t="n">
        <v>0</v>
      </c>
      <c r="O771" t="n">
        <v>0</v>
      </c>
      <c r="P771" t="n">
        <v>0</v>
      </c>
      <c r="Q771" t="n">
        <v>0</v>
      </c>
      <c r="R771" s="2" t="inlineStr"/>
    </row>
    <row r="772" ht="15" customHeight="1">
      <c r="A772" t="inlineStr">
        <is>
          <t>A 39003-2021</t>
        </is>
      </c>
      <c r="B772" s="1" t="n">
        <v>44412</v>
      </c>
      <c r="C772" s="1" t="n">
        <v>45976</v>
      </c>
      <c r="D772" t="inlineStr">
        <is>
          <t>VÄRMLANDS LÄN</t>
        </is>
      </c>
      <c r="E772" t="inlineStr">
        <is>
          <t>TORSBY</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60148-2024</t>
        </is>
      </c>
      <c r="B773" s="1" t="n">
        <v>45642</v>
      </c>
      <c r="C773" s="1" t="n">
        <v>45976</v>
      </c>
      <c r="D773" t="inlineStr">
        <is>
          <t>VÄRMLANDS LÄN</t>
        </is>
      </c>
      <c r="E773" t="inlineStr">
        <is>
          <t>TORSBY</t>
        </is>
      </c>
      <c r="G773" t="n">
        <v>12.4</v>
      </c>
      <c r="H773" t="n">
        <v>0</v>
      </c>
      <c r="I773" t="n">
        <v>0</v>
      </c>
      <c r="J773" t="n">
        <v>0</v>
      </c>
      <c r="K773" t="n">
        <v>0</v>
      </c>
      <c r="L773" t="n">
        <v>0</v>
      </c>
      <c r="M773" t="n">
        <v>0</v>
      </c>
      <c r="N773" t="n">
        <v>0</v>
      </c>
      <c r="O773" t="n">
        <v>0</v>
      </c>
      <c r="P773" t="n">
        <v>0</v>
      </c>
      <c r="Q773" t="n">
        <v>0</v>
      </c>
      <c r="R773" s="2" t="inlineStr"/>
    </row>
    <row r="774" ht="15" customHeight="1">
      <c r="A774" t="inlineStr">
        <is>
          <t>A 1803-2024</t>
        </is>
      </c>
      <c r="B774" s="1" t="n">
        <v>45307</v>
      </c>
      <c r="C774" s="1" t="n">
        <v>45976</v>
      </c>
      <c r="D774" t="inlineStr">
        <is>
          <t>VÄRMLANDS LÄN</t>
        </is>
      </c>
      <c r="E774" t="inlineStr">
        <is>
          <t>TORSBY</t>
        </is>
      </c>
      <c r="G774" t="n">
        <v>12.9</v>
      </c>
      <c r="H774" t="n">
        <v>0</v>
      </c>
      <c r="I774" t="n">
        <v>0</v>
      </c>
      <c r="J774" t="n">
        <v>0</v>
      </c>
      <c r="K774" t="n">
        <v>0</v>
      </c>
      <c r="L774" t="n">
        <v>0</v>
      </c>
      <c r="M774" t="n">
        <v>0</v>
      </c>
      <c r="N774" t="n">
        <v>0</v>
      </c>
      <c r="O774" t="n">
        <v>0</v>
      </c>
      <c r="P774" t="n">
        <v>0</v>
      </c>
      <c r="Q774" t="n">
        <v>0</v>
      </c>
      <c r="R774" s="2" t="inlineStr"/>
    </row>
    <row r="775" ht="15" customHeight="1">
      <c r="A775" t="inlineStr">
        <is>
          <t>A 53945-2023</t>
        </is>
      </c>
      <c r="B775" s="1" t="n">
        <v>45231.6009837963</v>
      </c>
      <c r="C775" s="1" t="n">
        <v>45976</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48903-2024</t>
        </is>
      </c>
      <c r="B776" s="1" t="n">
        <v>45594</v>
      </c>
      <c r="C776" s="1" t="n">
        <v>45976</v>
      </c>
      <c r="D776" t="inlineStr">
        <is>
          <t>VÄRMLANDS LÄN</t>
        </is>
      </c>
      <c r="E776" t="inlineStr">
        <is>
          <t>TORSBY</t>
        </is>
      </c>
      <c r="G776" t="n">
        <v>0.4</v>
      </c>
      <c r="H776" t="n">
        <v>0</v>
      </c>
      <c r="I776" t="n">
        <v>0</v>
      </c>
      <c r="J776" t="n">
        <v>0</v>
      </c>
      <c r="K776" t="n">
        <v>0</v>
      </c>
      <c r="L776" t="n">
        <v>0</v>
      </c>
      <c r="M776" t="n">
        <v>0</v>
      </c>
      <c r="N776" t="n">
        <v>0</v>
      </c>
      <c r="O776" t="n">
        <v>0</v>
      </c>
      <c r="P776" t="n">
        <v>0</v>
      </c>
      <c r="Q776" t="n">
        <v>0</v>
      </c>
      <c r="R776" s="2" t="inlineStr"/>
    </row>
    <row r="777" ht="15" customHeight="1">
      <c r="A777" t="inlineStr">
        <is>
          <t>A 9793-2024</t>
        </is>
      </c>
      <c r="B777" s="1" t="n">
        <v>45362.71013888889</v>
      </c>
      <c r="C777" s="1" t="n">
        <v>45976</v>
      </c>
      <c r="D777" t="inlineStr">
        <is>
          <t>VÄRMLANDS LÄN</t>
        </is>
      </c>
      <c r="E777" t="inlineStr">
        <is>
          <t>TORSBY</t>
        </is>
      </c>
      <c r="G777" t="n">
        <v>6</v>
      </c>
      <c r="H777" t="n">
        <v>0</v>
      </c>
      <c r="I777" t="n">
        <v>0</v>
      </c>
      <c r="J777" t="n">
        <v>0</v>
      </c>
      <c r="K777" t="n">
        <v>0</v>
      </c>
      <c r="L777" t="n">
        <v>0</v>
      </c>
      <c r="M777" t="n">
        <v>0</v>
      </c>
      <c r="N777" t="n">
        <v>0</v>
      </c>
      <c r="O777" t="n">
        <v>0</v>
      </c>
      <c r="P777" t="n">
        <v>0</v>
      </c>
      <c r="Q777" t="n">
        <v>0</v>
      </c>
      <c r="R777" s="2" t="inlineStr"/>
    </row>
    <row r="778" ht="15" customHeight="1">
      <c r="A778" t="inlineStr">
        <is>
          <t>A 40036-2022</t>
        </is>
      </c>
      <c r="B778" s="1" t="n">
        <v>44820.43179398148</v>
      </c>
      <c r="C778" s="1" t="n">
        <v>45976</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38905-2025</t>
        </is>
      </c>
      <c r="B779" s="1" t="n">
        <v>45884</v>
      </c>
      <c r="C779" s="1" t="n">
        <v>45976</v>
      </c>
      <c r="D779" t="inlineStr">
        <is>
          <t>VÄRMLANDS LÄN</t>
        </is>
      </c>
      <c r="E779" t="inlineStr">
        <is>
          <t>TORSBY</t>
        </is>
      </c>
      <c r="G779" t="n">
        <v>5.4</v>
      </c>
      <c r="H779" t="n">
        <v>0</v>
      </c>
      <c r="I779" t="n">
        <v>0</v>
      </c>
      <c r="J779" t="n">
        <v>0</v>
      </c>
      <c r="K779" t="n">
        <v>0</v>
      </c>
      <c r="L779" t="n">
        <v>0</v>
      </c>
      <c r="M779" t="n">
        <v>0</v>
      </c>
      <c r="N779" t="n">
        <v>0</v>
      </c>
      <c r="O779" t="n">
        <v>0</v>
      </c>
      <c r="P779" t="n">
        <v>0</v>
      </c>
      <c r="Q779" t="n">
        <v>0</v>
      </c>
      <c r="R779" s="2" t="inlineStr"/>
    </row>
    <row r="780" ht="15" customHeight="1">
      <c r="A780" t="inlineStr">
        <is>
          <t>A 38257-2023</t>
        </is>
      </c>
      <c r="B780" s="1" t="n">
        <v>45161.58917824074</v>
      </c>
      <c r="C780" s="1" t="n">
        <v>45976</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43256-2024</t>
        </is>
      </c>
      <c r="B781" s="1" t="n">
        <v>45568</v>
      </c>
      <c r="C781" s="1" t="n">
        <v>45976</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53921-2023</t>
        </is>
      </c>
      <c r="B782" s="1" t="n">
        <v>45231</v>
      </c>
      <c r="C782" s="1" t="n">
        <v>45976</v>
      </c>
      <c r="D782" t="inlineStr">
        <is>
          <t>VÄRMLANDS LÄN</t>
        </is>
      </c>
      <c r="E782" t="inlineStr">
        <is>
          <t>TORSBY</t>
        </is>
      </c>
      <c r="G782" t="n">
        <v>4.8</v>
      </c>
      <c r="H782" t="n">
        <v>0</v>
      </c>
      <c r="I782" t="n">
        <v>0</v>
      </c>
      <c r="J782" t="n">
        <v>0</v>
      </c>
      <c r="K782" t="n">
        <v>0</v>
      </c>
      <c r="L782" t="n">
        <v>0</v>
      </c>
      <c r="M782" t="n">
        <v>0</v>
      </c>
      <c r="N782" t="n">
        <v>0</v>
      </c>
      <c r="O782" t="n">
        <v>0</v>
      </c>
      <c r="P782" t="n">
        <v>0</v>
      </c>
      <c r="Q782" t="n">
        <v>0</v>
      </c>
      <c r="R782" s="2" t="inlineStr"/>
    </row>
    <row r="783" ht="15" customHeight="1">
      <c r="A783" t="inlineStr">
        <is>
          <t>A 53368-2024</t>
        </is>
      </c>
      <c r="B783" s="1" t="n">
        <v>45614</v>
      </c>
      <c r="C783" s="1" t="n">
        <v>45976</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3667-2023</t>
        </is>
      </c>
      <c r="B784" s="1" t="n">
        <v>44950</v>
      </c>
      <c r="C784" s="1" t="n">
        <v>45976</v>
      </c>
      <c r="D784" t="inlineStr">
        <is>
          <t>VÄRMLANDS LÄN</t>
        </is>
      </c>
      <c r="E784" t="inlineStr">
        <is>
          <t>TORSBY</t>
        </is>
      </c>
      <c r="G784" t="n">
        <v>21.2</v>
      </c>
      <c r="H784" t="n">
        <v>0</v>
      </c>
      <c r="I784" t="n">
        <v>0</v>
      </c>
      <c r="J784" t="n">
        <v>0</v>
      </c>
      <c r="K784" t="n">
        <v>0</v>
      </c>
      <c r="L784" t="n">
        <v>0</v>
      </c>
      <c r="M784" t="n">
        <v>0</v>
      </c>
      <c r="N784" t="n">
        <v>0</v>
      </c>
      <c r="O784" t="n">
        <v>0</v>
      </c>
      <c r="P784" t="n">
        <v>0</v>
      </c>
      <c r="Q784" t="n">
        <v>0</v>
      </c>
      <c r="R784" s="2" t="inlineStr"/>
    </row>
    <row r="785" ht="15" customHeight="1">
      <c r="A785" t="inlineStr">
        <is>
          <t>A 39208-2025</t>
        </is>
      </c>
      <c r="B785" s="1" t="n">
        <v>45888</v>
      </c>
      <c r="C785" s="1" t="n">
        <v>45976</v>
      </c>
      <c r="D785" t="inlineStr">
        <is>
          <t>VÄRMLANDS LÄN</t>
        </is>
      </c>
      <c r="E785" t="inlineStr">
        <is>
          <t>TORSBY</t>
        </is>
      </c>
      <c r="F785" t="inlineStr">
        <is>
          <t>Bergvik skog väst AB</t>
        </is>
      </c>
      <c r="G785" t="n">
        <v>39.1</v>
      </c>
      <c r="H785" t="n">
        <v>0</v>
      </c>
      <c r="I785" t="n">
        <v>0</v>
      </c>
      <c r="J785" t="n">
        <v>0</v>
      </c>
      <c r="K785" t="n">
        <v>0</v>
      </c>
      <c r="L785" t="n">
        <v>0</v>
      </c>
      <c r="M785" t="n">
        <v>0</v>
      </c>
      <c r="N785" t="n">
        <v>0</v>
      </c>
      <c r="O785" t="n">
        <v>0</v>
      </c>
      <c r="P785" t="n">
        <v>0</v>
      </c>
      <c r="Q785" t="n">
        <v>0</v>
      </c>
      <c r="R785" s="2" t="inlineStr"/>
    </row>
    <row r="786" ht="15" customHeight="1">
      <c r="A786" t="inlineStr">
        <is>
          <t>A 39451-2025</t>
        </is>
      </c>
      <c r="B786" s="1" t="n">
        <v>45889.72677083333</v>
      </c>
      <c r="C786" s="1" t="n">
        <v>45976</v>
      </c>
      <c r="D786" t="inlineStr">
        <is>
          <t>VÄRMLANDS LÄN</t>
        </is>
      </c>
      <c r="E786" t="inlineStr">
        <is>
          <t>TORSBY</t>
        </is>
      </c>
      <c r="F786" t="inlineStr">
        <is>
          <t>Bergvik skog väst AB</t>
        </is>
      </c>
      <c r="G786" t="n">
        <v>7.5</v>
      </c>
      <c r="H786" t="n">
        <v>0</v>
      </c>
      <c r="I786" t="n">
        <v>0</v>
      </c>
      <c r="J786" t="n">
        <v>0</v>
      </c>
      <c r="K786" t="n">
        <v>0</v>
      </c>
      <c r="L786" t="n">
        <v>0</v>
      </c>
      <c r="M786" t="n">
        <v>0</v>
      </c>
      <c r="N786" t="n">
        <v>0</v>
      </c>
      <c r="O786" t="n">
        <v>0</v>
      </c>
      <c r="P786" t="n">
        <v>0</v>
      </c>
      <c r="Q786" t="n">
        <v>0</v>
      </c>
      <c r="R786" s="2" t="inlineStr"/>
    </row>
    <row r="787" ht="15" customHeight="1">
      <c r="A787" t="inlineStr">
        <is>
          <t>A 57809-2024</t>
        </is>
      </c>
      <c r="B787" s="1" t="n">
        <v>45631</v>
      </c>
      <c r="C787" s="1" t="n">
        <v>45976</v>
      </c>
      <c r="D787" t="inlineStr">
        <is>
          <t>VÄRMLANDS LÄN</t>
        </is>
      </c>
      <c r="E787" t="inlineStr">
        <is>
          <t>TORSBY</t>
        </is>
      </c>
      <c r="F787" t="inlineStr">
        <is>
          <t>Bergvik skog väst AB</t>
        </is>
      </c>
      <c r="G787" t="n">
        <v>10.9</v>
      </c>
      <c r="H787" t="n">
        <v>0</v>
      </c>
      <c r="I787" t="n">
        <v>0</v>
      </c>
      <c r="J787" t="n">
        <v>0</v>
      </c>
      <c r="K787" t="n">
        <v>0</v>
      </c>
      <c r="L787" t="n">
        <v>0</v>
      </c>
      <c r="M787" t="n">
        <v>0</v>
      </c>
      <c r="N787" t="n">
        <v>0</v>
      </c>
      <c r="O787" t="n">
        <v>0</v>
      </c>
      <c r="P787" t="n">
        <v>0</v>
      </c>
      <c r="Q787" t="n">
        <v>0</v>
      </c>
      <c r="R787" s="2" t="inlineStr"/>
    </row>
    <row r="788" ht="15" customHeight="1">
      <c r="A788" t="inlineStr">
        <is>
          <t>A 11143-2024</t>
        </is>
      </c>
      <c r="B788" s="1" t="n">
        <v>45371</v>
      </c>
      <c r="C788" s="1" t="n">
        <v>45976</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39258-2025</t>
        </is>
      </c>
      <c r="B789" s="1" t="n">
        <v>45889</v>
      </c>
      <c r="C789" s="1" t="n">
        <v>45976</v>
      </c>
      <c r="D789" t="inlineStr">
        <is>
          <t>VÄRMLANDS LÄN</t>
        </is>
      </c>
      <c r="E789" t="inlineStr">
        <is>
          <t>TORSBY</t>
        </is>
      </c>
      <c r="F789" t="inlineStr">
        <is>
          <t>Bergvik skog väst AB</t>
        </is>
      </c>
      <c r="G789" t="n">
        <v>12.1</v>
      </c>
      <c r="H789" t="n">
        <v>0</v>
      </c>
      <c r="I789" t="n">
        <v>0</v>
      </c>
      <c r="J789" t="n">
        <v>0</v>
      </c>
      <c r="K789" t="n">
        <v>0</v>
      </c>
      <c r="L789" t="n">
        <v>0</v>
      </c>
      <c r="M789" t="n">
        <v>0</v>
      </c>
      <c r="N789" t="n">
        <v>0</v>
      </c>
      <c r="O789" t="n">
        <v>0</v>
      </c>
      <c r="P789" t="n">
        <v>0</v>
      </c>
      <c r="Q789" t="n">
        <v>0</v>
      </c>
      <c r="R789" s="2" t="inlineStr"/>
    </row>
    <row r="790" ht="15" customHeight="1">
      <c r="A790" t="inlineStr">
        <is>
          <t>A 4342-2025</t>
        </is>
      </c>
      <c r="B790" s="1" t="n">
        <v>45685</v>
      </c>
      <c r="C790" s="1" t="n">
        <v>45976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45812-2024</t>
        </is>
      </c>
      <c r="B791" s="1" t="n">
        <v>45579</v>
      </c>
      <c r="C791" s="1" t="n">
        <v>45976</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32138-2024</t>
        </is>
      </c>
      <c r="B792" s="1" t="n">
        <v>45511</v>
      </c>
      <c r="C792" s="1" t="n">
        <v>45976</v>
      </c>
      <c r="D792" t="inlineStr">
        <is>
          <t>VÄRMLANDS LÄN</t>
        </is>
      </c>
      <c r="E792" t="inlineStr">
        <is>
          <t>TORSBY</t>
        </is>
      </c>
      <c r="F792" t="inlineStr">
        <is>
          <t>Bergvik skog väst AB</t>
        </is>
      </c>
      <c r="G792" t="n">
        <v>26.3</v>
      </c>
      <c r="H792" t="n">
        <v>0</v>
      </c>
      <c r="I792" t="n">
        <v>0</v>
      </c>
      <c r="J792" t="n">
        <v>0</v>
      </c>
      <c r="K792" t="n">
        <v>0</v>
      </c>
      <c r="L792" t="n">
        <v>0</v>
      </c>
      <c r="M792" t="n">
        <v>0</v>
      </c>
      <c r="N792" t="n">
        <v>0</v>
      </c>
      <c r="O792" t="n">
        <v>0</v>
      </c>
      <c r="P792" t="n">
        <v>0</v>
      </c>
      <c r="Q792" t="n">
        <v>0</v>
      </c>
      <c r="R792" s="2" t="inlineStr"/>
    </row>
    <row r="793" ht="15" customHeight="1">
      <c r="A793" t="inlineStr">
        <is>
          <t>A 41065-2022</t>
        </is>
      </c>
      <c r="B793" s="1" t="n">
        <v>44825.59258101852</v>
      </c>
      <c r="C793" s="1" t="n">
        <v>45976</v>
      </c>
      <c r="D793" t="inlineStr">
        <is>
          <t>VÄRMLANDS LÄN</t>
        </is>
      </c>
      <c r="E793" t="inlineStr">
        <is>
          <t>TORSBY</t>
        </is>
      </c>
      <c r="F793" t="inlineStr">
        <is>
          <t>Kommuner</t>
        </is>
      </c>
      <c r="G793" t="n">
        <v>1.8</v>
      </c>
      <c r="H793" t="n">
        <v>0</v>
      </c>
      <c r="I793" t="n">
        <v>0</v>
      </c>
      <c r="J793" t="n">
        <v>0</v>
      </c>
      <c r="K793" t="n">
        <v>0</v>
      </c>
      <c r="L793" t="n">
        <v>0</v>
      </c>
      <c r="M793" t="n">
        <v>0</v>
      </c>
      <c r="N793" t="n">
        <v>0</v>
      </c>
      <c r="O793" t="n">
        <v>0</v>
      </c>
      <c r="P793" t="n">
        <v>0</v>
      </c>
      <c r="Q793" t="n">
        <v>0</v>
      </c>
      <c r="R793" s="2" t="inlineStr"/>
    </row>
    <row r="794" ht="15" customHeight="1">
      <c r="A794" t="inlineStr">
        <is>
          <t>A 20130-2023</t>
        </is>
      </c>
      <c r="B794" s="1" t="n">
        <v>45055.38503472223</v>
      </c>
      <c r="C794" s="1" t="n">
        <v>45976</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36239-2023</t>
        </is>
      </c>
      <c r="B795" s="1" t="n">
        <v>45150</v>
      </c>
      <c r="C795" s="1" t="n">
        <v>45976</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49814-2022</t>
        </is>
      </c>
      <c r="B796" s="1" t="n">
        <v>44859</v>
      </c>
      <c r="C796" s="1" t="n">
        <v>45976</v>
      </c>
      <c r="D796" t="inlineStr">
        <is>
          <t>VÄRMLANDS LÄN</t>
        </is>
      </c>
      <c r="E796" t="inlineStr">
        <is>
          <t>TORSBY</t>
        </is>
      </c>
      <c r="F796" t="inlineStr">
        <is>
          <t>Kyrkan</t>
        </is>
      </c>
      <c r="G796" t="n">
        <v>2.4</v>
      </c>
      <c r="H796" t="n">
        <v>0</v>
      </c>
      <c r="I796" t="n">
        <v>0</v>
      </c>
      <c r="J796" t="n">
        <v>0</v>
      </c>
      <c r="K796" t="n">
        <v>0</v>
      </c>
      <c r="L796" t="n">
        <v>0</v>
      </c>
      <c r="M796" t="n">
        <v>0</v>
      </c>
      <c r="N796" t="n">
        <v>0</v>
      </c>
      <c r="O796" t="n">
        <v>0</v>
      </c>
      <c r="P796" t="n">
        <v>0</v>
      </c>
      <c r="Q796" t="n">
        <v>0</v>
      </c>
      <c r="R796" s="2" t="inlineStr"/>
    </row>
    <row r="797" ht="15" customHeight="1">
      <c r="A797" t="inlineStr">
        <is>
          <t>A 40541-2024</t>
        </is>
      </c>
      <c r="B797" s="1" t="n">
        <v>45555.62736111111</v>
      </c>
      <c r="C797" s="1" t="n">
        <v>45976</v>
      </c>
      <c r="D797" t="inlineStr">
        <is>
          <t>VÄRMLANDS LÄN</t>
        </is>
      </c>
      <c r="E797" t="inlineStr">
        <is>
          <t>TORSBY</t>
        </is>
      </c>
      <c r="F797" t="inlineStr">
        <is>
          <t>Bergvik skog väst AB</t>
        </is>
      </c>
      <c r="G797" t="n">
        <v>1.5</v>
      </c>
      <c r="H797" t="n">
        <v>0</v>
      </c>
      <c r="I797" t="n">
        <v>0</v>
      </c>
      <c r="J797" t="n">
        <v>0</v>
      </c>
      <c r="K797" t="n">
        <v>0</v>
      </c>
      <c r="L797" t="n">
        <v>0</v>
      </c>
      <c r="M797" t="n">
        <v>0</v>
      </c>
      <c r="N797" t="n">
        <v>0</v>
      </c>
      <c r="O797" t="n">
        <v>0</v>
      </c>
      <c r="P797" t="n">
        <v>0</v>
      </c>
      <c r="Q797" t="n">
        <v>0</v>
      </c>
      <c r="R797" s="2" t="inlineStr"/>
    </row>
    <row r="798" ht="15" customHeight="1">
      <c r="A798" t="inlineStr">
        <is>
          <t>A 14023-2025</t>
        </is>
      </c>
      <c r="B798" s="1" t="n">
        <v>45740</v>
      </c>
      <c r="C798" s="1" t="n">
        <v>45976</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39033-2025</t>
        </is>
      </c>
      <c r="B799" s="1" t="n">
        <v>45888</v>
      </c>
      <c r="C799" s="1" t="n">
        <v>45976</v>
      </c>
      <c r="D799" t="inlineStr">
        <is>
          <t>VÄRMLANDS LÄN</t>
        </is>
      </c>
      <c r="E799" t="inlineStr">
        <is>
          <t>TORSBY</t>
        </is>
      </c>
      <c r="G799" t="n">
        <v>6.4</v>
      </c>
      <c r="H799" t="n">
        <v>0</v>
      </c>
      <c r="I799" t="n">
        <v>0</v>
      </c>
      <c r="J799" t="n">
        <v>0</v>
      </c>
      <c r="K799" t="n">
        <v>0</v>
      </c>
      <c r="L799" t="n">
        <v>0</v>
      </c>
      <c r="M799" t="n">
        <v>0</v>
      </c>
      <c r="N799" t="n">
        <v>0</v>
      </c>
      <c r="O799" t="n">
        <v>0</v>
      </c>
      <c r="P799" t="n">
        <v>0</v>
      </c>
      <c r="Q799" t="n">
        <v>0</v>
      </c>
      <c r="R799" s="2" t="inlineStr"/>
    </row>
    <row r="800" ht="15" customHeight="1">
      <c r="A800" t="inlineStr">
        <is>
          <t>A 14292-2023</t>
        </is>
      </c>
      <c r="B800" s="1" t="n">
        <v>45011</v>
      </c>
      <c r="C800" s="1" t="n">
        <v>45976</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14293-2023</t>
        </is>
      </c>
      <c r="B801" s="1" t="n">
        <v>45011</v>
      </c>
      <c r="C801" s="1" t="n">
        <v>45976</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39039-2025</t>
        </is>
      </c>
      <c r="B802" s="1" t="n">
        <v>45888.42684027777</v>
      </c>
      <c r="C802" s="1" t="n">
        <v>45976</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234-2024</t>
        </is>
      </c>
      <c r="B803" s="1" t="n">
        <v>45294.8253587963</v>
      </c>
      <c r="C803" s="1" t="n">
        <v>45976</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236-2024</t>
        </is>
      </c>
      <c r="B804" s="1" t="n">
        <v>45294.85927083333</v>
      </c>
      <c r="C804" s="1" t="n">
        <v>45976</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39059-2025</t>
        </is>
      </c>
      <c r="B805" s="1" t="n">
        <v>45888</v>
      </c>
      <c r="C805" s="1" t="n">
        <v>45976</v>
      </c>
      <c r="D805" t="inlineStr">
        <is>
          <t>VÄRMLANDS LÄN</t>
        </is>
      </c>
      <c r="E805" t="inlineStr">
        <is>
          <t>TORSBY</t>
        </is>
      </c>
      <c r="G805" t="n">
        <v>8.6</v>
      </c>
      <c r="H805" t="n">
        <v>0</v>
      </c>
      <c r="I805" t="n">
        <v>0</v>
      </c>
      <c r="J805" t="n">
        <v>0</v>
      </c>
      <c r="K805" t="n">
        <v>0</v>
      </c>
      <c r="L805" t="n">
        <v>0</v>
      </c>
      <c r="M805" t="n">
        <v>0</v>
      </c>
      <c r="N805" t="n">
        <v>0</v>
      </c>
      <c r="O805" t="n">
        <v>0</v>
      </c>
      <c r="P805" t="n">
        <v>0</v>
      </c>
      <c r="Q805" t="n">
        <v>0</v>
      </c>
      <c r="R805" s="2" t="inlineStr"/>
    </row>
    <row r="806" ht="15" customHeight="1">
      <c r="A806" t="inlineStr">
        <is>
          <t>A 30104-2023</t>
        </is>
      </c>
      <c r="B806" s="1" t="n">
        <v>45110</v>
      </c>
      <c r="C806" s="1" t="n">
        <v>45976</v>
      </c>
      <c r="D806" t="inlineStr">
        <is>
          <t>VÄRMLANDS LÄN</t>
        </is>
      </c>
      <c r="E806" t="inlineStr">
        <is>
          <t>TORSBY</t>
        </is>
      </c>
      <c r="G806" t="n">
        <v>1.5</v>
      </c>
      <c r="H806" t="n">
        <v>0</v>
      </c>
      <c r="I806" t="n">
        <v>0</v>
      </c>
      <c r="J806" t="n">
        <v>0</v>
      </c>
      <c r="K806" t="n">
        <v>0</v>
      </c>
      <c r="L806" t="n">
        <v>0</v>
      </c>
      <c r="M806" t="n">
        <v>0</v>
      </c>
      <c r="N806" t="n">
        <v>0</v>
      </c>
      <c r="O806" t="n">
        <v>0</v>
      </c>
      <c r="P806" t="n">
        <v>0</v>
      </c>
      <c r="Q806" t="n">
        <v>0</v>
      </c>
      <c r="R806" s="2" t="inlineStr"/>
    </row>
    <row r="807" ht="15" customHeight="1">
      <c r="A807" t="inlineStr">
        <is>
          <t>A 39321-2025</t>
        </is>
      </c>
      <c r="B807" s="1" t="n">
        <v>45889</v>
      </c>
      <c r="C807" s="1" t="n">
        <v>45976</v>
      </c>
      <c r="D807" t="inlineStr">
        <is>
          <t>VÄRMLANDS LÄN</t>
        </is>
      </c>
      <c r="E807" t="inlineStr">
        <is>
          <t>TORSBY</t>
        </is>
      </c>
      <c r="F807" t="inlineStr">
        <is>
          <t>Bergvik skog väst AB</t>
        </is>
      </c>
      <c r="G807" t="n">
        <v>47.1</v>
      </c>
      <c r="H807" t="n">
        <v>0</v>
      </c>
      <c r="I807" t="n">
        <v>0</v>
      </c>
      <c r="J807" t="n">
        <v>0</v>
      </c>
      <c r="K807" t="n">
        <v>0</v>
      </c>
      <c r="L807" t="n">
        <v>0</v>
      </c>
      <c r="M807" t="n">
        <v>0</v>
      </c>
      <c r="N807" t="n">
        <v>0</v>
      </c>
      <c r="O807" t="n">
        <v>0</v>
      </c>
      <c r="P807" t="n">
        <v>0</v>
      </c>
      <c r="Q807" t="n">
        <v>0</v>
      </c>
      <c r="R807" s="2" t="inlineStr"/>
    </row>
    <row r="808" ht="15" customHeight="1">
      <c r="A808" t="inlineStr">
        <is>
          <t>A 1839-2022</t>
        </is>
      </c>
      <c r="B808" s="1" t="n">
        <v>44574</v>
      </c>
      <c r="C808" s="1" t="n">
        <v>45976</v>
      </c>
      <c r="D808" t="inlineStr">
        <is>
          <t>VÄRMLANDS LÄN</t>
        </is>
      </c>
      <c r="E808" t="inlineStr">
        <is>
          <t>TORSBY</t>
        </is>
      </c>
      <c r="G808" t="n">
        <v>5.3</v>
      </c>
      <c r="H808" t="n">
        <v>0</v>
      </c>
      <c r="I808" t="n">
        <v>0</v>
      </c>
      <c r="J808" t="n">
        <v>0</v>
      </c>
      <c r="K808" t="n">
        <v>0</v>
      </c>
      <c r="L808" t="n">
        <v>0</v>
      </c>
      <c r="M808" t="n">
        <v>0</v>
      </c>
      <c r="N808" t="n">
        <v>0</v>
      </c>
      <c r="O808" t="n">
        <v>0</v>
      </c>
      <c r="P808" t="n">
        <v>0</v>
      </c>
      <c r="Q808" t="n">
        <v>0</v>
      </c>
      <c r="R808" s="2" t="inlineStr"/>
    </row>
    <row r="809" ht="15" customHeight="1">
      <c r="A809" t="inlineStr">
        <is>
          <t>A 38979-2025</t>
        </is>
      </c>
      <c r="B809" s="1" t="n">
        <v>45887.99758101852</v>
      </c>
      <c r="C809" s="1" t="n">
        <v>45976</v>
      </c>
      <c r="D809" t="inlineStr">
        <is>
          <t>VÄRMLANDS LÄN</t>
        </is>
      </c>
      <c r="E809" t="inlineStr">
        <is>
          <t>TORSBY</t>
        </is>
      </c>
      <c r="G809" t="n">
        <v>5</v>
      </c>
      <c r="H809" t="n">
        <v>0</v>
      </c>
      <c r="I809" t="n">
        <v>0</v>
      </c>
      <c r="J809" t="n">
        <v>0</v>
      </c>
      <c r="K809" t="n">
        <v>0</v>
      </c>
      <c r="L809" t="n">
        <v>0</v>
      </c>
      <c r="M809" t="n">
        <v>0</v>
      </c>
      <c r="N809" t="n">
        <v>0</v>
      </c>
      <c r="O809" t="n">
        <v>0</v>
      </c>
      <c r="P809" t="n">
        <v>0</v>
      </c>
      <c r="Q809" t="n">
        <v>0</v>
      </c>
      <c r="R809" s="2" t="inlineStr"/>
    </row>
    <row r="810" ht="15" customHeight="1">
      <c r="A810" t="inlineStr">
        <is>
          <t>A 2195-2025</t>
        </is>
      </c>
      <c r="B810" s="1" t="n">
        <v>45673.38138888889</v>
      </c>
      <c r="C810" s="1" t="n">
        <v>45976</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51823-2024</t>
        </is>
      </c>
      <c r="B811" s="1" t="n">
        <v>45607</v>
      </c>
      <c r="C811" s="1" t="n">
        <v>45976</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39454-2025</t>
        </is>
      </c>
      <c r="B812" s="1" t="n">
        <v>45889.7462962963</v>
      </c>
      <c r="C812" s="1" t="n">
        <v>45976</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2699-2022</t>
        </is>
      </c>
      <c r="B813" s="1" t="n">
        <v>44580.62828703703</v>
      </c>
      <c r="C813" s="1" t="n">
        <v>45976</v>
      </c>
      <c r="D813" t="inlineStr">
        <is>
          <t>VÄRMLANDS LÄN</t>
        </is>
      </c>
      <c r="E813" t="inlineStr">
        <is>
          <t>TORSBY</t>
        </is>
      </c>
      <c r="G813" t="n">
        <v>0.4</v>
      </c>
      <c r="H813" t="n">
        <v>0</v>
      </c>
      <c r="I813" t="n">
        <v>0</v>
      </c>
      <c r="J813" t="n">
        <v>0</v>
      </c>
      <c r="K813" t="n">
        <v>0</v>
      </c>
      <c r="L813" t="n">
        <v>0</v>
      </c>
      <c r="M813" t="n">
        <v>0</v>
      </c>
      <c r="N813" t="n">
        <v>0</v>
      </c>
      <c r="O813" t="n">
        <v>0</v>
      </c>
      <c r="P813" t="n">
        <v>0</v>
      </c>
      <c r="Q813" t="n">
        <v>0</v>
      </c>
      <c r="R813" s="2" t="inlineStr"/>
    </row>
    <row r="814" ht="15" customHeight="1">
      <c r="A814" t="inlineStr">
        <is>
          <t>A 6532-2025</t>
        </is>
      </c>
      <c r="B814" s="1" t="n">
        <v>45699</v>
      </c>
      <c r="C814" s="1" t="n">
        <v>45976</v>
      </c>
      <c r="D814" t="inlineStr">
        <is>
          <t>VÄRMLANDS LÄN</t>
        </is>
      </c>
      <c r="E814" t="inlineStr">
        <is>
          <t>TORSBY</t>
        </is>
      </c>
      <c r="F814" t="inlineStr">
        <is>
          <t>Kommuner</t>
        </is>
      </c>
      <c r="G814" t="n">
        <v>0.3</v>
      </c>
      <c r="H814" t="n">
        <v>0</v>
      </c>
      <c r="I814" t="n">
        <v>0</v>
      </c>
      <c r="J814" t="n">
        <v>0</v>
      </c>
      <c r="K814" t="n">
        <v>0</v>
      </c>
      <c r="L814" t="n">
        <v>0</v>
      </c>
      <c r="M814" t="n">
        <v>0</v>
      </c>
      <c r="N814" t="n">
        <v>0</v>
      </c>
      <c r="O814" t="n">
        <v>0</v>
      </c>
      <c r="P814" t="n">
        <v>0</v>
      </c>
      <c r="Q814" t="n">
        <v>0</v>
      </c>
      <c r="R814" s="2" t="inlineStr"/>
    </row>
    <row r="815" ht="15" customHeight="1">
      <c r="A815" t="inlineStr">
        <is>
          <t>A 39815-2025</t>
        </is>
      </c>
      <c r="B815" s="1" t="n">
        <v>45891.52760416667</v>
      </c>
      <c r="C815" s="1" t="n">
        <v>45976</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39652-2025</t>
        </is>
      </c>
      <c r="B816" s="1" t="n">
        <v>45890.61689814815</v>
      </c>
      <c r="C816" s="1" t="n">
        <v>45976</v>
      </c>
      <c r="D816" t="inlineStr">
        <is>
          <t>VÄRMLANDS LÄN</t>
        </is>
      </c>
      <c r="E816" t="inlineStr">
        <is>
          <t>TORSBY</t>
        </is>
      </c>
      <c r="G816" t="n">
        <v>3.1</v>
      </c>
      <c r="H816" t="n">
        <v>0</v>
      </c>
      <c r="I816" t="n">
        <v>0</v>
      </c>
      <c r="J816" t="n">
        <v>0</v>
      </c>
      <c r="K816" t="n">
        <v>0</v>
      </c>
      <c r="L816" t="n">
        <v>0</v>
      </c>
      <c r="M816" t="n">
        <v>0</v>
      </c>
      <c r="N816" t="n">
        <v>0</v>
      </c>
      <c r="O816" t="n">
        <v>0</v>
      </c>
      <c r="P816" t="n">
        <v>0</v>
      </c>
      <c r="Q816" t="n">
        <v>0</v>
      </c>
      <c r="R816" s="2" t="inlineStr"/>
    </row>
    <row r="817" ht="15" customHeight="1">
      <c r="A817" t="inlineStr">
        <is>
          <t>A 21465-2022</t>
        </is>
      </c>
      <c r="B817" s="1" t="n">
        <v>44706.38893518518</v>
      </c>
      <c r="C817" s="1" t="n">
        <v>45976</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21078-2023</t>
        </is>
      </c>
      <c r="B818" s="1" t="n">
        <v>45061</v>
      </c>
      <c r="C818" s="1" t="n">
        <v>45976</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36718-2024</t>
        </is>
      </c>
      <c r="B819" s="1" t="n">
        <v>45537</v>
      </c>
      <c r="C819" s="1" t="n">
        <v>45976</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39743-2025</t>
        </is>
      </c>
      <c r="B820" s="1" t="n">
        <v>45891</v>
      </c>
      <c r="C820" s="1" t="n">
        <v>45976</v>
      </c>
      <c r="D820" t="inlineStr">
        <is>
          <t>VÄRMLANDS LÄN</t>
        </is>
      </c>
      <c r="E820" t="inlineStr">
        <is>
          <t>TORSBY</t>
        </is>
      </c>
      <c r="F820" t="inlineStr">
        <is>
          <t>Bergvik skog väst AB</t>
        </is>
      </c>
      <c r="G820" t="n">
        <v>2.5</v>
      </c>
      <c r="H820" t="n">
        <v>0</v>
      </c>
      <c r="I820" t="n">
        <v>0</v>
      </c>
      <c r="J820" t="n">
        <v>0</v>
      </c>
      <c r="K820" t="n">
        <v>0</v>
      </c>
      <c r="L820" t="n">
        <v>0</v>
      </c>
      <c r="M820" t="n">
        <v>0</v>
      </c>
      <c r="N820" t="n">
        <v>0</v>
      </c>
      <c r="O820" t="n">
        <v>0</v>
      </c>
      <c r="P820" t="n">
        <v>0</v>
      </c>
      <c r="Q820" t="n">
        <v>0</v>
      </c>
      <c r="R820" s="2" t="inlineStr"/>
    </row>
    <row r="821" ht="15" customHeight="1">
      <c r="A821" t="inlineStr">
        <is>
          <t>A 15019-2025</t>
        </is>
      </c>
      <c r="B821" s="1" t="n">
        <v>45743.63811342593</v>
      </c>
      <c r="C821" s="1" t="n">
        <v>45976</v>
      </c>
      <c r="D821" t="inlineStr">
        <is>
          <t>VÄRMLANDS LÄN</t>
        </is>
      </c>
      <c r="E821" t="inlineStr">
        <is>
          <t>TORSBY</t>
        </is>
      </c>
      <c r="F821" t="inlineStr">
        <is>
          <t>Övriga statliga verk och myndigheter</t>
        </is>
      </c>
      <c r="G821" t="n">
        <v>2.6</v>
      </c>
      <c r="H821" t="n">
        <v>0</v>
      </c>
      <c r="I821" t="n">
        <v>0</v>
      </c>
      <c r="J821" t="n">
        <v>0</v>
      </c>
      <c r="K821" t="n">
        <v>0</v>
      </c>
      <c r="L821" t="n">
        <v>0</v>
      </c>
      <c r="M821" t="n">
        <v>0</v>
      </c>
      <c r="N821" t="n">
        <v>0</v>
      </c>
      <c r="O821" t="n">
        <v>0</v>
      </c>
      <c r="P821" t="n">
        <v>0</v>
      </c>
      <c r="Q821" t="n">
        <v>0</v>
      </c>
      <c r="R821" s="2" t="inlineStr"/>
    </row>
    <row r="822" ht="15" customHeight="1">
      <c r="A822" t="inlineStr">
        <is>
          <t>A 39731-2025</t>
        </is>
      </c>
      <c r="B822" s="1" t="n">
        <v>45891</v>
      </c>
      <c r="C822" s="1" t="n">
        <v>45976</v>
      </c>
      <c r="D822" t="inlineStr">
        <is>
          <t>VÄRMLANDS LÄN</t>
        </is>
      </c>
      <c r="E822" t="inlineStr">
        <is>
          <t>TORSBY</t>
        </is>
      </c>
      <c r="F822" t="inlineStr">
        <is>
          <t>Bergvik skog väst AB</t>
        </is>
      </c>
      <c r="G822" t="n">
        <v>4.6</v>
      </c>
      <c r="H822" t="n">
        <v>0</v>
      </c>
      <c r="I822" t="n">
        <v>0</v>
      </c>
      <c r="J822" t="n">
        <v>0</v>
      </c>
      <c r="K822" t="n">
        <v>0</v>
      </c>
      <c r="L822" t="n">
        <v>0</v>
      </c>
      <c r="M822" t="n">
        <v>0</v>
      </c>
      <c r="N822" t="n">
        <v>0</v>
      </c>
      <c r="O822" t="n">
        <v>0</v>
      </c>
      <c r="P822" t="n">
        <v>0</v>
      </c>
      <c r="Q822" t="n">
        <v>0</v>
      </c>
      <c r="R822" s="2" t="inlineStr"/>
    </row>
    <row r="823" ht="15" customHeight="1">
      <c r="A823" t="inlineStr">
        <is>
          <t>A 39499-2025</t>
        </is>
      </c>
      <c r="B823" s="1" t="n">
        <v>45890</v>
      </c>
      <c r="C823" s="1" t="n">
        <v>45976</v>
      </c>
      <c r="D823" t="inlineStr">
        <is>
          <t>VÄRMLANDS LÄN</t>
        </is>
      </c>
      <c r="E823" t="inlineStr">
        <is>
          <t>TORSBY</t>
        </is>
      </c>
      <c r="F823" t="inlineStr">
        <is>
          <t>Kommuner</t>
        </is>
      </c>
      <c r="G823" t="n">
        <v>1.3</v>
      </c>
      <c r="H823" t="n">
        <v>0</v>
      </c>
      <c r="I823" t="n">
        <v>0</v>
      </c>
      <c r="J823" t="n">
        <v>0</v>
      </c>
      <c r="K823" t="n">
        <v>0</v>
      </c>
      <c r="L823" t="n">
        <v>0</v>
      </c>
      <c r="M823" t="n">
        <v>0</v>
      </c>
      <c r="N823" t="n">
        <v>0</v>
      </c>
      <c r="O823" t="n">
        <v>0</v>
      </c>
      <c r="P823" t="n">
        <v>0</v>
      </c>
      <c r="Q823" t="n">
        <v>0</v>
      </c>
      <c r="R823" s="2" t="inlineStr"/>
    </row>
    <row r="824" ht="15" customHeight="1">
      <c r="A824" t="inlineStr">
        <is>
          <t>A 39845-2025</t>
        </is>
      </c>
      <c r="B824" s="1" t="n">
        <v>45891</v>
      </c>
      <c r="C824" s="1" t="n">
        <v>45976</v>
      </c>
      <c r="D824" t="inlineStr">
        <is>
          <t>VÄRMLANDS LÄN</t>
        </is>
      </c>
      <c r="E824" t="inlineStr">
        <is>
          <t>TORSBY</t>
        </is>
      </c>
      <c r="F824" t="inlineStr">
        <is>
          <t>Bergvik skog väst AB</t>
        </is>
      </c>
      <c r="G824" t="n">
        <v>14.1</v>
      </c>
      <c r="H824" t="n">
        <v>0</v>
      </c>
      <c r="I824" t="n">
        <v>0</v>
      </c>
      <c r="J824" t="n">
        <v>0</v>
      </c>
      <c r="K824" t="n">
        <v>0</v>
      </c>
      <c r="L824" t="n">
        <v>0</v>
      </c>
      <c r="M824" t="n">
        <v>0</v>
      </c>
      <c r="N824" t="n">
        <v>0</v>
      </c>
      <c r="O824" t="n">
        <v>0</v>
      </c>
      <c r="P824" t="n">
        <v>0</v>
      </c>
      <c r="Q824" t="n">
        <v>0</v>
      </c>
      <c r="R824" s="2" t="inlineStr"/>
    </row>
    <row r="825" ht="15" customHeight="1">
      <c r="A825" t="inlineStr">
        <is>
          <t>A 53744-2024</t>
        </is>
      </c>
      <c r="B825" s="1" t="n">
        <v>45615</v>
      </c>
      <c r="C825" s="1" t="n">
        <v>45976</v>
      </c>
      <c r="D825" t="inlineStr">
        <is>
          <t>VÄRMLANDS LÄN</t>
        </is>
      </c>
      <c r="E825" t="inlineStr">
        <is>
          <t>TORSBY</t>
        </is>
      </c>
      <c r="G825" t="n">
        <v>16.9</v>
      </c>
      <c r="H825" t="n">
        <v>0</v>
      </c>
      <c r="I825" t="n">
        <v>0</v>
      </c>
      <c r="J825" t="n">
        <v>0</v>
      </c>
      <c r="K825" t="n">
        <v>0</v>
      </c>
      <c r="L825" t="n">
        <v>0</v>
      </c>
      <c r="M825" t="n">
        <v>0</v>
      </c>
      <c r="N825" t="n">
        <v>0</v>
      </c>
      <c r="O825" t="n">
        <v>0</v>
      </c>
      <c r="P825" t="n">
        <v>0</v>
      </c>
      <c r="Q825" t="n">
        <v>0</v>
      </c>
      <c r="R825" s="2" t="inlineStr"/>
    </row>
    <row r="826" ht="15" customHeight="1">
      <c r="A826" t="inlineStr">
        <is>
          <t>A 33848-2023</t>
        </is>
      </c>
      <c r="B826" s="1" t="n">
        <v>45133.68835648148</v>
      </c>
      <c r="C826" s="1" t="n">
        <v>45976</v>
      </c>
      <c r="D826" t="inlineStr">
        <is>
          <t>VÄRMLANDS LÄN</t>
        </is>
      </c>
      <c r="E826" t="inlineStr">
        <is>
          <t>TORSBY</t>
        </is>
      </c>
      <c r="F826" t="inlineStr">
        <is>
          <t>Bergvik skog väst AB</t>
        </is>
      </c>
      <c r="G826" t="n">
        <v>4.4</v>
      </c>
      <c r="H826" t="n">
        <v>0</v>
      </c>
      <c r="I826" t="n">
        <v>0</v>
      </c>
      <c r="J826" t="n">
        <v>0</v>
      </c>
      <c r="K826" t="n">
        <v>0</v>
      </c>
      <c r="L826" t="n">
        <v>0</v>
      </c>
      <c r="M826" t="n">
        <v>0</v>
      </c>
      <c r="N826" t="n">
        <v>0</v>
      </c>
      <c r="O826" t="n">
        <v>0</v>
      </c>
      <c r="P826" t="n">
        <v>0</v>
      </c>
      <c r="Q826" t="n">
        <v>0</v>
      </c>
      <c r="R826" s="2" t="inlineStr"/>
    </row>
    <row r="827" ht="15" customHeight="1">
      <c r="A827" t="inlineStr">
        <is>
          <t>A 39565-2025</t>
        </is>
      </c>
      <c r="B827" s="1" t="n">
        <v>45890</v>
      </c>
      <c r="C827" s="1" t="n">
        <v>45976</v>
      </c>
      <c r="D827" t="inlineStr">
        <is>
          <t>VÄRMLANDS LÄN</t>
        </is>
      </c>
      <c r="E827" t="inlineStr">
        <is>
          <t>TORSBY</t>
        </is>
      </c>
      <c r="G827" t="n">
        <v>1.2</v>
      </c>
      <c r="H827" t="n">
        <v>0</v>
      </c>
      <c r="I827" t="n">
        <v>0</v>
      </c>
      <c r="J827" t="n">
        <v>0</v>
      </c>
      <c r="K827" t="n">
        <v>0</v>
      </c>
      <c r="L827" t="n">
        <v>0</v>
      </c>
      <c r="M827" t="n">
        <v>0</v>
      </c>
      <c r="N827" t="n">
        <v>0</v>
      </c>
      <c r="O827" t="n">
        <v>0</v>
      </c>
      <c r="P827" t="n">
        <v>0</v>
      </c>
      <c r="Q827" t="n">
        <v>0</v>
      </c>
      <c r="R827" s="2" t="inlineStr"/>
    </row>
    <row r="828" ht="15" customHeight="1">
      <c r="A828" t="inlineStr">
        <is>
          <t>A 45328-2022</t>
        </is>
      </c>
      <c r="B828" s="1" t="n">
        <v>44844</v>
      </c>
      <c r="C828" s="1" t="n">
        <v>45976</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66978-2021</t>
        </is>
      </c>
      <c r="B829" s="1" t="n">
        <v>44522</v>
      </c>
      <c r="C829" s="1" t="n">
        <v>45976</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10608-2022</t>
        </is>
      </c>
      <c r="B830" s="1" t="n">
        <v>44624</v>
      </c>
      <c r="C830" s="1" t="n">
        <v>45976</v>
      </c>
      <c r="D830" t="inlineStr">
        <is>
          <t>VÄRMLANDS LÄN</t>
        </is>
      </c>
      <c r="E830" t="inlineStr">
        <is>
          <t>TORSBY</t>
        </is>
      </c>
      <c r="G830" t="n">
        <v>0.8</v>
      </c>
      <c r="H830" t="n">
        <v>0</v>
      </c>
      <c r="I830" t="n">
        <v>0</v>
      </c>
      <c r="J830" t="n">
        <v>0</v>
      </c>
      <c r="K830" t="n">
        <v>0</v>
      </c>
      <c r="L830" t="n">
        <v>0</v>
      </c>
      <c r="M830" t="n">
        <v>0</v>
      </c>
      <c r="N830" t="n">
        <v>0</v>
      </c>
      <c r="O830" t="n">
        <v>0</v>
      </c>
      <c r="P830" t="n">
        <v>0</v>
      </c>
      <c r="Q830" t="n">
        <v>0</v>
      </c>
      <c r="R830" s="2" t="inlineStr"/>
    </row>
    <row r="831" ht="15" customHeight="1">
      <c r="A831" t="inlineStr">
        <is>
          <t>A 19662-2025</t>
        </is>
      </c>
      <c r="B831" s="1" t="n">
        <v>45770</v>
      </c>
      <c r="C831" s="1" t="n">
        <v>45976</v>
      </c>
      <c r="D831" t="inlineStr">
        <is>
          <t>VÄRMLANDS LÄN</t>
        </is>
      </c>
      <c r="E831" t="inlineStr">
        <is>
          <t>TORSBY</t>
        </is>
      </c>
      <c r="F831" t="inlineStr">
        <is>
          <t>Bergvik skog väst AB</t>
        </is>
      </c>
      <c r="G831" t="n">
        <v>11.6</v>
      </c>
      <c r="H831" t="n">
        <v>0</v>
      </c>
      <c r="I831" t="n">
        <v>0</v>
      </c>
      <c r="J831" t="n">
        <v>0</v>
      </c>
      <c r="K831" t="n">
        <v>0</v>
      </c>
      <c r="L831" t="n">
        <v>0</v>
      </c>
      <c r="M831" t="n">
        <v>0</v>
      </c>
      <c r="N831" t="n">
        <v>0</v>
      </c>
      <c r="O831" t="n">
        <v>0</v>
      </c>
      <c r="P831" t="n">
        <v>0</v>
      </c>
      <c r="Q831" t="n">
        <v>0</v>
      </c>
      <c r="R831" s="2" t="inlineStr"/>
    </row>
    <row r="832" ht="15" customHeight="1">
      <c r="A832" t="inlineStr">
        <is>
          <t>A 23843-2024</t>
        </is>
      </c>
      <c r="B832" s="1" t="n">
        <v>45455</v>
      </c>
      <c r="C832" s="1" t="n">
        <v>45976</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39473-2025</t>
        </is>
      </c>
      <c r="B833" s="1" t="n">
        <v>45890</v>
      </c>
      <c r="C833" s="1" t="n">
        <v>45976</v>
      </c>
      <c r="D833" t="inlineStr">
        <is>
          <t>VÄRMLANDS LÄN</t>
        </is>
      </c>
      <c r="E833" t="inlineStr">
        <is>
          <t>TORSBY</t>
        </is>
      </c>
      <c r="G833" t="n">
        <v>2.5</v>
      </c>
      <c r="H833" t="n">
        <v>0</v>
      </c>
      <c r="I833" t="n">
        <v>0</v>
      </c>
      <c r="J833" t="n">
        <v>0</v>
      </c>
      <c r="K833" t="n">
        <v>0</v>
      </c>
      <c r="L833" t="n">
        <v>0</v>
      </c>
      <c r="M833" t="n">
        <v>0</v>
      </c>
      <c r="N833" t="n">
        <v>0</v>
      </c>
      <c r="O833" t="n">
        <v>0</v>
      </c>
      <c r="P833" t="n">
        <v>0</v>
      </c>
      <c r="Q833" t="n">
        <v>0</v>
      </c>
      <c r="R833" s="2" t="inlineStr"/>
    </row>
    <row r="834" ht="15" customHeight="1">
      <c r="A834" t="inlineStr">
        <is>
          <t>A 19763-2025</t>
        </is>
      </c>
      <c r="B834" s="1" t="n">
        <v>45771.40707175926</v>
      </c>
      <c r="C834" s="1" t="n">
        <v>45976</v>
      </c>
      <c r="D834" t="inlineStr">
        <is>
          <t>VÄRMLANDS LÄN</t>
        </is>
      </c>
      <c r="E834" t="inlineStr">
        <is>
          <t>TORSBY</t>
        </is>
      </c>
      <c r="F834" t="inlineStr">
        <is>
          <t>Bergvik skog väst AB</t>
        </is>
      </c>
      <c r="G834" t="n">
        <v>1.9</v>
      </c>
      <c r="H834" t="n">
        <v>0</v>
      </c>
      <c r="I834" t="n">
        <v>0</v>
      </c>
      <c r="J834" t="n">
        <v>0</v>
      </c>
      <c r="K834" t="n">
        <v>0</v>
      </c>
      <c r="L834" t="n">
        <v>0</v>
      </c>
      <c r="M834" t="n">
        <v>0</v>
      </c>
      <c r="N834" t="n">
        <v>0</v>
      </c>
      <c r="O834" t="n">
        <v>0</v>
      </c>
      <c r="P834" t="n">
        <v>0</v>
      </c>
      <c r="Q834" t="n">
        <v>0</v>
      </c>
      <c r="R834" s="2" t="inlineStr"/>
    </row>
    <row r="835" ht="15" customHeight="1">
      <c r="A835" t="inlineStr">
        <is>
          <t>A 9226-2025</t>
        </is>
      </c>
      <c r="B835" s="1" t="n">
        <v>45714</v>
      </c>
      <c r="C835" s="1" t="n">
        <v>45976</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39919-2025</t>
        </is>
      </c>
      <c r="B836" s="1" t="n">
        <v>45891.66664351852</v>
      </c>
      <c r="C836" s="1" t="n">
        <v>45976</v>
      </c>
      <c r="D836" t="inlineStr">
        <is>
          <t>VÄRMLANDS LÄN</t>
        </is>
      </c>
      <c r="E836" t="inlineStr">
        <is>
          <t>TORSBY</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18480-2025</t>
        </is>
      </c>
      <c r="B837" s="1" t="n">
        <v>45762.9171412037</v>
      </c>
      <c r="C837" s="1" t="n">
        <v>45976</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15488-2023</t>
        </is>
      </c>
      <c r="B838" s="1" t="n">
        <v>45020</v>
      </c>
      <c r="C838" s="1" t="n">
        <v>45976</v>
      </c>
      <c r="D838" t="inlineStr">
        <is>
          <t>VÄRMLANDS LÄN</t>
        </is>
      </c>
      <c r="E838" t="inlineStr">
        <is>
          <t>TORSBY</t>
        </is>
      </c>
      <c r="G838" t="n">
        <v>3.4</v>
      </c>
      <c r="H838" t="n">
        <v>0</v>
      </c>
      <c r="I838" t="n">
        <v>0</v>
      </c>
      <c r="J838" t="n">
        <v>0</v>
      </c>
      <c r="K838" t="n">
        <v>0</v>
      </c>
      <c r="L838" t="n">
        <v>0</v>
      </c>
      <c r="M838" t="n">
        <v>0</v>
      </c>
      <c r="N838" t="n">
        <v>0</v>
      </c>
      <c r="O838" t="n">
        <v>0</v>
      </c>
      <c r="P838" t="n">
        <v>0</v>
      </c>
      <c r="Q838" t="n">
        <v>0</v>
      </c>
      <c r="R838" s="2" t="inlineStr"/>
    </row>
    <row r="839" ht="15" customHeight="1">
      <c r="A839" t="inlineStr">
        <is>
          <t>A 56473-2022</t>
        </is>
      </c>
      <c r="B839" s="1" t="n">
        <v>44893</v>
      </c>
      <c r="C839" s="1" t="n">
        <v>45976</v>
      </c>
      <c r="D839" t="inlineStr">
        <is>
          <t>VÄRMLANDS LÄN</t>
        </is>
      </c>
      <c r="E839" t="inlineStr">
        <is>
          <t>TORSBY</t>
        </is>
      </c>
      <c r="G839" t="n">
        <v>5.4</v>
      </c>
      <c r="H839" t="n">
        <v>0</v>
      </c>
      <c r="I839" t="n">
        <v>0</v>
      </c>
      <c r="J839" t="n">
        <v>0</v>
      </c>
      <c r="K839" t="n">
        <v>0</v>
      </c>
      <c r="L839" t="n">
        <v>0</v>
      </c>
      <c r="M839" t="n">
        <v>0</v>
      </c>
      <c r="N839" t="n">
        <v>0</v>
      </c>
      <c r="O839" t="n">
        <v>0</v>
      </c>
      <c r="P839" t="n">
        <v>0</v>
      </c>
      <c r="Q839" t="n">
        <v>0</v>
      </c>
      <c r="R839" s="2" t="inlineStr"/>
    </row>
    <row r="840" ht="15" customHeight="1">
      <c r="A840" t="inlineStr">
        <is>
          <t>A 33429-2024</t>
        </is>
      </c>
      <c r="B840" s="1" t="n">
        <v>45519.52792824074</v>
      </c>
      <c r="C840" s="1" t="n">
        <v>45976</v>
      </c>
      <c r="D840" t="inlineStr">
        <is>
          <t>VÄRMLANDS LÄN</t>
        </is>
      </c>
      <c r="E840" t="inlineStr">
        <is>
          <t>TORSBY</t>
        </is>
      </c>
      <c r="F840" t="inlineStr">
        <is>
          <t>Bergvik skog väst AB</t>
        </is>
      </c>
      <c r="G840" t="n">
        <v>7.9</v>
      </c>
      <c r="H840" t="n">
        <v>0</v>
      </c>
      <c r="I840" t="n">
        <v>0</v>
      </c>
      <c r="J840" t="n">
        <v>0</v>
      </c>
      <c r="K840" t="n">
        <v>0</v>
      </c>
      <c r="L840" t="n">
        <v>0</v>
      </c>
      <c r="M840" t="n">
        <v>0</v>
      </c>
      <c r="N840" t="n">
        <v>0</v>
      </c>
      <c r="O840" t="n">
        <v>0</v>
      </c>
      <c r="P840" t="n">
        <v>0</v>
      </c>
      <c r="Q840" t="n">
        <v>0</v>
      </c>
      <c r="R840" s="2" t="inlineStr"/>
    </row>
    <row r="841" ht="15" customHeight="1">
      <c r="A841" t="inlineStr">
        <is>
          <t>A 61073-2024</t>
        </is>
      </c>
      <c r="B841" s="1" t="n">
        <v>45645.50665509259</v>
      </c>
      <c r="C841" s="1" t="n">
        <v>45976</v>
      </c>
      <c r="D841" t="inlineStr">
        <is>
          <t>VÄRMLANDS LÄN</t>
        </is>
      </c>
      <c r="E841" t="inlineStr">
        <is>
          <t>TORSBY</t>
        </is>
      </c>
      <c r="G841" t="n">
        <v>3.4</v>
      </c>
      <c r="H841" t="n">
        <v>0</v>
      </c>
      <c r="I841" t="n">
        <v>0</v>
      </c>
      <c r="J841" t="n">
        <v>0</v>
      </c>
      <c r="K841" t="n">
        <v>0</v>
      </c>
      <c r="L841" t="n">
        <v>0</v>
      </c>
      <c r="M841" t="n">
        <v>0</v>
      </c>
      <c r="N841" t="n">
        <v>0</v>
      </c>
      <c r="O841" t="n">
        <v>0</v>
      </c>
      <c r="P841" t="n">
        <v>0</v>
      </c>
      <c r="Q841" t="n">
        <v>0</v>
      </c>
      <c r="R841" s="2" t="inlineStr"/>
    </row>
    <row r="842" ht="15" customHeight="1">
      <c r="A842" t="inlineStr">
        <is>
          <t>A 47602-2021</t>
        </is>
      </c>
      <c r="B842" s="1" t="n">
        <v>44448</v>
      </c>
      <c r="C842" s="1" t="n">
        <v>45976</v>
      </c>
      <c r="D842" t="inlineStr">
        <is>
          <t>VÄRMLANDS LÄN</t>
        </is>
      </c>
      <c r="E842" t="inlineStr">
        <is>
          <t>TORSBY</t>
        </is>
      </c>
      <c r="G842" t="n">
        <v>1.2</v>
      </c>
      <c r="H842" t="n">
        <v>0</v>
      </c>
      <c r="I842" t="n">
        <v>0</v>
      </c>
      <c r="J842" t="n">
        <v>0</v>
      </c>
      <c r="K842" t="n">
        <v>0</v>
      </c>
      <c r="L842" t="n">
        <v>0</v>
      </c>
      <c r="M842" t="n">
        <v>0</v>
      </c>
      <c r="N842" t="n">
        <v>0</v>
      </c>
      <c r="O842" t="n">
        <v>0</v>
      </c>
      <c r="P842" t="n">
        <v>0</v>
      </c>
      <c r="Q842" t="n">
        <v>0</v>
      </c>
      <c r="R842" s="2" t="inlineStr"/>
    </row>
    <row r="843" ht="15" customHeight="1">
      <c r="A843" t="inlineStr">
        <is>
          <t>A 1997-2025</t>
        </is>
      </c>
      <c r="B843" s="1" t="n">
        <v>45672.44431712963</v>
      </c>
      <c r="C843" s="1" t="n">
        <v>45976</v>
      </c>
      <c r="D843" t="inlineStr">
        <is>
          <t>VÄRMLANDS LÄN</t>
        </is>
      </c>
      <c r="E843" t="inlineStr">
        <is>
          <t>TORSBY</t>
        </is>
      </c>
      <c r="G843" t="n">
        <v>20.1</v>
      </c>
      <c r="H843" t="n">
        <v>0</v>
      </c>
      <c r="I843" t="n">
        <v>0</v>
      </c>
      <c r="J843" t="n">
        <v>0</v>
      </c>
      <c r="K843" t="n">
        <v>0</v>
      </c>
      <c r="L843" t="n">
        <v>0</v>
      </c>
      <c r="M843" t="n">
        <v>0</v>
      </c>
      <c r="N843" t="n">
        <v>0</v>
      </c>
      <c r="O843" t="n">
        <v>0</v>
      </c>
      <c r="P843" t="n">
        <v>0</v>
      </c>
      <c r="Q843" t="n">
        <v>0</v>
      </c>
      <c r="R843" s="2" t="inlineStr"/>
    </row>
    <row r="844" ht="15" customHeight="1">
      <c r="A844" t="inlineStr">
        <is>
          <t>A 25932-2024</t>
        </is>
      </c>
      <c r="B844" s="1" t="n">
        <v>45467.62097222222</v>
      </c>
      <c r="C844" s="1" t="n">
        <v>45976</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48185-2024</t>
        </is>
      </c>
      <c r="B845" s="1" t="n">
        <v>45589.90284722222</v>
      </c>
      <c r="C845" s="1" t="n">
        <v>45976</v>
      </c>
      <c r="D845" t="inlineStr">
        <is>
          <t>VÄRMLANDS LÄN</t>
        </is>
      </c>
      <c r="E845" t="inlineStr">
        <is>
          <t>TORSBY</t>
        </is>
      </c>
      <c r="G845" t="n">
        <v>4.8</v>
      </c>
      <c r="H845" t="n">
        <v>0</v>
      </c>
      <c r="I845" t="n">
        <v>0</v>
      </c>
      <c r="J845" t="n">
        <v>0</v>
      </c>
      <c r="K845" t="n">
        <v>0</v>
      </c>
      <c r="L845" t="n">
        <v>0</v>
      </c>
      <c r="M845" t="n">
        <v>0</v>
      </c>
      <c r="N845" t="n">
        <v>0</v>
      </c>
      <c r="O845" t="n">
        <v>0</v>
      </c>
      <c r="P845" t="n">
        <v>0</v>
      </c>
      <c r="Q845" t="n">
        <v>0</v>
      </c>
      <c r="R845" s="2" t="inlineStr"/>
    </row>
    <row r="846" ht="15" customHeight="1">
      <c r="A846" t="inlineStr">
        <is>
          <t>A 44838-2024</t>
        </is>
      </c>
      <c r="B846" s="1" t="n">
        <v>45574.7069675926</v>
      </c>
      <c r="C846" s="1" t="n">
        <v>45976</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15768-2025</t>
        </is>
      </c>
      <c r="B847" s="1" t="n">
        <v>45748.58782407407</v>
      </c>
      <c r="C847" s="1" t="n">
        <v>45976</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7221-2024</t>
        </is>
      </c>
      <c r="B848" s="1" t="n">
        <v>45344.63927083334</v>
      </c>
      <c r="C848" s="1" t="n">
        <v>45976</v>
      </c>
      <c r="D848" t="inlineStr">
        <is>
          <t>VÄRMLANDS LÄN</t>
        </is>
      </c>
      <c r="E848" t="inlineStr">
        <is>
          <t>TORSBY</t>
        </is>
      </c>
      <c r="G848" t="n">
        <v>8.1</v>
      </c>
      <c r="H848" t="n">
        <v>0</v>
      </c>
      <c r="I848" t="n">
        <v>0</v>
      </c>
      <c r="J848" t="n">
        <v>0</v>
      </c>
      <c r="K848" t="n">
        <v>0</v>
      </c>
      <c r="L848" t="n">
        <v>0</v>
      </c>
      <c r="M848" t="n">
        <v>0</v>
      </c>
      <c r="N848" t="n">
        <v>0</v>
      </c>
      <c r="O848" t="n">
        <v>0</v>
      </c>
      <c r="P848" t="n">
        <v>0</v>
      </c>
      <c r="Q848" t="n">
        <v>0</v>
      </c>
      <c r="R848" s="2" t="inlineStr"/>
    </row>
    <row r="849" ht="15" customHeight="1">
      <c r="A849" t="inlineStr">
        <is>
          <t>A 32319-2024</t>
        </is>
      </c>
      <c r="B849" s="1" t="n">
        <v>45512.4621875</v>
      </c>
      <c r="C849" s="1" t="n">
        <v>45976</v>
      </c>
      <c r="D849" t="inlineStr">
        <is>
          <t>VÄRMLANDS LÄN</t>
        </is>
      </c>
      <c r="E849" t="inlineStr">
        <is>
          <t>TORSBY</t>
        </is>
      </c>
      <c r="G849" t="n">
        <v>2.6</v>
      </c>
      <c r="H849" t="n">
        <v>0</v>
      </c>
      <c r="I849" t="n">
        <v>0</v>
      </c>
      <c r="J849" t="n">
        <v>0</v>
      </c>
      <c r="K849" t="n">
        <v>0</v>
      </c>
      <c r="L849" t="n">
        <v>0</v>
      </c>
      <c r="M849" t="n">
        <v>0</v>
      </c>
      <c r="N849" t="n">
        <v>0</v>
      </c>
      <c r="O849" t="n">
        <v>0</v>
      </c>
      <c r="P849" t="n">
        <v>0</v>
      </c>
      <c r="Q849" t="n">
        <v>0</v>
      </c>
      <c r="R849" s="2" t="inlineStr"/>
    </row>
    <row r="850" ht="15" customHeight="1">
      <c r="A850" t="inlineStr">
        <is>
          <t>A 16362-2025</t>
        </is>
      </c>
      <c r="B850" s="1" t="n">
        <v>45751</v>
      </c>
      <c r="C850" s="1" t="n">
        <v>45976</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52314-2024</t>
        </is>
      </c>
      <c r="B851" s="1" t="n">
        <v>45608.87075231481</v>
      </c>
      <c r="C851" s="1" t="n">
        <v>45976</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39767-2024</t>
        </is>
      </c>
      <c r="B852" s="1" t="n">
        <v>45552</v>
      </c>
      <c r="C852" s="1" t="n">
        <v>45976</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39772-2024</t>
        </is>
      </c>
      <c r="B853" s="1" t="n">
        <v>45552</v>
      </c>
      <c r="C853" s="1" t="n">
        <v>45976</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32588-2024</t>
        </is>
      </c>
      <c r="B854" s="1" t="n">
        <v>45513.59612268519</v>
      </c>
      <c r="C854" s="1" t="n">
        <v>45976</v>
      </c>
      <c r="D854" t="inlineStr">
        <is>
          <t>VÄRMLANDS LÄN</t>
        </is>
      </c>
      <c r="E854" t="inlineStr">
        <is>
          <t>TORSBY</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33227-2024</t>
        </is>
      </c>
      <c r="B855" s="1" t="n">
        <v>45518.5708912037</v>
      </c>
      <c r="C855" s="1" t="n">
        <v>45976</v>
      </c>
      <c r="D855" t="inlineStr">
        <is>
          <t>VÄRMLANDS LÄN</t>
        </is>
      </c>
      <c r="E855" t="inlineStr">
        <is>
          <t>TORSBY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38541-2023</t>
        </is>
      </c>
      <c r="B856" s="1" t="n">
        <v>45162</v>
      </c>
      <c r="C856" s="1" t="n">
        <v>45976</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24580-2025</t>
        </is>
      </c>
      <c r="B857" s="1" t="n">
        <v>45798</v>
      </c>
      <c r="C857" s="1" t="n">
        <v>45976</v>
      </c>
      <c r="D857" t="inlineStr">
        <is>
          <t>VÄRMLANDS LÄN</t>
        </is>
      </c>
      <c r="E857" t="inlineStr">
        <is>
          <t>TORSBY</t>
        </is>
      </c>
      <c r="G857" t="n">
        <v>12.2</v>
      </c>
      <c r="H857" t="n">
        <v>0</v>
      </c>
      <c r="I857" t="n">
        <v>0</v>
      </c>
      <c r="J857" t="n">
        <v>0</v>
      </c>
      <c r="K857" t="n">
        <v>0</v>
      </c>
      <c r="L857" t="n">
        <v>0</v>
      </c>
      <c r="M857" t="n">
        <v>0</v>
      </c>
      <c r="N857" t="n">
        <v>0</v>
      </c>
      <c r="O857" t="n">
        <v>0</v>
      </c>
      <c r="P857" t="n">
        <v>0</v>
      </c>
      <c r="Q857" t="n">
        <v>0</v>
      </c>
      <c r="R857" s="2" t="inlineStr"/>
    </row>
    <row r="858" ht="15" customHeight="1">
      <c r="A858" t="inlineStr">
        <is>
          <t>A 20321-2023</t>
        </is>
      </c>
      <c r="B858" s="1" t="n">
        <v>45056.45232638889</v>
      </c>
      <c r="C858" s="1" t="n">
        <v>45976</v>
      </c>
      <c r="D858" t="inlineStr">
        <is>
          <t>VÄRMLANDS LÄN</t>
        </is>
      </c>
      <c r="E858" t="inlineStr">
        <is>
          <t>TORSBY</t>
        </is>
      </c>
      <c r="F858" t="inlineStr">
        <is>
          <t>Kyrkan</t>
        </is>
      </c>
      <c r="G858" t="n">
        <v>2.3</v>
      </c>
      <c r="H858" t="n">
        <v>0</v>
      </c>
      <c r="I858" t="n">
        <v>0</v>
      </c>
      <c r="J858" t="n">
        <v>0</v>
      </c>
      <c r="K858" t="n">
        <v>0</v>
      </c>
      <c r="L858" t="n">
        <v>0</v>
      </c>
      <c r="M858" t="n">
        <v>0</v>
      </c>
      <c r="N858" t="n">
        <v>0</v>
      </c>
      <c r="O858" t="n">
        <v>0</v>
      </c>
      <c r="P858" t="n">
        <v>0</v>
      </c>
      <c r="Q858" t="n">
        <v>0</v>
      </c>
      <c r="R858" s="2" t="inlineStr"/>
    </row>
    <row r="859" ht="15" customHeight="1">
      <c r="A859" t="inlineStr">
        <is>
          <t>A 48499-2025</t>
        </is>
      </c>
      <c r="B859" s="1" t="n">
        <v>45936.37533564815</v>
      </c>
      <c r="C859" s="1" t="n">
        <v>45976</v>
      </c>
      <c r="D859" t="inlineStr">
        <is>
          <t>VÄRMLANDS LÄN</t>
        </is>
      </c>
      <c r="E859" t="inlineStr">
        <is>
          <t>TORSBY</t>
        </is>
      </c>
      <c r="F859" t="inlineStr">
        <is>
          <t>Bergvik skog väst AB</t>
        </is>
      </c>
      <c r="G859" t="n">
        <v>2.4</v>
      </c>
      <c r="H859" t="n">
        <v>0</v>
      </c>
      <c r="I859" t="n">
        <v>0</v>
      </c>
      <c r="J859" t="n">
        <v>0</v>
      </c>
      <c r="K859" t="n">
        <v>0</v>
      </c>
      <c r="L859" t="n">
        <v>0</v>
      </c>
      <c r="M859" t="n">
        <v>0</v>
      </c>
      <c r="N859" t="n">
        <v>0</v>
      </c>
      <c r="O859" t="n">
        <v>0</v>
      </c>
      <c r="P859" t="n">
        <v>0</v>
      </c>
      <c r="Q859" t="n">
        <v>0</v>
      </c>
      <c r="R859" s="2" t="inlineStr"/>
    </row>
    <row r="860" ht="15" customHeight="1">
      <c r="A860" t="inlineStr">
        <is>
          <t>A 57785-2024</t>
        </is>
      </c>
      <c r="B860" s="1" t="n">
        <v>45631</v>
      </c>
      <c r="C860" s="1" t="n">
        <v>45976</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54162-2023</t>
        </is>
      </c>
      <c r="B861" s="1" t="n">
        <v>45232.47539351852</v>
      </c>
      <c r="C861" s="1" t="n">
        <v>45976</v>
      </c>
      <c r="D861" t="inlineStr">
        <is>
          <t>VÄRMLANDS LÄN</t>
        </is>
      </c>
      <c r="E861" t="inlineStr">
        <is>
          <t>TORSBY</t>
        </is>
      </c>
      <c r="F861" t="inlineStr">
        <is>
          <t>Bergvik skog väst AB</t>
        </is>
      </c>
      <c r="G861" t="n">
        <v>8.4</v>
      </c>
      <c r="H861" t="n">
        <v>0</v>
      </c>
      <c r="I861" t="n">
        <v>0</v>
      </c>
      <c r="J861" t="n">
        <v>0</v>
      </c>
      <c r="K861" t="n">
        <v>0</v>
      </c>
      <c r="L861" t="n">
        <v>0</v>
      </c>
      <c r="M861" t="n">
        <v>0</v>
      </c>
      <c r="N861" t="n">
        <v>0</v>
      </c>
      <c r="O861" t="n">
        <v>0</v>
      </c>
      <c r="P861" t="n">
        <v>0</v>
      </c>
      <c r="Q861" t="n">
        <v>0</v>
      </c>
      <c r="R861" s="2" t="inlineStr"/>
    </row>
    <row r="862" ht="15" customHeight="1">
      <c r="A862" t="inlineStr">
        <is>
          <t>A 54191-2023</t>
        </is>
      </c>
      <c r="B862" s="1" t="n">
        <v>45232</v>
      </c>
      <c r="C862" s="1" t="n">
        <v>45976</v>
      </c>
      <c r="D862" t="inlineStr">
        <is>
          <t>VÄRMLANDS LÄN</t>
        </is>
      </c>
      <c r="E862" t="inlineStr">
        <is>
          <t>TORSBY</t>
        </is>
      </c>
      <c r="F862" t="inlineStr">
        <is>
          <t>Bergvik skog väst AB</t>
        </is>
      </c>
      <c r="G862" t="n">
        <v>3.1</v>
      </c>
      <c r="H862" t="n">
        <v>0</v>
      </c>
      <c r="I862" t="n">
        <v>0</v>
      </c>
      <c r="J862" t="n">
        <v>0</v>
      </c>
      <c r="K862" t="n">
        <v>0</v>
      </c>
      <c r="L862" t="n">
        <v>0</v>
      </c>
      <c r="M862" t="n">
        <v>0</v>
      </c>
      <c r="N862" t="n">
        <v>0</v>
      </c>
      <c r="O862" t="n">
        <v>0</v>
      </c>
      <c r="P862" t="n">
        <v>0</v>
      </c>
      <c r="Q862" t="n">
        <v>0</v>
      </c>
      <c r="R862" s="2" t="inlineStr"/>
    </row>
    <row r="863" ht="15" customHeight="1">
      <c r="A863" t="inlineStr">
        <is>
          <t>A 27144-2024</t>
        </is>
      </c>
      <c r="B863" s="1" t="n">
        <v>45471.55459490741</v>
      </c>
      <c r="C863" s="1" t="n">
        <v>45976</v>
      </c>
      <c r="D863" t="inlineStr">
        <is>
          <t>VÄRMLANDS LÄN</t>
        </is>
      </c>
      <c r="E863" t="inlineStr">
        <is>
          <t>TORSBY</t>
        </is>
      </c>
      <c r="G863" t="n">
        <v>3.5</v>
      </c>
      <c r="H863" t="n">
        <v>0</v>
      </c>
      <c r="I863" t="n">
        <v>0</v>
      </c>
      <c r="J863" t="n">
        <v>0</v>
      </c>
      <c r="K863" t="n">
        <v>0</v>
      </c>
      <c r="L863" t="n">
        <v>0</v>
      </c>
      <c r="M863" t="n">
        <v>0</v>
      </c>
      <c r="N863" t="n">
        <v>0</v>
      </c>
      <c r="O863" t="n">
        <v>0</v>
      </c>
      <c r="P863" t="n">
        <v>0</v>
      </c>
      <c r="Q863" t="n">
        <v>0</v>
      </c>
      <c r="R863" s="2" t="inlineStr"/>
    </row>
    <row r="864" ht="15" customHeight="1">
      <c r="A864" t="inlineStr">
        <is>
          <t>A 26799-2024</t>
        </is>
      </c>
      <c r="B864" s="1" t="n">
        <v>45470.5071875</v>
      </c>
      <c r="C864" s="1" t="n">
        <v>45976</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40034-2025</t>
        </is>
      </c>
      <c r="B865" s="1" t="n">
        <v>45894.38159722222</v>
      </c>
      <c r="C865" s="1" t="n">
        <v>45976</v>
      </c>
      <c r="D865" t="inlineStr">
        <is>
          <t>VÄRMLANDS LÄN</t>
        </is>
      </c>
      <c r="E865" t="inlineStr">
        <is>
          <t>TORSBY</t>
        </is>
      </c>
      <c r="G865" t="n">
        <v>5.3</v>
      </c>
      <c r="H865" t="n">
        <v>0</v>
      </c>
      <c r="I865" t="n">
        <v>0</v>
      </c>
      <c r="J865" t="n">
        <v>0</v>
      </c>
      <c r="K865" t="n">
        <v>0</v>
      </c>
      <c r="L865" t="n">
        <v>0</v>
      </c>
      <c r="M865" t="n">
        <v>0</v>
      </c>
      <c r="N865" t="n">
        <v>0</v>
      </c>
      <c r="O865" t="n">
        <v>0</v>
      </c>
      <c r="P865" t="n">
        <v>0</v>
      </c>
      <c r="Q865" t="n">
        <v>0</v>
      </c>
      <c r="R865" s="2" t="inlineStr"/>
    </row>
    <row r="866" ht="15" customHeight="1">
      <c r="A866" t="inlineStr">
        <is>
          <t>A 49107-2025</t>
        </is>
      </c>
      <c r="B866" s="1" t="n">
        <v>45937.74091435185</v>
      </c>
      <c r="C866" s="1" t="n">
        <v>45976</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40546-2024</t>
        </is>
      </c>
      <c r="B867" s="1" t="n">
        <v>45555</v>
      </c>
      <c r="C867" s="1" t="n">
        <v>45976</v>
      </c>
      <c r="D867" t="inlineStr">
        <is>
          <t>VÄRMLANDS LÄN</t>
        </is>
      </c>
      <c r="E867" t="inlineStr">
        <is>
          <t>TORSBY</t>
        </is>
      </c>
      <c r="F867" t="inlineStr">
        <is>
          <t>Bergvik skog väst AB</t>
        </is>
      </c>
      <c r="G867" t="n">
        <v>13.9</v>
      </c>
      <c r="H867" t="n">
        <v>0</v>
      </c>
      <c r="I867" t="n">
        <v>0</v>
      </c>
      <c r="J867" t="n">
        <v>0</v>
      </c>
      <c r="K867" t="n">
        <v>0</v>
      </c>
      <c r="L867" t="n">
        <v>0</v>
      </c>
      <c r="M867" t="n">
        <v>0</v>
      </c>
      <c r="N867" t="n">
        <v>0</v>
      </c>
      <c r="O867" t="n">
        <v>0</v>
      </c>
      <c r="P867" t="n">
        <v>0</v>
      </c>
      <c r="Q867" t="n">
        <v>0</v>
      </c>
      <c r="R867" s="2" t="inlineStr"/>
    </row>
    <row r="868" ht="15" customHeight="1">
      <c r="A868" t="inlineStr">
        <is>
          <t>A 10589-2024</t>
        </is>
      </c>
      <c r="B868" s="1" t="n">
        <v>45366</v>
      </c>
      <c r="C868" s="1" t="n">
        <v>45976</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15931-2025</t>
        </is>
      </c>
      <c r="B869" s="1" t="n">
        <v>45749.46791666667</v>
      </c>
      <c r="C869" s="1" t="n">
        <v>45976</v>
      </c>
      <c r="D869" t="inlineStr">
        <is>
          <t>VÄRMLANDS LÄN</t>
        </is>
      </c>
      <c r="E869" t="inlineStr">
        <is>
          <t>TORSBY</t>
        </is>
      </c>
      <c r="F869" t="inlineStr">
        <is>
          <t>Bergvik skog väst AB</t>
        </is>
      </c>
      <c r="G869" t="n">
        <v>0.9</v>
      </c>
      <c r="H869" t="n">
        <v>0</v>
      </c>
      <c r="I869" t="n">
        <v>0</v>
      </c>
      <c r="J869" t="n">
        <v>0</v>
      </c>
      <c r="K869" t="n">
        <v>0</v>
      </c>
      <c r="L869" t="n">
        <v>0</v>
      </c>
      <c r="M869" t="n">
        <v>0</v>
      </c>
      <c r="N869" t="n">
        <v>0</v>
      </c>
      <c r="O869" t="n">
        <v>0</v>
      </c>
      <c r="P869" t="n">
        <v>0</v>
      </c>
      <c r="Q869" t="n">
        <v>0</v>
      </c>
      <c r="R869" s="2" t="inlineStr"/>
    </row>
    <row r="870" ht="15" customHeight="1">
      <c r="A870" t="inlineStr">
        <is>
          <t>A 24876-2023</t>
        </is>
      </c>
      <c r="B870" s="1" t="n">
        <v>45085.42391203704</v>
      </c>
      <c r="C870" s="1" t="n">
        <v>45976</v>
      </c>
      <c r="D870" t="inlineStr">
        <is>
          <t>VÄRMLANDS LÄN</t>
        </is>
      </c>
      <c r="E870" t="inlineStr">
        <is>
          <t>TORSBY</t>
        </is>
      </c>
      <c r="G870" t="n">
        <v>2.2</v>
      </c>
      <c r="H870" t="n">
        <v>0</v>
      </c>
      <c r="I870" t="n">
        <v>0</v>
      </c>
      <c r="J870" t="n">
        <v>0</v>
      </c>
      <c r="K870" t="n">
        <v>0</v>
      </c>
      <c r="L870" t="n">
        <v>0</v>
      </c>
      <c r="M870" t="n">
        <v>0</v>
      </c>
      <c r="N870" t="n">
        <v>0</v>
      </c>
      <c r="O870" t="n">
        <v>0</v>
      </c>
      <c r="P870" t="n">
        <v>0</v>
      </c>
      <c r="Q870" t="n">
        <v>0</v>
      </c>
      <c r="R870" s="2" t="inlineStr"/>
    </row>
    <row r="871" ht="15" customHeight="1">
      <c r="A871" t="inlineStr">
        <is>
          <t>A 51662-2024</t>
        </is>
      </c>
      <c r="B871" s="1" t="n">
        <v>45606.75559027777</v>
      </c>
      <c r="C871" s="1" t="n">
        <v>45976</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49108-2025</t>
        </is>
      </c>
      <c r="B872" s="1" t="n">
        <v>45937.74528935185</v>
      </c>
      <c r="C872" s="1" t="n">
        <v>45976</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27458-2023</t>
        </is>
      </c>
      <c r="B873" s="1" t="n">
        <v>45097</v>
      </c>
      <c r="C873" s="1" t="n">
        <v>45976</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21542-2024</t>
        </is>
      </c>
      <c r="B874" s="1" t="n">
        <v>45441</v>
      </c>
      <c r="C874" s="1" t="n">
        <v>45976</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54023-2024</t>
        </is>
      </c>
      <c r="B875" s="1" t="n">
        <v>45616</v>
      </c>
      <c r="C875" s="1" t="n">
        <v>45976</v>
      </c>
      <c r="D875" t="inlineStr">
        <is>
          <t>VÄRMLANDS LÄN</t>
        </is>
      </c>
      <c r="E875" t="inlineStr">
        <is>
          <t>TORSBY</t>
        </is>
      </c>
      <c r="F875" t="inlineStr">
        <is>
          <t>Kommuner</t>
        </is>
      </c>
      <c r="G875" t="n">
        <v>3</v>
      </c>
      <c r="H875" t="n">
        <v>0</v>
      </c>
      <c r="I875" t="n">
        <v>0</v>
      </c>
      <c r="J875" t="n">
        <v>0</v>
      </c>
      <c r="K875" t="n">
        <v>0</v>
      </c>
      <c r="L875" t="n">
        <v>0</v>
      </c>
      <c r="M875" t="n">
        <v>0</v>
      </c>
      <c r="N875" t="n">
        <v>0</v>
      </c>
      <c r="O875" t="n">
        <v>0</v>
      </c>
      <c r="P875" t="n">
        <v>0</v>
      </c>
      <c r="Q875" t="n">
        <v>0</v>
      </c>
      <c r="R875" s="2" t="inlineStr"/>
    </row>
    <row r="876" ht="15" customHeight="1">
      <c r="A876" t="inlineStr">
        <is>
          <t>A 54027-2024</t>
        </is>
      </c>
      <c r="B876" s="1" t="n">
        <v>45616</v>
      </c>
      <c r="C876" s="1" t="n">
        <v>45976</v>
      </c>
      <c r="D876" t="inlineStr">
        <is>
          <t>VÄRMLANDS LÄN</t>
        </is>
      </c>
      <c r="E876" t="inlineStr">
        <is>
          <t>TORSBY</t>
        </is>
      </c>
      <c r="F876" t="inlineStr">
        <is>
          <t>Bergvik skog väst AB</t>
        </is>
      </c>
      <c r="G876" t="n">
        <v>2.1</v>
      </c>
      <c r="H876" t="n">
        <v>0</v>
      </c>
      <c r="I876" t="n">
        <v>0</v>
      </c>
      <c r="J876" t="n">
        <v>0</v>
      </c>
      <c r="K876" t="n">
        <v>0</v>
      </c>
      <c r="L876" t="n">
        <v>0</v>
      </c>
      <c r="M876" t="n">
        <v>0</v>
      </c>
      <c r="N876" t="n">
        <v>0</v>
      </c>
      <c r="O876" t="n">
        <v>0</v>
      </c>
      <c r="P876" t="n">
        <v>0</v>
      </c>
      <c r="Q876" t="n">
        <v>0</v>
      </c>
      <c r="R876" s="2" t="inlineStr"/>
    </row>
    <row r="877" ht="15" customHeight="1">
      <c r="A877" t="inlineStr">
        <is>
          <t>A 9900-2024</t>
        </is>
      </c>
      <c r="B877" s="1" t="n">
        <v>45363</v>
      </c>
      <c r="C877" s="1" t="n">
        <v>45976</v>
      </c>
      <c r="D877" t="inlineStr">
        <is>
          <t>VÄRMLANDS LÄN</t>
        </is>
      </c>
      <c r="E877" t="inlineStr">
        <is>
          <t>TORSBY</t>
        </is>
      </c>
      <c r="G877" t="n">
        <v>13.6</v>
      </c>
      <c r="H877" t="n">
        <v>0</v>
      </c>
      <c r="I877" t="n">
        <v>0</v>
      </c>
      <c r="J877" t="n">
        <v>0</v>
      </c>
      <c r="K877" t="n">
        <v>0</v>
      </c>
      <c r="L877" t="n">
        <v>0</v>
      </c>
      <c r="M877" t="n">
        <v>0</v>
      </c>
      <c r="N877" t="n">
        <v>0</v>
      </c>
      <c r="O877" t="n">
        <v>0</v>
      </c>
      <c r="P877" t="n">
        <v>0</v>
      </c>
      <c r="Q877" t="n">
        <v>0</v>
      </c>
      <c r="R877" s="2" t="inlineStr"/>
    </row>
    <row r="878" ht="15" customHeight="1">
      <c r="A878" t="inlineStr">
        <is>
          <t>A 21587-2024</t>
        </is>
      </c>
      <c r="B878" s="1" t="n">
        <v>45441</v>
      </c>
      <c r="C878" s="1" t="n">
        <v>45976</v>
      </c>
      <c r="D878" t="inlineStr">
        <is>
          <t>VÄRMLANDS LÄN</t>
        </is>
      </c>
      <c r="E878" t="inlineStr">
        <is>
          <t>TORSBY</t>
        </is>
      </c>
      <c r="G878" t="n">
        <v>4.8</v>
      </c>
      <c r="H878" t="n">
        <v>0</v>
      </c>
      <c r="I878" t="n">
        <v>0</v>
      </c>
      <c r="J878" t="n">
        <v>0</v>
      </c>
      <c r="K878" t="n">
        <v>0</v>
      </c>
      <c r="L878" t="n">
        <v>0</v>
      </c>
      <c r="M878" t="n">
        <v>0</v>
      </c>
      <c r="N878" t="n">
        <v>0</v>
      </c>
      <c r="O878" t="n">
        <v>0</v>
      </c>
      <c r="P878" t="n">
        <v>0</v>
      </c>
      <c r="Q878" t="n">
        <v>0</v>
      </c>
      <c r="R878" s="2" t="inlineStr"/>
    </row>
    <row r="879" ht="15" customHeight="1">
      <c r="A879" t="inlineStr">
        <is>
          <t>A 17001-2024</t>
        </is>
      </c>
      <c r="B879" s="1" t="n">
        <v>45412.35605324074</v>
      </c>
      <c r="C879" s="1" t="n">
        <v>45976</v>
      </c>
      <c r="D879" t="inlineStr">
        <is>
          <t>VÄRMLANDS LÄN</t>
        </is>
      </c>
      <c r="E879" t="inlineStr">
        <is>
          <t>TORSBY</t>
        </is>
      </c>
      <c r="G879" t="n">
        <v>3.6</v>
      </c>
      <c r="H879" t="n">
        <v>0</v>
      </c>
      <c r="I879" t="n">
        <v>0</v>
      </c>
      <c r="J879" t="n">
        <v>0</v>
      </c>
      <c r="K879" t="n">
        <v>0</v>
      </c>
      <c r="L879" t="n">
        <v>0</v>
      </c>
      <c r="M879" t="n">
        <v>0</v>
      </c>
      <c r="N879" t="n">
        <v>0</v>
      </c>
      <c r="O879" t="n">
        <v>0</v>
      </c>
      <c r="P879" t="n">
        <v>0</v>
      </c>
      <c r="Q879" t="n">
        <v>0</v>
      </c>
      <c r="R879" s="2" t="inlineStr"/>
    </row>
    <row r="880" ht="15" customHeight="1">
      <c r="A880" t="inlineStr">
        <is>
          <t>A 9902-2024</t>
        </is>
      </c>
      <c r="B880" s="1" t="n">
        <v>45363</v>
      </c>
      <c r="C880" s="1" t="n">
        <v>45976</v>
      </c>
      <c r="D880" t="inlineStr">
        <is>
          <t>VÄRMLANDS LÄN</t>
        </is>
      </c>
      <c r="E880" t="inlineStr">
        <is>
          <t>TORSBY</t>
        </is>
      </c>
      <c r="G880" t="n">
        <v>4.4</v>
      </c>
      <c r="H880" t="n">
        <v>0</v>
      </c>
      <c r="I880" t="n">
        <v>0</v>
      </c>
      <c r="J880" t="n">
        <v>0</v>
      </c>
      <c r="K880" t="n">
        <v>0</v>
      </c>
      <c r="L880" t="n">
        <v>0</v>
      </c>
      <c r="M880" t="n">
        <v>0</v>
      </c>
      <c r="N880" t="n">
        <v>0</v>
      </c>
      <c r="O880" t="n">
        <v>0</v>
      </c>
      <c r="P880" t="n">
        <v>0</v>
      </c>
      <c r="Q880" t="n">
        <v>0</v>
      </c>
      <c r="R880" s="2" t="inlineStr"/>
    </row>
    <row r="881" ht="15" customHeight="1">
      <c r="A881" t="inlineStr">
        <is>
          <t>A 10684-2024</t>
        </is>
      </c>
      <c r="B881" s="1" t="n">
        <v>45369.37938657407</v>
      </c>
      <c r="C881" s="1" t="n">
        <v>45976</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3672-2024</t>
        </is>
      </c>
      <c r="B882" s="1" t="n">
        <v>45321.36465277777</v>
      </c>
      <c r="C882" s="1" t="n">
        <v>45976</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17018-2025</t>
        </is>
      </c>
      <c r="B883" s="1" t="n">
        <v>45755</v>
      </c>
      <c r="C883" s="1" t="n">
        <v>45976</v>
      </c>
      <c r="D883" t="inlineStr">
        <is>
          <t>VÄRMLANDS LÄN</t>
        </is>
      </c>
      <c r="E883" t="inlineStr">
        <is>
          <t>TORSBY</t>
        </is>
      </c>
      <c r="G883" t="n">
        <v>2.8</v>
      </c>
      <c r="H883" t="n">
        <v>0</v>
      </c>
      <c r="I883" t="n">
        <v>0</v>
      </c>
      <c r="J883" t="n">
        <v>0</v>
      </c>
      <c r="K883" t="n">
        <v>0</v>
      </c>
      <c r="L883" t="n">
        <v>0</v>
      </c>
      <c r="M883" t="n">
        <v>0</v>
      </c>
      <c r="N883" t="n">
        <v>0</v>
      </c>
      <c r="O883" t="n">
        <v>0</v>
      </c>
      <c r="P883" t="n">
        <v>0</v>
      </c>
      <c r="Q883" t="n">
        <v>0</v>
      </c>
      <c r="R883" s="2" t="inlineStr"/>
    </row>
    <row r="884" ht="15" customHeight="1">
      <c r="A884" t="inlineStr">
        <is>
          <t>A 58707-2024</t>
        </is>
      </c>
      <c r="B884" s="1" t="n">
        <v>45635</v>
      </c>
      <c r="C884" s="1" t="n">
        <v>45976</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40195-2025</t>
        </is>
      </c>
      <c r="B885" s="1" t="n">
        <v>45894.65922453703</v>
      </c>
      <c r="C885" s="1" t="n">
        <v>45976</v>
      </c>
      <c r="D885" t="inlineStr">
        <is>
          <t>VÄRMLANDS LÄN</t>
        </is>
      </c>
      <c r="E885" t="inlineStr">
        <is>
          <t>TORSBY</t>
        </is>
      </c>
      <c r="F885" t="inlineStr">
        <is>
          <t>Bergvik skog väst AB</t>
        </is>
      </c>
      <c r="G885" t="n">
        <v>3.7</v>
      </c>
      <c r="H885" t="n">
        <v>0</v>
      </c>
      <c r="I885" t="n">
        <v>0</v>
      </c>
      <c r="J885" t="n">
        <v>0</v>
      </c>
      <c r="K885" t="n">
        <v>0</v>
      </c>
      <c r="L885" t="n">
        <v>0</v>
      </c>
      <c r="M885" t="n">
        <v>0</v>
      </c>
      <c r="N885" t="n">
        <v>0</v>
      </c>
      <c r="O885" t="n">
        <v>0</v>
      </c>
      <c r="P885" t="n">
        <v>0</v>
      </c>
      <c r="Q885" t="n">
        <v>0</v>
      </c>
      <c r="R885" s="2" t="inlineStr"/>
    </row>
    <row r="886" ht="15" customHeight="1">
      <c r="A886" t="inlineStr">
        <is>
          <t>A 19878-2025</t>
        </is>
      </c>
      <c r="B886" s="1" t="n">
        <v>45771.55361111111</v>
      </c>
      <c r="C886" s="1" t="n">
        <v>45976</v>
      </c>
      <c r="D886" t="inlineStr">
        <is>
          <t>VÄRMLANDS LÄN</t>
        </is>
      </c>
      <c r="E886" t="inlineStr">
        <is>
          <t>TORSBY</t>
        </is>
      </c>
      <c r="G886" t="n">
        <v>4.2</v>
      </c>
      <c r="H886" t="n">
        <v>0</v>
      </c>
      <c r="I886" t="n">
        <v>0</v>
      </c>
      <c r="J886" t="n">
        <v>0</v>
      </c>
      <c r="K886" t="n">
        <v>0</v>
      </c>
      <c r="L886" t="n">
        <v>0</v>
      </c>
      <c r="M886" t="n">
        <v>0</v>
      </c>
      <c r="N886" t="n">
        <v>0</v>
      </c>
      <c r="O886" t="n">
        <v>0</v>
      </c>
      <c r="P886" t="n">
        <v>0</v>
      </c>
      <c r="Q886" t="n">
        <v>0</v>
      </c>
      <c r="R886" s="2" t="inlineStr"/>
    </row>
    <row r="887" ht="15" customHeight="1">
      <c r="A887" t="inlineStr">
        <is>
          <t>A 39069-2022</t>
        </is>
      </c>
      <c r="B887" s="1" t="n">
        <v>44816</v>
      </c>
      <c r="C887" s="1" t="n">
        <v>45976</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40788-2022</t>
        </is>
      </c>
      <c r="B888" s="1" t="n">
        <v>44824</v>
      </c>
      <c r="C888" s="1" t="n">
        <v>45976</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2616-2025</t>
        </is>
      </c>
      <c r="B889" s="1" t="n">
        <v>45675</v>
      </c>
      <c r="C889" s="1" t="n">
        <v>45976</v>
      </c>
      <c r="D889" t="inlineStr">
        <is>
          <t>VÄRMLANDS LÄN</t>
        </is>
      </c>
      <c r="E889" t="inlineStr">
        <is>
          <t>TORSBY</t>
        </is>
      </c>
      <c r="G889" t="n">
        <v>4.1</v>
      </c>
      <c r="H889" t="n">
        <v>0</v>
      </c>
      <c r="I889" t="n">
        <v>0</v>
      </c>
      <c r="J889" t="n">
        <v>0</v>
      </c>
      <c r="K889" t="n">
        <v>0</v>
      </c>
      <c r="L889" t="n">
        <v>0</v>
      </c>
      <c r="M889" t="n">
        <v>0</v>
      </c>
      <c r="N889" t="n">
        <v>0</v>
      </c>
      <c r="O889" t="n">
        <v>0</v>
      </c>
      <c r="P889" t="n">
        <v>0</v>
      </c>
      <c r="Q889" t="n">
        <v>0</v>
      </c>
      <c r="R889" s="2" t="inlineStr"/>
    </row>
    <row r="890" ht="15" customHeight="1">
      <c r="A890" t="inlineStr">
        <is>
          <t>A 52483-2022</t>
        </is>
      </c>
      <c r="B890" s="1" t="n">
        <v>44874.48637731482</v>
      </c>
      <c r="C890" s="1" t="n">
        <v>45976</v>
      </c>
      <c r="D890" t="inlineStr">
        <is>
          <t>VÄRMLANDS LÄN</t>
        </is>
      </c>
      <c r="E890" t="inlineStr">
        <is>
          <t>TORSBY</t>
        </is>
      </c>
      <c r="G890" t="n">
        <v>1.7</v>
      </c>
      <c r="H890" t="n">
        <v>0</v>
      </c>
      <c r="I890" t="n">
        <v>0</v>
      </c>
      <c r="J890" t="n">
        <v>0</v>
      </c>
      <c r="K890" t="n">
        <v>0</v>
      </c>
      <c r="L890" t="n">
        <v>0</v>
      </c>
      <c r="M890" t="n">
        <v>0</v>
      </c>
      <c r="N890" t="n">
        <v>0</v>
      </c>
      <c r="O890" t="n">
        <v>0</v>
      </c>
      <c r="P890" t="n">
        <v>0</v>
      </c>
      <c r="Q890" t="n">
        <v>0</v>
      </c>
      <c r="R890" s="2" t="inlineStr"/>
    </row>
    <row r="891" ht="15" customHeight="1">
      <c r="A891" t="inlineStr">
        <is>
          <t>A 14026-2025</t>
        </is>
      </c>
      <c r="B891" s="1" t="n">
        <v>45740.35003472222</v>
      </c>
      <c r="C891" s="1" t="n">
        <v>45976</v>
      </c>
      <c r="D891" t="inlineStr">
        <is>
          <t>VÄRMLANDS LÄN</t>
        </is>
      </c>
      <c r="E891" t="inlineStr">
        <is>
          <t>TORSBY</t>
        </is>
      </c>
      <c r="G891" t="n">
        <v>5.7</v>
      </c>
      <c r="H891" t="n">
        <v>0</v>
      </c>
      <c r="I891" t="n">
        <v>0</v>
      </c>
      <c r="J891" t="n">
        <v>0</v>
      </c>
      <c r="K891" t="n">
        <v>0</v>
      </c>
      <c r="L891" t="n">
        <v>0</v>
      </c>
      <c r="M891" t="n">
        <v>0</v>
      </c>
      <c r="N891" t="n">
        <v>0</v>
      </c>
      <c r="O891" t="n">
        <v>0</v>
      </c>
      <c r="P891" t="n">
        <v>0</v>
      </c>
      <c r="Q891" t="n">
        <v>0</v>
      </c>
      <c r="R891" s="2" t="inlineStr"/>
    </row>
    <row r="892" ht="15" customHeight="1">
      <c r="A892" t="inlineStr">
        <is>
          <t>A 61753-2020</t>
        </is>
      </c>
      <c r="B892" s="1" t="n">
        <v>44158</v>
      </c>
      <c r="C892" s="1" t="n">
        <v>45976</v>
      </c>
      <c r="D892" t="inlineStr">
        <is>
          <t>VÄRMLANDS LÄN</t>
        </is>
      </c>
      <c r="E892" t="inlineStr">
        <is>
          <t>TORSBY</t>
        </is>
      </c>
      <c r="G892" t="n">
        <v>2.2</v>
      </c>
      <c r="H892" t="n">
        <v>0</v>
      </c>
      <c r="I892" t="n">
        <v>0</v>
      </c>
      <c r="J892" t="n">
        <v>0</v>
      </c>
      <c r="K892" t="n">
        <v>0</v>
      </c>
      <c r="L892" t="n">
        <v>0</v>
      </c>
      <c r="M892" t="n">
        <v>0</v>
      </c>
      <c r="N892" t="n">
        <v>0</v>
      </c>
      <c r="O892" t="n">
        <v>0</v>
      </c>
      <c r="P892" t="n">
        <v>0</v>
      </c>
      <c r="Q892" t="n">
        <v>0</v>
      </c>
      <c r="R892" s="2" t="inlineStr"/>
    </row>
    <row r="893" ht="15" customHeight="1">
      <c r="A893" t="inlineStr">
        <is>
          <t>A 48762-2023</t>
        </is>
      </c>
      <c r="B893" s="1" t="n">
        <v>45208</v>
      </c>
      <c r="C893" s="1" t="n">
        <v>45976</v>
      </c>
      <c r="D893" t="inlineStr">
        <is>
          <t>VÄRMLANDS LÄN</t>
        </is>
      </c>
      <c r="E893" t="inlineStr">
        <is>
          <t>TORSBY</t>
        </is>
      </c>
      <c r="G893" t="n">
        <v>4.2</v>
      </c>
      <c r="H893" t="n">
        <v>0</v>
      </c>
      <c r="I893" t="n">
        <v>0</v>
      </c>
      <c r="J893" t="n">
        <v>0</v>
      </c>
      <c r="K893" t="n">
        <v>0</v>
      </c>
      <c r="L893" t="n">
        <v>0</v>
      </c>
      <c r="M893" t="n">
        <v>0</v>
      </c>
      <c r="N893" t="n">
        <v>0</v>
      </c>
      <c r="O893" t="n">
        <v>0</v>
      </c>
      <c r="P893" t="n">
        <v>0</v>
      </c>
      <c r="Q893" t="n">
        <v>0</v>
      </c>
      <c r="R893" s="2" t="inlineStr"/>
    </row>
    <row r="894" ht="15" customHeight="1">
      <c r="A894" t="inlineStr">
        <is>
          <t>A 51661-2024</t>
        </is>
      </c>
      <c r="B894" s="1" t="n">
        <v>45606.74392361111</v>
      </c>
      <c r="C894" s="1" t="n">
        <v>45976</v>
      </c>
      <c r="D894" t="inlineStr">
        <is>
          <t>VÄRMLANDS LÄN</t>
        </is>
      </c>
      <c r="E894" t="inlineStr">
        <is>
          <t>TORSBY</t>
        </is>
      </c>
      <c r="G894" t="n">
        <v>6.9</v>
      </c>
      <c r="H894" t="n">
        <v>0</v>
      </c>
      <c r="I894" t="n">
        <v>0</v>
      </c>
      <c r="J894" t="n">
        <v>0</v>
      </c>
      <c r="K894" t="n">
        <v>0</v>
      </c>
      <c r="L894" t="n">
        <v>0</v>
      </c>
      <c r="M894" t="n">
        <v>0</v>
      </c>
      <c r="N894" t="n">
        <v>0</v>
      </c>
      <c r="O894" t="n">
        <v>0</v>
      </c>
      <c r="P894" t="n">
        <v>0</v>
      </c>
      <c r="Q894" t="n">
        <v>0</v>
      </c>
      <c r="R894" s="2" t="inlineStr"/>
    </row>
    <row r="895" ht="15" customHeight="1">
      <c r="A895" t="inlineStr">
        <is>
          <t>A 51663-2024</t>
        </is>
      </c>
      <c r="B895" s="1" t="n">
        <v>45606.76396990741</v>
      </c>
      <c r="C895" s="1" t="n">
        <v>45976</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10579-2021</t>
        </is>
      </c>
      <c r="B896" s="1" t="n">
        <v>44257</v>
      </c>
      <c r="C896" s="1" t="n">
        <v>45976</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40051-2025</t>
        </is>
      </c>
      <c r="B897" s="1" t="n">
        <v>45894.40730324074</v>
      </c>
      <c r="C897" s="1" t="n">
        <v>45976</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57452-2022</t>
        </is>
      </c>
      <c r="B898" s="1" t="n">
        <v>44896.55787037037</v>
      </c>
      <c r="C898" s="1" t="n">
        <v>45976</v>
      </c>
      <c r="D898" t="inlineStr">
        <is>
          <t>VÄRMLANDS LÄN</t>
        </is>
      </c>
      <c r="E898" t="inlineStr">
        <is>
          <t>TORSBY</t>
        </is>
      </c>
      <c r="F898" t="inlineStr">
        <is>
          <t>Bergvik skog väst AB</t>
        </is>
      </c>
      <c r="G898" t="n">
        <v>4.8</v>
      </c>
      <c r="H898" t="n">
        <v>0</v>
      </c>
      <c r="I898" t="n">
        <v>0</v>
      </c>
      <c r="J898" t="n">
        <v>0</v>
      </c>
      <c r="K898" t="n">
        <v>0</v>
      </c>
      <c r="L898" t="n">
        <v>0</v>
      </c>
      <c r="M898" t="n">
        <v>0</v>
      </c>
      <c r="N898" t="n">
        <v>0</v>
      </c>
      <c r="O898" t="n">
        <v>0</v>
      </c>
      <c r="P898" t="n">
        <v>0</v>
      </c>
      <c r="Q898" t="n">
        <v>0</v>
      </c>
      <c r="R898" s="2" t="inlineStr"/>
    </row>
    <row r="899" ht="15" customHeight="1">
      <c r="A899" t="inlineStr">
        <is>
          <t>A 25316-2024</t>
        </is>
      </c>
      <c r="B899" s="1" t="n">
        <v>45462</v>
      </c>
      <c r="C899" s="1" t="n">
        <v>45976</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3098-2023</t>
        </is>
      </c>
      <c r="B900" s="1" t="n">
        <v>44946.46096064815</v>
      </c>
      <c r="C900" s="1" t="n">
        <v>45976</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3103-2023</t>
        </is>
      </c>
      <c r="B901" s="1" t="n">
        <v>44946</v>
      </c>
      <c r="C901" s="1" t="n">
        <v>45976</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13791-2023</t>
        </is>
      </c>
      <c r="B902" s="1" t="n">
        <v>45005</v>
      </c>
      <c r="C902" s="1" t="n">
        <v>45976</v>
      </c>
      <c r="D902" t="inlineStr">
        <is>
          <t>VÄRMLANDS LÄN</t>
        </is>
      </c>
      <c r="E902" t="inlineStr">
        <is>
          <t>TORSBY</t>
        </is>
      </c>
      <c r="G902" t="n">
        <v>3.5</v>
      </c>
      <c r="H902" t="n">
        <v>0</v>
      </c>
      <c r="I902" t="n">
        <v>0</v>
      </c>
      <c r="J902" t="n">
        <v>0</v>
      </c>
      <c r="K902" t="n">
        <v>0</v>
      </c>
      <c r="L902" t="n">
        <v>0</v>
      </c>
      <c r="M902" t="n">
        <v>0</v>
      </c>
      <c r="N902" t="n">
        <v>0</v>
      </c>
      <c r="O902" t="n">
        <v>0</v>
      </c>
      <c r="P902" t="n">
        <v>0</v>
      </c>
      <c r="Q902" t="n">
        <v>0</v>
      </c>
      <c r="R902" s="2" t="inlineStr"/>
    </row>
    <row r="903" ht="15" customHeight="1">
      <c r="A903" t="inlineStr">
        <is>
          <t>A 55839-2024</t>
        </is>
      </c>
      <c r="B903" s="1" t="n">
        <v>45623.49502314815</v>
      </c>
      <c r="C903" s="1" t="n">
        <v>45976</v>
      </c>
      <c r="D903" t="inlineStr">
        <is>
          <t>VÄRMLANDS LÄN</t>
        </is>
      </c>
      <c r="E903" t="inlineStr">
        <is>
          <t>TORSBY</t>
        </is>
      </c>
      <c r="F903" t="inlineStr">
        <is>
          <t>Kommuner</t>
        </is>
      </c>
      <c r="G903" t="n">
        <v>0.5</v>
      </c>
      <c r="H903" t="n">
        <v>0</v>
      </c>
      <c r="I903" t="n">
        <v>0</v>
      </c>
      <c r="J903" t="n">
        <v>0</v>
      </c>
      <c r="K903" t="n">
        <v>0</v>
      </c>
      <c r="L903" t="n">
        <v>0</v>
      </c>
      <c r="M903" t="n">
        <v>0</v>
      </c>
      <c r="N903" t="n">
        <v>0</v>
      </c>
      <c r="O903" t="n">
        <v>0</v>
      </c>
      <c r="P903" t="n">
        <v>0</v>
      </c>
      <c r="Q903" t="n">
        <v>0</v>
      </c>
      <c r="R903" s="2" t="inlineStr"/>
    </row>
    <row r="904" ht="15" customHeight="1">
      <c r="A904" t="inlineStr">
        <is>
          <t>A 61251-2024</t>
        </is>
      </c>
      <c r="B904" s="1" t="n">
        <v>45645</v>
      </c>
      <c r="C904" s="1" t="n">
        <v>45976</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61259-2024</t>
        </is>
      </c>
      <c r="B905" s="1" t="n">
        <v>45645.71188657408</v>
      </c>
      <c r="C905" s="1" t="n">
        <v>45976</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20168-2022</t>
        </is>
      </c>
      <c r="B906" s="1" t="n">
        <v>44698.50056712963</v>
      </c>
      <c r="C906" s="1" t="n">
        <v>45976</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49109-2025</t>
        </is>
      </c>
      <c r="B907" s="1" t="n">
        <v>45937.74931712963</v>
      </c>
      <c r="C907" s="1" t="n">
        <v>45976</v>
      </c>
      <c r="D907" t="inlineStr">
        <is>
          <t>VÄRMLANDS LÄN</t>
        </is>
      </c>
      <c r="E907" t="inlineStr">
        <is>
          <t>TORSBY</t>
        </is>
      </c>
      <c r="G907" t="n">
        <v>0.1</v>
      </c>
      <c r="H907" t="n">
        <v>0</v>
      </c>
      <c r="I907" t="n">
        <v>0</v>
      </c>
      <c r="J907" t="n">
        <v>0</v>
      </c>
      <c r="K907" t="n">
        <v>0</v>
      </c>
      <c r="L907" t="n">
        <v>0</v>
      </c>
      <c r="M907" t="n">
        <v>0</v>
      </c>
      <c r="N907" t="n">
        <v>0</v>
      </c>
      <c r="O907" t="n">
        <v>0</v>
      </c>
      <c r="P907" t="n">
        <v>0</v>
      </c>
      <c r="Q907" t="n">
        <v>0</v>
      </c>
      <c r="R907" s="2" t="inlineStr"/>
    </row>
    <row r="908" ht="15" customHeight="1">
      <c r="A908" t="inlineStr">
        <is>
          <t>A 55475-2022</t>
        </is>
      </c>
      <c r="B908" s="1" t="n">
        <v>44887.66210648148</v>
      </c>
      <c r="C908" s="1" t="n">
        <v>45976</v>
      </c>
      <c r="D908" t="inlineStr">
        <is>
          <t>VÄRMLANDS LÄN</t>
        </is>
      </c>
      <c r="E908" t="inlineStr">
        <is>
          <t>TORSBY</t>
        </is>
      </c>
      <c r="G908" t="n">
        <v>2.7</v>
      </c>
      <c r="H908" t="n">
        <v>0</v>
      </c>
      <c r="I908" t="n">
        <v>0</v>
      </c>
      <c r="J908" t="n">
        <v>0</v>
      </c>
      <c r="K908" t="n">
        <v>0</v>
      </c>
      <c r="L908" t="n">
        <v>0</v>
      </c>
      <c r="M908" t="n">
        <v>0</v>
      </c>
      <c r="N908" t="n">
        <v>0</v>
      </c>
      <c r="O908" t="n">
        <v>0</v>
      </c>
      <c r="P908" t="n">
        <v>0</v>
      </c>
      <c r="Q908" t="n">
        <v>0</v>
      </c>
      <c r="R908" s="2" t="inlineStr"/>
    </row>
    <row r="909" ht="15" customHeight="1">
      <c r="A909" t="inlineStr">
        <is>
          <t>A 32747-2021</t>
        </is>
      </c>
      <c r="B909" s="1" t="n">
        <v>44375</v>
      </c>
      <c r="C909" s="1" t="n">
        <v>45976</v>
      </c>
      <c r="D909" t="inlineStr">
        <is>
          <t>VÄRMLANDS LÄN</t>
        </is>
      </c>
      <c r="E909" t="inlineStr">
        <is>
          <t>TORSBY</t>
        </is>
      </c>
      <c r="G909" t="n">
        <v>6.3</v>
      </c>
      <c r="H909" t="n">
        <v>0</v>
      </c>
      <c r="I909" t="n">
        <v>0</v>
      </c>
      <c r="J909" t="n">
        <v>0</v>
      </c>
      <c r="K909" t="n">
        <v>0</v>
      </c>
      <c r="L909" t="n">
        <v>0</v>
      </c>
      <c r="M909" t="n">
        <v>0</v>
      </c>
      <c r="N909" t="n">
        <v>0</v>
      </c>
      <c r="O909" t="n">
        <v>0</v>
      </c>
      <c r="P909" t="n">
        <v>0</v>
      </c>
      <c r="Q909" t="n">
        <v>0</v>
      </c>
      <c r="R909" s="2" t="inlineStr"/>
    </row>
    <row r="910" ht="15" customHeight="1">
      <c r="A910" t="inlineStr">
        <is>
          <t>A 43538-2024</t>
        </is>
      </c>
      <c r="B910" s="1" t="n">
        <v>45569.36136574074</v>
      </c>
      <c r="C910" s="1" t="n">
        <v>45976</v>
      </c>
      <c r="D910" t="inlineStr">
        <is>
          <t>VÄRMLANDS LÄN</t>
        </is>
      </c>
      <c r="E910" t="inlineStr">
        <is>
          <t>TORSBY</t>
        </is>
      </c>
      <c r="F910" t="inlineStr">
        <is>
          <t>Bergvik skog väst AB</t>
        </is>
      </c>
      <c r="G910" t="n">
        <v>14.4</v>
      </c>
      <c r="H910" t="n">
        <v>0</v>
      </c>
      <c r="I910" t="n">
        <v>0</v>
      </c>
      <c r="J910" t="n">
        <v>0</v>
      </c>
      <c r="K910" t="n">
        <v>0</v>
      </c>
      <c r="L910" t="n">
        <v>0</v>
      </c>
      <c r="M910" t="n">
        <v>0</v>
      </c>
      <c r="N910" t="n">
        <v>0</v>
      </c>
      <c r="O910" t="n">
        <v>0</v>
      </c>
      <c r="P910" t="n">
        <v>0</v>
      </c>
      <c r="Q910" t="n">
        <v>0</v>
      </c>
      <c r="R910" s="2" t="inlineStr"/>
    </row>
    <row r="911" ht="15" customHeight="1">
      <c r="A911" t="inlineStr">
        <is>
          <t>A 1528-2025</t>
        </is>
      </c>
      <c r="B911" s="1" t="n">
        <v>45670</v>
      </c>
      <c r="C911" s="1" t="n">
        <v>45976</v>
      </c>
      <c r="D911" t="inlineStr">
        <is>
          <t>VÄRMLANDS LÄN</t>
        </is>
      </c>
      <c r="E911" t="inlineStr">
        <is>
          <t>TORSBY</t>
        </is>
      </c>
      <c r="G911" t="n">
        <v>7.4</v>
      </c>
      <c r="H911" t="n">
        <v>0</v>
      </c>
      <c r="I911" t="n">
        <v>0</v>
      </c>
      <c r="J911" t="n">
        <v>0</v>
      </c>
      <c r="K911" t="n">
        <v>0</v>
      </c>
      <c r="L911" t="n">
        <v>0</v>
      </c>
      <c r="M911" t="n">
        <v>0</v>
      </c>
      <c r="N911" t="n">
        <v>0</v>
      </c>
      <c r="O911" t="n">
        <v>0</v>
      </c>
      <c r="P911" t="n">
        <v>0</v>
      </c>
      <c r="Q911" t="n">
        <v>0</v>
      </c>
      <c r="R911" s="2" t="inlineStr"/>
    </row>
    <row r="912" ht="15" customHeight="1">
      <c r="A912" t="inlineStr">
        <is>
          <t>A 2155-2024</t>
        </is>
      </c>
      <c r="B912" s="1" t="n">
        <v>45309</v>
      </c>
      <c r="C912" s="1" t="n">
        <v>45976</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9286-2025</t>
        </is>
      </c>
      <c r="B913" s="1" t="n">
        <v>45714</v>
      </c>
      <c r="C913" s="1" t="n">
        <v>45976</v>
      </c>
      <c r="D913" t="inlineStr">
        <is>
          <t>VÄRMLANDS LÄN</t>
        </is>
      </c>
      <c r="E913" t="inlineStr">
        <is>
          <t>TORSBY</t>
        </is>
      </c>
      <c r="F913" t="inlineStr">
        <is>
          <t>Kommuner</t>
        </is>
      </c>
      <c r="G913" t="n">
        <v>1</v>
      </c>
      <c r="H913" t="n">
        <v>0</v>
      </c>
      <c r="I913" t="n">
        <v>0</v>
      </c>
      <c r="J913" t="n">
        <v>0</v>
      </c>
      <c r="K913" t="n">
        <v>0</v>
      </c>
      <c r="L913" t="n">
        <v>0</v>
      </c>
      <c r="M913" t="n">
        <v>0</v>
      </c>
      <c r="N913" t="n">
        <v>0</v>
      </c>
      <c r="O913" t="n">
        <v>0</v>
      </c>
      <c r="P913" t="n">
        <v>0</v>
      </c>
      <c r="Q913" t="n">
        <v>0</v>
      </c>
      <c r="R913" s="2" t="inlineStr"/>
    </row>
    <row r="914" ht="15" customHeight="1">
      <c r="A914" t="inlineStr">
        <is>
          <t>A 8284-2023</t>
        </is>
      </c>
      <c r="B914" s="1" t="n">
        <v>44974.64714120371</v>
      </c>
      <c r="C914" s="1" t="n">
        <v>45976</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48239-2022</t>
        </is>
      </c>
      <c r="B915" s="1" t="n">
        <v>44858.45881944444</v>
      </c>
      <c r="C915" s="1" t="n">
        <v>45976</v>
      </c>
      <c r="D915" t="inlineStr">
        <is>
          <t>VÄRMLANDS LÄN</t>
        </is>
      </c>
      <c r="E915" t="inlineStr">
        <is>
          <t>TORSBY</t>
        </is>
      </c>
      <c r="G915" t="n">
        <v>3.9</v>
      </c>
      <c r="H915" t="n">
        <v>0</v>
      </c>
      <c r="I915" t="n">
        <v>0</v>
      </c>
      <c r="J915" t="n">
        <v>0</v>
      </c>
      <c r="K915" t="n">
        <v>0</v>
      </c>
      <c r="L915" t="n">
        <v>0</v>
      </c>
      <c r="M915" t="n">
        <v>0</v>
      </c>
      <c r="N915" t="n">
        <v>0</v>
      </c>
      <c r="O915" t="n">
        <v>0</v>
      </c>
      <c r="P915" t="n">
        <v>0</v>
      </c>
      <c r="Q915" t="n">
        <v>0</v>
      </c>
      <c r="R915" s="2" t="inlineStr"/>
    </row>
    <row r="916" ht="15" customHeight="1">
      <c r="A916" t="inlineStr">
        <is>
          <t>A 26223-2021</t>
        </is>
      </c>
      <c r="B916" s="1" t="n">
        <v>44347</v>
      </c>
      <c r="C916" s="1" t="n">
        <v>45976</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18115-2025</t>
        </is>
      </c>
      <c r="B917" s="1" t="n">
        <v>45761</v>
      </c>
      <c r="C917" s="1" t="n">
        <v>45976</v>
      </c>
      <c r="D917" t="inlineStr">
        <is>
          <t>VÄRMLANDS LÄN</t>
        </is>
      </c>
      <c r="E917" t="inlineStr">
        <is>
          <t>TORSBY</t>
        </is>
      </c>
      <c r="G917" t="n">
        <v>2.5</v>
      </c>
      <c r="H917" t="n">
        <v>0</v>
      </c>
      <c r="I917" t="n">
        <v>0</v>
      </c>
      <c r="J917" t="n">
        <v>0</v>
      </c>
      <c r="K917" t="n">
        <v>0</v>
      </c>
      <c r="L917" t="n">
        <v>0</v>
      </c>
      <c r="M917" t="n">
        <v>0</v>
      </c>
      <c r="N917" t="n">
        <v>0</v>
      </c>
      <c r="O917" t="n">
        <v>0</v>
      </c>
      <c r="P917" t="n">
        <v>0</v>
      </c>
      <c r="Q917" t="n">
        <v>0</v>
      </c>
      <c r="R917" s="2" t="inlineStr"/>
    </row>
    <row r="918" ht="15" customHeight="1">
      <c r="A918" t="inlineStr">
        <is>
          <t>A 906-2025</t>
        </is>
      </c>
      <c r="B918" s="1" t="n">
        <v>45664</v>
      </c>
      <c r="C918" s="1" t="n">
        <v>45976</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18096-2025</t>
        </is>
      </c>
      <c r="B919" s="1" t="n">
        <v>45761</v>
      </c>
      <c r="C919" s="1" t="n">
        <v>45976</v>
      </c>
      <c r="D919" t="inlineStr">
        <is>
          <t>VÄRMLANDS LÄN</t>
        </is>
      </c>
      <c r="E919" t="inlineStr">
        <is>
          <t>TORSBY</t>
        </is>
      </c>
      <c r="G919" t="n">
        <v>3.6</v>
      </c>
      <c r="H919" t="n">
        <v>0</v>
      </c>
      <c r="I919" t="n">
        <v>0</v>
      </c>
      <c r="J919" t="n">
        <v>0</v>
      </c>
      <c r="K919" t="n">
        <v>0</v>
      </c>
      <c r="L919" t="n">
        <v>0</v>
      </c>
      <c r="M919" t="n">
        <v>0</v>
      </c>
      <c r="N919" t="n">
        <v>0</v>
      </c>
      <c r="O919" t="n">
        <v>0</v>
      </c>
      <c r="P919" t="n">
        <v>0</v>
      </c>
      <c r="Q919" t="n">
        <v>0</v>
      </c>
      <c r="R919" s="2" t="inlineStr"/>
    </row>
    <row r="920" ht="15" customHeight="1">
      <c r="A920" t="inlineStr">
        <is>
          <t>A 48991-2025</t>
        </is>
      </c>
      <c r="B920" s="1" t="n">
        <v>45937.58141203703</v>
      </c>
      <c r="C920" s="1" t="n">
        <v>45976</v>
      </c>
      <c r="D920" t="inlineStr">
        <is>
          <t>VÄRMLANDS LÄN</t>
        </is>
      </c>
      <c r="E920" t="inlineStr">
        <is>
          <t>TORSBY</t>
        </is>
      </c>
      <c r="G920" t="n">
        <v>10.1</v>
      </c>
      <c r="H920" t="n">
        <v>0</v>
      </c>
      <c r="I920" t="n">
        <v>0</v>
      </c>
      <c r="J920" t="n">
        <v>0</v>
      </c>
      <c r="K920" t="n">
        <v>0</v>
      </c>
      <c r="L920" t="n">
        <v>0</v>
      </c>
      <c r="M920" t="n">
        <v>0</v>
      </c>
      <c r="N920" t="n">
        <v>0</v>
      </c>
      <c r="O920" t="n">
        <v>0</v>
      </c>
      <c r="P920" t="n">
        <v>0</v>
      </c>
      <c r="Q920" t="n">
        <v>0</v>
      </c>
      <c r="R920" s="2" t="inlineStr"/>
    </row>
    <row r="921" ht="15" customHeight="1">
      <c r="A921" t="inlineStr">
        <is>
          <t>A 24827-2025</t>
        </is>
      </c>
      <c r="B921" s="1" t="n">
        <v>45799</v>
      </c>
      <c r="C921" s="1" t="n">
        <v>45976</v>
      </c>
      <c r="D921" t="inlineStr">
        <is>
          <t>VÄRMLANDS LÄN</t>
        </is>
      </c>
      <c r="E921" t="inlineStr">
        <is>
          <t>TORSBY</t>
        </is>
      </c>
      <c r="G921" t="n">
        <v>27.5</v>
      </c>
      <c r="H921" t="n">
        <v>0</v>
      </c>
      <c r="I921" t="n">
        <v>0</v>
      </c>
      <c r="J921" t="n">
        <v>0</v>
      </c>
      <c r="K921" t="n">
        <v>0</v>
      </c>
      <c r="L921" t="n">
        <v>0</v>
      </c>
      <c r="M921" t="n">
        <v>0</v>
      </c>
      <c r="N921" t="n">
        <v>0</v>
      </c>
      <c r="O921" t="n">
        <v>0</v>
      </c>
      <c r="P921" t="n">
        <v>0</v>
      </c>
      <c r="Q921" t="n">
        <v>0</v>
      </c>
      <c r="R921" s="2" t="inlineStr"/>
    </row>
    <row r="922" ht="15" customHeight="1">
      <c r="A922" t="inlineStr">
        <is>
          <t>A 51505-2021</t>
        </is>
      </c>
      <c r="B922" s="1" t="n">
        <v>44460</v>
      </c>
      <c r="C922" s="1" t="n">
        <v>45976</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56902-2023</t>
        </is>
      </c>
      <c r="B923" s="1" t="n">
        <v>45244</v>
      </c>
      <c r="C923" s="1" t="n">
        <v>45976</v>
      </c>
      <c r="D923" t="inlineStr">
        <is>
          <t>VÄRMLANDS LÄN</t>
        </is>
      </c>
      <c r="E923" t="inlineStr">
        <is>
          <t>TORSBY</t>
        </is>
      </c>
      <c r="G923" t="n">
        <v>17.4</v>
      </c>
      <c r="H923" t="n">
        <v>0</v>
      </c>
      <c r="I923" t="n">
        <v>0</v>
      </c>
      <c r="J923" t="n">
        <v>0</v>
      </c>
      <c r="K923" t="n">
        <v>0</v>
      </c>
      <c r="L923" t="n">
        <v>0</v>
      </c>
      <c r="M923" t="n">
        <v>0</v>
      </c>
      <c r="N923" t="n">
        <v>0</v>
      </c>
      <c r="O923" t="n">
        <v>0</v>
      </c>
      <c r="P923" t="n">
        <v>0</v>
      </c>
      <c r="Q923" t="n">
        <v>0</v>
      </c>
      <c r="R923" s="2" t="inlineStr"/>
    </row>
    <row r="924" ht="15" customHeight="1">
      <c r="A924" t="inlineStr">
        <is>
          <t>A 17941-2021</t>
        </is>
      </c>
      <c r="B924" s="1" t="n">
        <v>44301</v>
      </c>
      <c r="C924" s="1" t="n">
        <v>45976</v>
      </c>
      <c r="D924" t="inlineStr">
        <is>
          <t>VÄRMLANDS LÄN</t>
        </is>
      </c>
      <c r="E924" t="inlineStr">
        <is>
          <t>TORSBY</t>
        </is>
      </c>
      <c r="F924" t="inlineStr">
        <is>
          <t>Kommuner</t>
        </is>
      </c>
      <c r="G924" t="n">
        <v>8</v>
      </c>
      <c r="H924" t="n">
        <v>0</v>
      </c>
      <c r="I924" t="n">
        <v>0</v>
      </c>
      <c r="J924" t="n">
        <v>0</v>
      </c>
      <c r="K924" t="n">
        <v>0</v>
      </c>
      <c r="L924" t="n">
        <v>0</v>
      </c>
      <c r="M924" t="n">
        <v>0</v>
      </c>
      <c r="N924" t="n">
        <v>0</v>
      </c>
      <c r="O924" t="n">
        <v>0</v>
      </c>
      <c r="P924" t="n">
        <v>0</v>
      </c>
      <c r="Q924" t="n">
        <v>0</v>
      </c>
      <c r="R924" s="2" t="inlineStr"/>
    </row>
    <row r="925" ht="15" customHeight="1">
      <c r="A925" t="inlineStr">
        <is>
          <t>A 12670-2023</t>
        </is>
      </c>
      <c r="B925" s="1" t="n">
        <v>45000.58043981482</v>
      </c>
      <c r="C925" s="1" t="n">
        <v>45976</v>
      </c>
      <c r="D925" t="inlineStr">
        <is>
          <t>VÄRMLANDS LÄN</t>
        </is>
      </c>
      <c r="E925" t="inlineStr">
        <is>
          <t>TORSBY</t>
        </is>
      </c>
      <c r="G925" t="n">
        <v>3.7</v>
      </c>
      <c r="H925" t="n">
        <v>0</v>
      </c>
      <c r="I925" t="n">
        <v>0</v>
      </c>
      <c r="J925" t="n">
        <v>0</v>
      </c>
      <c r="K925" t="n">
        <v>0</v>
      </c>
      <c r="L925" t="n">
        <v>0</v>
      </c>
      <c r="M925" t="n">
        <v>0</v>
      </c>
      <c r="N925" t="n">
        <v>0</v>
      </c>
      <c r="O925" t="n">
        <v>0</v>
      </c>
      <c r="P925" t="n">
        <v>0</v>
      </c>
      <c r="Q925" t="n">
        <v>0</v>
      </c>
      <c r="R925" s="2" t="inlineStr"/>
    </row>
    <row r="926" ht="15" customHeight="1">
      <c r="A926" t="inlineStr">
        <is>
          <t>A 43529-2023</t>
        </is>
      </c>
      <c r="B926" s="1" t="n">
        <v>45181</v>
      </c>
      <c r="C926" s="1" t="n">
        <v>45976</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16192-2025</t>
        </is>
      </c>
      <c r="B927" s="1" t="n">
        <v>45750.59760416667</v>
      </c>
      <c r="C927" s="1" t="n">
        <v>45976</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54204-2023</t>
        </is>
      </c>
      <c r="B928" s="1" t="n">
        <v>45232.56141203704</v>
      </c>
      <c r="C928" s="1" t="n">
        <v>45976</v>
      </c>
      <c r="D928" t="inlineStr">
        <is>
          <t>VÄRMLANDS LÄN</t>
        </is>
      </c>
      <c r="E928" t="inlineStr">
        <is>
          <t>TORSBY</t>
        </is>
      </c>
      <c r="F928" t="inlineStr">
        <is>
          <t>Bergvik skog väst AB</t>
        </is>
      </c>
      <c r="G928" t="n">
        <v>15</v>
      </c>
      <c r="H928" t="n">
        <v>0</v>
      </c>
      <c r="I928" t="n">
        <v>0</v>
      </c>
      <c r="J928" t="n">
        <v>0</v>
      </c>
      <c r="K928" t="n">
        <v>0</v>
      </c>
      <c r="L928" t="n">
        <v>0</v>
      </c>
      <c r="M928" t="n">
        <v>0</v>
      </c>
      <c r="N928" t="n">
        <v>0</v>
      </c>
      <c r="O928" t="n">
        <v>0</v>
      </c>
      <c r="P928" t="n">
        <v>0</v>
      </c>
      <c r="Q928" t="n">
        <v>0</v>
      </c>
      <c r="R928" s="2" t="inlineStr"/>
    </row>
    <row r="929" ht="15" customHeight="1">
      <c r="A929" t="inlineStr">
        <is>
          <t>A 15660-2025</t>
        </is>
      </c>
      <c r="B929" s="1" t="n">
        <v>45748</v>
      </c>
      <c r="C929" s="1" t="n">
        <v>45976</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10473-2023</t>
        </is>
      </c>
      <c r="B930" s="1" t="n">
        <v>44981</v>
      </c>
      <c r="C930" s="1" t="n">
        <v>45976</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18365-2025</t>
        </is>
      </c>
      <c r="B931" s="1" t="n">
        <v>45762</v>
      </c>
      <c r="C931" s="1" t="n">
        <v>45976</v>
      </c>
      <c r="D931" t="inlineStr">
        <is>
          <t>VÄRMLANDS LÄN</t>
        </is>
      </c>
      <c r="E931" t="inlineStr">
        <is>
          <t>TORSBY</t>
        </is>
      </c>
      <c r="G931" t="n">
        <v>3.9</v>
      </c>
      <c r="H931" t="n">
        <v>0</v>
      </c>
      <c r="I931" t="n">
        <v>0</v>
      </c>
      <c r="J931" t="n">
        <v>0</v>
      </c>
      <c r="K931" t="n">
        <v>0</v>
      </c>
      <c r="L931" t="n">
        <v>0</v>
      </c>
      <c r="M931" t="n">
        <v>0</v>
      </c>
      <c r="N931" t="n">
        <v>0</v>
      </c>
      <c r="O931" t="n">
        <v>0</v>
      </c>
      <c r="P931" t="n">
        <v>0</v>
      </c>
      <c r="Q931" t="n">
        <v>0</v>
      </c>
      <c r="R931" s="2" t="inlineStr"/>
    </row>
    <row r="932" ht="15" customHeight="1">
      <c r="A932" t="inlineStr">
        <is>
          <t>A 62445-2023</t>
        </is>
      </c>
      <c r="B932" s="1" t="n">
        <v>45268.47487268518</v>
      </c>
      <c r="C932" s="1" t="n">
        <v>45976</v>
      </c>
      <c r="D932" t="inlineStr">
        <is>
          <t>VÄRMLANDS LÄN</t>
        </is>
      </c>
      <c r="E932" t="inlineStr">
        <is>
          <t>TORSBY</t>
        </is>
      </c>
      <c r="G932" t="n">
        <v>2.2</v>
      </c>
      <c r="H932" t="n">
        <v>0</v>
      </c>
      <c r="I932" t="n">
        <v>0</v>
      </c>
      <c r="J932" t="n">
        <v>0</v>
      </c>
      <c r="K932" t="n">
        <v>0</v>
      </c>
      <c r="L932" t="n">
        <v>0</v>
      </c>
      <c r="M932" t="n">
        <v>0</v>
      </c>
      <c r="N932" t="n">
        <v>0</v>
      </c>
      <c r="O932" t="n">
        <v>0</v>
      </c>
      <c r="P932" t="n">
        <v>0</v>
      </c>
      <c r="Q932" t="n">
        <v>0</v>
      </c>
      <c r="R932" s="2" t="inlineStr"/>
    </row>
    <row r="933" ht="15" customHeight="1">
      <c r="A933" t="inlineStr">
        <is>
          <t>A 485-2025</t>
        </is>
      </c>
      <c r="B933" s="1" t="n">
        <v>45664</v>
      </c>
      <c r="C933" s="1" t="n">
        <v>45976</v>
      </c>
      <c r="D933" t="inlineStr">
        <is>
          <t>VÄRMLANDS LÄN</t>
        </is>
      </c>
      <c r="E933" t="inlineStr">
        <is>
          <t>TORSBY</t>
        </is>
      </c>
      <c r="G933" t="n">
        <v>2.5</v>
      </c>
      <c r="H933" t="n">
        <v>0</v>
      </c>
      <c r="I933" t="n">
        <v>0</v>
      </c>
      <c r="J933" t="n">
        <v>0</v>
      </c>
      <c r="K933" t="n">
        <v>0</v>
      </c>
      <c r="L933" t="n">
        <v>0</v>
      </c>
      <c r="M933" t="n">
        <v>0</v>
      </c>
      <c r="N933" t="n">
        <v>0</v>
      </c>
      <c r="O933" t="n">
        <v>0</v>
      </c>
      <c r="P933" t="n">
        <v>0</v>
      </c>
      <c r="Q933" t="n">
        <v>0</v>
      </c>
      <c r="R933" s="2" t="inlineStr"/>
    </row>
    <row r="934" ht="15" customHeight="1">
      <c r="A934" t="inlineStr">
        <is>
          <t>A 2803-2025</t>
        </is>
      </c>
      <c r="B934" s="1" t="n">
        <v>45677</v>
      </c>
      <c r="C934" s="1" t="n">
        <v>45976</v>
      </c>
      <c r="D934" t="inlineStr">
        <is>
          <t>VÄRMLANDS LÄN</t>
        </is>
      </c>
      <c r="E934" t="inlineStr">
        <is>
          <t>TORSBY</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2807-2025</t>
        </is>
      </c>
      <c r="B935" s="1" t="n">
        <v>45677</v>
      </c>
      <c r="C935" s="1" t="n">
        <v>45976</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3442-2025</t>
        </is>
      </c>
      <c r="B936" s="1" t="n">
        <v>45680.45114583334</v>
      </c>
      <c r="C936" s="1" t="n">
        <v>45976</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20737-2023</t>
        </is>
      </c>
      <c r="B937" s="1" t="n">
        <v>45058</v>
      </c>
      <c r="C937" s="1" t="n">
        <v>45976</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62210-2023</t>
        </is>
      </c>
      <c r="B938" s="1" t="n">
        <v>45267.49430555556</v>
      </c>
      <c r="C938" s="1" t="n">
        <v>45976</v>
      </c>
      <c r="D938" t="inlineStr">
        <is>
          <t>VÄRMLANDS LÄN</t>
        </is>
      </c>
      <c r="E938" t="inlineStr">
        <is>
          <t>TORSBY</t>
        </is>
      </c>
      <c r="G938" t="n">
        <v>3</v>
      </c>
      <c r="H938" t="n">
        <v>0</v>
      </c>
      <c r="I938" t="n">
        <v>0</v>
      </c>
      <c r="J938" t="n">
        <v>0</v>
      </c>
      <c r="K938" t="n">
        <v>0</v>
      </c>
      <c r="L938" t="n">
        <v>0</v>
      </c>
      <c r="M938" t="n">
        <v>0</v>
      </c>
      <c r="N938" t="n">
        <v>0</v>
      </c>
      <c r="O938" t="n">
        <v>0</v>
      </c>
      <c r="P938" t="n">
        <v>0</v>
      </c>
      <c r="Q938" t="n">
        <v>0</v>
      </c>
      <c r="R938" s="2" t="inlineStr"/>
    </row>
    <row r="939" ht="15" customHeight="1">
      <c r="A939" t="inlineStr">
        <is>
          <t>A 62250-2023</t>
        </is>
      </c>
      <c r="B939" s="1" t="n">
        <v>45266</v>
      </c>
      <c r="C939" s="1" t="n">
        <v>45976</v>
      </c>
      <c r="D939" t="inlineStr">
        <is>
          <t>VÄRMLANDS LÄN</t>
        </is>
      </c>
      <c r="E939" t="inlineStr">
        <is>
          <t>TORSBY</t>
        </is>
      </c>
      <c r="G939" t="n">
        <v>4.7</v>
      </c>
      <c r="H939" t="n">
        <v>0</v>
      </c>
      <c r="I939" t="n">
        <v>0</v>
      </c>
      <c r="J939" t="n">
        <v>0</v>
      </c>
      <c r="K939" t="n">
        <v>0</v>
      </c>
      <c r="L939" t="n">
        <v>0</v>
      </c>
      <c r="M939" t="n">
        <v>0</v>
      </c>
      <c r="N939" t="n">
        <v>0</v>
      </c>
      <c r="O939" t="n">
        <v>0</v>
      </c>
      <c r="P939" t="n">
        <v>0</v>
      </c>
      <c r="Q939" t="n">
        <v>0</v>
      </c>
      <c r="R939" s="2" t="inlineStr"/>
    </row>
    <row r="940" ht="15" customHeight="1">
      <c r="A940" t="inlineStr">
        <is>
          <t>A 38486-2022</t>
        </is>
      </c>
      <c r="B940" s="1" t="n">
        <v>44813</v>
      </c>
      <c r="C940" s="1" t="n">
        <v>45976</v>
      </c>
      <c r="D940" t="inlineStr">
        <is>
          <t>VÄRMLANDS LÄN</t>
        </is>
      </c>
      <c r="E940" t="inlineStr">
        <is>
          <t>TORSBY</t>
        </is>
      </c>
      <c r="F940" t="inlineStr">
        <is>
          <t>Bergvik skog väst AB</t>
        </is>
      </c>
      <c r="G940" t="n">
        <v>9.6</v>
      </c>
      <c r="H940" t="n">
        <v>0</v>
      </c>
      <c r="I940" t="n">
        <v>0</v>
      </c>
      <c r="J940" t="n">
        <v>0</v>
      </c>
      <c r="K940" t="n">
        <v>0</v>
      </c>
      <c r="L940" t="n">
        <v>0</v>
      </c>
      <c r="M940" t="n">
        <v>0</v>
      </c>
      <c r="N940" t="n">
        <v>0</v>
      </c>
      <c r="O940" t="n">
        <v>0</v>
      </c>
      <c r="P940" t="n">
        <v>0</v>
      </c>
      <c r="Q940" t="n">
        <v>0</v>
      </c>
      <c r="R940" s="2" t="inlineStr"/>
    </row>
    <row r="941" ht="15" customHeight="1">
      <c r="A941" t="inlineStr">
        <is>
          <t>A 18105-2022</t>
        </is>
      </c>
      <c r="B941" s="1" t="n">
        <v>44684</v>
      </c>
      <c r="C941" s="1" t="n">
        <v>45976</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43943-2022</t>
        </is>
      </c>
      <c r="B942" s="1" t="n">
        <v>44838</v>
      </c>
      <c r="C942" s="1" t="n">
        <v>45976</v>
      </c>
      <c r="D942" t="inlineStr">
        <is>
          <t>VÄRMLANDS LÄN</t>
        </is>
      </c>
      <c r="E942" t="inlineStr">
        <is>
          <t>TORSBY</t>
        </is>
      </c>
      <c r="G942" t="n">
        <v>3.6</v>
      </c>
      <c r="H942" t="n">
        <v>0</v>
      </c>
      <c r="I942" t="n">
        <v>0</v>
      </c>
      <c r="J942" t="n">
        <v>0</v>
      </c>
      <c r="K942" t="n">
        <v>0</v>
      </c>
      <c r="L942" t="n">
        <v>0</v>
      </c>
      <c r="M942" t="n">
        <v>0</v>
      </c>
      <c r="N942" t="n">
        <v>0</v>
      </c>
      <c r="O942" t="n">
        <v>0</v>
      </c>
      <c r="P942" t="n">
        <v>0</v>
      </c>
      <c r="Q942" t="n">
        <v>0</v>
      </c>
      <c r="R942" s="2" t="inlineStr"/>
    </row>
    <row r="943" ht="15" customHeight="1">
      <c r="A943" t="inlineStr">
        <is>
          <t>A 28035-2024</t>
        </is>
      </c>
      <c r="B943" s="1" t="n">
        <v>45476</v>
      </c>
      <c r="C943" s="1" t="n">
        <v>45976</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8428-2025</t>
        </is>
      </c>
      <c r="B944" s="1" t="n">
        <v>45709.41995370371</v>
      </c>
      <c r="C944" s="1" t="n">
        <v>45976</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31351-2024</t>
        </is>
      </c>
      <c r="B945" s="1" t="n">
        <v>45505</v>
      </c>
      <c r="C945" s="1" t="n">
        <v>45976</v>
      </c>
      <c r="D945" t="inlineStr">
        <is>
          <t>VÄRMLANDS LÄN</t>
        </is>
      </c>
      <c r="E945" t="inlineStr">
        <is>
          <t>TORSBY</t>
        </is>
      </c>
      <c r="F945" t="inlineStr">
        <is>
          <t>Kyrkan</t>
        </is>
      </c>
      <c r="G945" t="n">
        <v>6.5</v>
      </c>
      <c r="H945" t="n">
        <v>0</v>
      </c>
      <c r="I945" t="n">
        <v>0</v>
      </c>
      <c r="J945" t="n">
        <v>0</v>
      </c>
      <c r="K945" t="n">
        <v>0</v>
      </c>
      <c r="L945" t="n">
        <v>0</v>
      </c>
      <c r="M945" t="n">
        <v>0</v>
      </c>
      <c r="N945" t="n">
        <v>0</v>
      </c>
      <c r="O945" t="n">
        <v>0</v>
      </c>
      <c r="P945" t="n">
        <v>0</v>
      </c>
      <c r="Q945" t="n">
        <v>0</v>
      </c>
      <c r="R945" s="2" t="inlineStr"/>
    </row>
    <row r="946" ht="15" customHeight="1">
      <c r="A946" t="inlineStr">
        <is>
          <t>A 32332-2023</t>
        </is>
      </c>
      <c r="B946" s="1" t="n">
        <v>45110</v>
      </c>
      <c r="C946" s="1" t="n">
        <v>45976</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15052-2024</t>
        </is>
      </c>
      <c r="B947" s="1" t="n">
        <v>45399.52613425926</v>
      </c>
      <c r="C947" s="1" t="n">
        <v>45976</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19787-2025</t>
        </is>
      </c>
      <c r="B948" s="1" t="n">
        <v>45771.4408912037</v>
      </c>
      <c r="C948" s="1" t="n">
        <v>45976</v>
      </c>
      <c r="D948" t="inlineStr">
        <is>
          <t>VÄRMLANDS LÄN</t>
        </is>
      </c>
      <c r="E948" t="inlineStr">
        <is>
          <t>TORSBY</t>
        </is>
      </c>
      <c r="F948" t="inlineStr">
        <is>
          <t>Bergvik skog väst AB</t>
        </is>
      </c>
      <c r="G948" t="n">
        <v>1.3</v>
      </c>
      <c r="H948" t="n">
        <v>0</v>
      </c>
      <c r="I948" t="n">
        <v>0</v>
      </c>
      <c r="J948" t="n">
        <v>0</v>
      </c>
      <c r="K948" t="n">
        <v>0</v>
      </c>
      <c r="L948" t="n">
        <v>0</v>
      </c>
      <c r="M948" t="n">
        <v>0</v>
      </c>
      <c r="N948" t="n">
        <v>0</v>
      </c>
      <c r="O948" t="n">
        <v>0</v>
      </c>
      <c r="P948" t="n">
        <v>0</v>
      </c>
      <c r="Q948" t="n">
        <v>0</v>
      </c>
      <c r="R948" s="2" t="inlineStr"/>
    </row>
    <row r="949" ht="15" customHeight="1">
      <c r="A949" t="inlineStr">
        <is>
          <t>A 49298-2024</t>
        </is>
      </c>
      <c r="B949" s="1" t="n">
        <v>45595.54357638889</v>
      </c>
      <c r="C949" s="1" t="n">
        <v>45976</v>
      </c>
      <c r="D949" t="inlineStr">
        <is>
          <t>VÄRMLANDS LÄN</t>
        </is>
      </c>
      <c r="E949" t="inlineStr">
        <is>
          <t>TORSBY</t>
        </is>
      </c>
      <c r="G949" t="n">
        <v>3.9</v>
      </c>
      <c r="H949" t="n">
        <v>0</v>
      </c>
      <c r="I949" t="n">
        <v>0</v>
      </c>
      <c r="J949" t="n">
        <v>0</v>
      </c>
      <c r="K949" t="n">
        <v>0</v>
      </c>
      <c r="L949" t="n">
        <v>0</v>
      </c>
      <c r="M949" t="n">
        <v>0</v>
      </c>
      <c r="N949" t="n">
        <v>0</v>
      </c>
      <c r="O949" t="n">
        <v>0</v>
      </c>
      <c r="P949" t="n">
        <v>0</v>
      </c>
      <c r="Q949" t="n">
        <v>0</v>
      </c>
      <c r="R949" s="2" t="inlineStr"/>
    </row>
    <row r="950" ht="15" customHeight="1">
      <c r="A950" t="inlineStr">
        <is>
          <t>A 32496-2022</t>
        </is>
      </c>
      <c r="B950" s="1" t="n">
        <v>44782</v>
      </c>
      <c r="C950" s="1" t="n">
        <v>45976</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61510-2022</t>
        </is>
      </c>
      <c r="B951" s="1" t="n">
        <v>44916.49820601852</v>
      </c>
      <c r="C951" s="1" t="n">
        <v>45976</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1120-2023</t>
        </is>
      </c>
      <c r="B952" s="1" t="n">
        <v>44935</v>
      </c>
      <c r="C952" s="1" t="n">
        <v>45976</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40128-2025</t>
        </is>
      </c>
      <c r="B953" s="1" t="n">
        <v>45894</v>
      </c>
      <c r="C953" s="1" t="n">
        <v>45976</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1040-2024</t>
        </is>
      </c>
      <c r="B954" s="1" t="n">
        <v>45301</v>
      </c>
      <c r="C954" s="1" t="n">
        <v>45976</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48947-2025</t>
        </is>
      </c>
      <c r="B955" s="1" t="n">
        <v>45937.54157407407</v>
      </c>
      <c r="C955" s="1" t="n">
        <v>45976</v>
      </c>
      <c r="D955" t="inlineStr">
        <is>
          <t>VÄRMLANDS LÄN</t>
        </is>
      </c>
      <c r="E955" t="inlineStr">
        <is>
          <t>TORSBY</t>
        </is>
      </c>
      <c r="G955" t="n">
        <v>10.4</v>
      </c>
      <c r="H955" t="n">
        <v>0</v>
      </c>
      <c r="I955" t="n">
        <v>0</v>
      </c>
      <c r="J955" t="n">
        <v>0</v>
      </c>
      <c r="K955" t="n">
        <v>0</v>
      </c>
      <c r="L955" t="n">
        <v>0</v>
      </c>
      <c r="M955" t="n">
        <v>0</v>
      </c>
      <c r="N955" t="n">
        <v>0</v>
      </c>
      <c r="O955" t="n">
        <v>0</v>
      </c>
      <c r="P955" t="n">
        <v>0</v>
      </c>
      <c r="Q955" t="n">
        <v>0</v>
      </c>
      <c r="R955" s="2" t="inlineStr"/>
    </row>
    <row r="956" ht="15" customHeight="1">
      <c r="A956" t="inlineStr">
        <is>
          <t>A 11195-2025</t>
        </is>
      </c>
      <c r="B956" s="1" t="n">
        <v>45725.85177083333</v>
      </c>
      <c r="C956" s="1" t="n">
        <v>45976</v>
      </c>
      <c r="D956" t="inlineStr">
        <is>
          <t>VÄRMLANDS LÄN</t>
        </is>
      </c>
      <c r="E956" t="inlineStr">
        <is>
          <t>TORSBY</t>
        </is>
      </c>
      <c r="G956" t="n">
        <v>0.9</v>
      </c>
      <c r="H956" t="n">
        <v>0</v>
      </c>
      <c r="I956" t="n">
        <v>0</v>
      </c>
      <c r="J956" t="n">
        <v>0</v>
      </c>
      <c r="K956" t="n">
        <v>0</v>
      </c>
      <c r="L956" t="n">
        <v>0</v>
      </c>
      <c r="M956" t="n">
        <v>0</v>
      </c>
      <c r="N956" t="n">
        <v>0</v>
      </c>
      <c r="O956" t="n">
        <v>0</v>
      </c>
      <c r="P956" t="n">
        <v>0</v>
      </c>
      <c r="Q956" t="n">
        <v>0</v>
      </c>
      <c r="R956" s="2" t="inlineStr"/>
    </row>
    <row r="957" ht="15" customHeight="1">
      <c r="A957" t="inlineStr">
        <is>
          <t>A 56170-2023</t>
        </is>
      </c>
      <c r="B957" s="1" t="n">
        <v>45240.62975694444</v>
      </c>
      <c r="C957" s="1" t="n">
        <v>45976</v>
      </c>
      <c r="D957" t="inlineStr">
        <is>
          <t>VÄRMLANDS LÄN</t>
        </is>
      </c>
      <c r="E957" t="inlineStr">
        <is>
          <t>TORSBY</t>
        </is>
      </c>
      <c r="G957" t="n">
        <v>3.8</v>
      </c>
      <c r="H957" t="n">
        <v>0</v>
      </c>
      <c r="I957" t="n">
        <v>0</v>
      </c>
      <c r="J957" t="n">
        <v>0</v>
      </c>
      <c r="K957" t="n">
        <v>0</v>
      </c>
      <c r="L957" t="n">
        <v>0</v>
      </c>
      <c r="M957" t="n">
        <v>0</v>
      </c>
      <c r="N957" t="n">
        <v>0</v>
      </c>
      <c r="O957" t="n">
        <v>0</v>
      </c>
      <c r="P957" t="n">
        <v>0</v>
      </c>
      <c r="Q957" t="n">
        <v>0</v>
      </c>
      <c r="R957" s="2" t="inlineStr"/>
    </row>
    <row r="958" ht="15" customHeight="1">
      <c r="A958" t="inlineStr">
        <is>
          <t>A 29908-2022</t>
        </is>
      </c>
      <c r="B958" s="1" t="n">
        <v>44756</v>
      </c>
      <c r="C958" s="1" t="n">
        <v>45976</v>
      </c>
      <c r="D958" t="inlineStr">
        <is>
          <t>VÄRMLANDS LÄN</t>
        </is>
      </c>
      <c r="E958" t="inlineStr">
        <is>
          <t>TORSBY</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9578-2023</t>
        </is>
      </c>
      <c r="B959" s="1" t="n">
        <v>44982.69790509259</v>
      </c>
      <c r="C959" s="1" t="n">
        <v>45976</v>
      </c>
      <c r="D959" t="inlineStr">
        <is>
          <t>VÄRMLANDS LÄN</t>
        </is>
      </c>
      <c r="E959" t="inlineStr">
        <is>
          <t>TORSBY</t>
        </is>
      </c>
      <c r="G959" t="n">
        <v>5.7</v>
      </c>
      <c r="H959" t="n">
        <v>0</v>
      </c>
      <c r="I959" t="n">
        <v>0</v>
      </c>
      <c r="J959" t="n">
        <v>0</v>
      </c>
      <c r="K959" t="n">
        <v>0</v>
      </c>
      <c r="L959" t="n">
        <v>0</v>
      </c>
      <c r="M959" t="n">
        <v>0</v>
      </c>
      <c r="N959" t="n">
        <v>0</v>
      </c>
      <c r="O959" t="n">
        <v>0</v>
      </c>
      <c r="P959" t="n">
        <v>0</v>
      </c>
      <c r="Q959" t="n">
        <v>0</v>
      </c>
      <c r="R959" s="2" t="inlineStr"/>
    </row>
    <row r="960" ht="15" customHeight="1">
      <c r="A960" t="inlineStr">
        <is>
          <t>A 40729-2025</t>
        </is>
      </c>
      <c r="B960" s="1" t="n">
        <v>45897.35421296296</v>
      </c>
      <c r="C960" s="1" t="n">
        <v>45976</v>
      </c>
      <c r="D960" t="inlineStr">
        <is>
          <t>VÄRMLANDS LÄN</t>
        </is>
      </c>
      <c r="E960" t="inlineStr">
        <is>
          <t>TORSBY</t>
        </is>
      </c>
      <c r="F960" t="inlineStr">
        <is>
          <t>Bergvik skog väst AB</t>
        </is>
      </c>
      <c r="G960" t="n">
        <v>25.4</v>
      </c>
      <c r="H960" t="n">
        <v>0</v>
      </c>
      <c r="I960" t="n">
        <v>0</v>
      </c>
      <c r="J960" t="n">
        <v>0</v>
      </c>
      <c r="K960" t="n">
        <v>0</v>
      </c>
      <c r="L960" t="n">
        <v>0</v>
      </c>
      <c r="M960" t="n">
        <v>0</v>
      </c>
      <c r="N960" t="n">
        <v>0</v>
      </c>
      <c r="O960" t="n">
        <v>0</v>
      </c>
      <c r="P960" t="n">
        <v>0</v>
      </c>
      <c r="Q960" t="n">
        <v>0</v>
      </c>
      <c r="R960" s="2" t="inlineStr"/>
    </row>
    <row r="961" ht="15" customHeight="1">
      <c r="A961" t="inlineStr">
        <is>
          <t>A 47241-2023</t>
        </is>
      </c>
      <c r="B961" s="1" t="n">
        <v>45202.39821759259</v>
      </c>
      <c r="C961" s="1" t="n">
        <v>45976</v>
      </c>
      <c r="D961" t="inlineStr">
        <is>
          <t>VÄRMLANDS LÄN</t>
        </is>
      </c>
      <c r="E961" t="inlineStr">
        <is>
          <t>TORSBY</t>
        </is>
      </c>
      <c r="G961" t="n">
        <v>1.7</v>
      </c>
      <c r="H961" t="n">
        <v>0</v>
      </c>
      <c r="I961" t="n">
        <v>0</v>
      </c>
      <c r="J961" t="n">
        <v>0</v>
      </c>
      <c r="K961" t="n">
        <v>0</v>
      </c>
      <c r="L961" t="n">
        <v>0</v>
      </c>
      <c r="M961" t="n">
        <v>0</v>
      </c>
      <c r="N961" t="n">
        <v>0</v>
      </c>
      <c r="O961" t="n">
        <v>0</v>
      </c>
      <c r="P961" t="n">
        <v>0</v>
      </c>
      <c r="Q961" t="n">
        <v>0</v>
      </c>
      <c r="R961" s="2" t="inlineStr"/>
    </row>
    <row r="962" ht="15" customHeight="1">
      <c r="A962" t="inlineStr">
        <is>
          <t>A 34105-2023</t>
        </is>
      </c>
      <c r="B962" s="1" t="n">
        <v>45126</v>
      </c>
      <c r="C962" s="1" t="n">
        <v>45976</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55811-2021</t>
        </is>
      </c>
      <c r="B963" s="1" t="n">
        <v>44476</v>
      </c>
      <c r="C963" s="1" t="n">
        <v>45976</v>
      </c>
      <c r="D963" t="inlineStr">
        <is>
          <t>VÄRMLANDS LÄN</t>
        </is>
      </c>
      <c r="E963" t="inlineStr">
        <is>
          <t>TORSBY</t>
        </is>
      </c>
      <c r="G963" t="n">
        <v>3.7</v>
      </c>
      <c r="H963" t="n">
        <v>0</v>
      </c>
      <c r="I963" t="n">
        <v>0</v>
      </c>
      <c r="J963" t="n">
        <v>0</v>
      </c>
      <c r="K963" t="n">
        <v>0</v>
      </c>
      <c r="L963" t="n">
        <v>0</v>
      </c>
      <c r="M963" t="n">
        <v>0</v>
      </c>
      <c r="N963" t="n">
        <v>0</v>
      </c>
      <c r="O963" t="n">
        <v>0</v>
      </c>
      <c r="P963" t="n">
        <v>0</v>
      </c>
      <c r="Q963" t="n">
        <v>0</v>
      </c>
      <c r="R963" s="2" t="inlineStr"/>
    </row>
    <row r="964" ht="15" customHeight="1">
      <c r="A964" t="inlineStr">
        <is>
          <t>A 14303-2023</t>
        </is>
      </c>
      <c r="B964" s="1" t="n">
        <v>45011.75886574074</v>
      </c>
      <c r="C964" s="1" t="n">
        <v>45976</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21828-2024</t>
        </is>
      </c>
      <c r="B965" s="1" t="n">
        <v>45442</v>
      </c>
      <c r="C965" s="1" t="n">
        <v>45976</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28598-2023</t>
        </is>
      </c>
      <c r="B966" s="1" t="n">
        <v>45103.57421296297</v>
      </c>
      <c r="C966" s="1" t="n">
        <v>45976</v>
      </c>
      <c r="D966" t="inlineStr">
        <is>
          <t>VÄRMLANDS LÄN</t>
        </is>
      </c>
      <c r="E966" t="inlineStr">
        <is>
          <t>TORSBY</t>
        </is>
      </c>
      <c r="G966" t="n">
        <v>1.9</v>
      </c>
      <c r="H966" t="n">
        <v>0</v>
      </c>
      <c r="I966" t="n">
        <v>0</v>
      </c>
      <c r="J966" t="n">
        <v>0</v>
      </c>
      <c r="K966" t="n">
        <v>0</v>
      </c>
      <c r="L966" t="n">
        <v>0</v>
      </c>
      <c r="M966" t="n">
        <v>0</v>
      </c>
      <c r="N966" t="n">
        <v>0</v>
      </c>
      <c r="O966" t="n">
        <v>0</v>
      </c>
      <c r="P966" t="n">
        <v>0</v>
      </c>
      <c r="Q966" t="n">
        <v>0</v>
      </c>
      <c r="R966" s="2" t="inlineStr"/>
    </row>
    <row r="967" ht="15" customHeight="1">
      <c r="A967" t="inlineStr">
        <is>
          <t>A 49344-2025</t>
        </is>
      </c>
      <c r="B967" s="1" t="n">
        <v>45938.60028935185</v>
      </c>
      <c r="C967" s="1" t="n">
        <v>45976</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49622-2025</t>
        </is>
      </c>
      <c r="B968" s="1" t="n">
        <v>45939</v>
      </c>
      <c r="C968" s="1" t="n">
        <v>45976</v>
      </c>
      <c r="D968" t="inlineStr">
        <is>
          <t>VÄRMLANDS LÄN</t>
        </is>
      </c>
      <c r="E968" t="inlineStr">
        <is>
          <t>TORSBY</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38184-2024</t>
        </is>
      </c>
      <c r="B969" s="1" t="n">
        <v>45545</v>
      </c>
      <c r="C969" s="1" t="n">
        <v>45976</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18330-2024</t>
        </is>
      </c>
      <c r="B970" s="1" t="n">
        <v>45422</v>
      </c>
      <c r="C970" s="1" t="n">
        <v>45976</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37913-2022</t>
        </is>
      </c>
      <c r="B971" s="1" t="n">
        <v>44811</v>
      </c>
      <c r="C971" s="1" t="n">
        <v>45976</v>
      </c>
      <c r="D971" t="inlineStr">
        <is>
          <t>VÄRMLANDS LÄN</t>
        </is>
      </c>
      <c r="E971" t="inlineStr">
        <is>
          <t>TORSBY</t>
        </is>
      </c>
      <c r="G971" t="n">
        <v>3.7</v>
      </c>
      <c r="H971" t="n">
        <v>0</v>
      </c>
      <c r="I971" t="n">
        <v>0</v>
      </c>
      <c r="J971" t="n">
        <v>0</v>
      </c>
      <c r="K971" t="n">
        <v>0</v>
      </c>
      <c r="L971" t="n">
        <v>0</v>
      </c>
      <c r="M971" t="n">
        <v>0</v>
      </c>
      <c r="N971" t="n">
        <v>0</v>
      </c>
      <c r="O971" t="n">
        <v>0</v>
      </c>
      <c r="P971" t="n">
        <v>0</v>
      </c>
      <c r="Q971" t="n">
        <v>0</v>
      </c>
      <c r="R971" s="2" t="inlineStr"/>
    </row>
    <row r="972" ht="15" customHeight="1">
      <c r="A972" t="inlineStr">
        <is>
          <t>A 57980-2023</t>
        </is>
      </c>
      <c r="B972" s="1" t="n">
        <v>45247.59328703704</v>
      </c>
      <c r="C972" s="1" t="n">
        <v>45976</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25090-2023</t>
        </is>
      </c>
      <c r="B973" s="1" t="n">
        <v>45086</v>
      </c>
      <c r="C973" s="1" t="n">
        <v>45976</v>
      </c>
      <c r="D973" t="inlineStr">
        <is>
          <t>VÄRMLANDS LÄN</t>
        </is>
      </c>
      <c r="E973" t="inlineStr">
        <is>
          <t>TORSBY</t>
        </is>
      </c>
      <c r="F973" t="inlineStr">
        <is>
          <t>Bergvik skog väst AB</t>
        </is>
      </c>
      <c r="G973" t="n">
        <v>8.1</v>
      </c>
      <c r="H973" t="n">
        <v>0</v>
      </c>
      <c r="I973" t="n">
        <v>0</v>
      </c>
      <c r="J973" t="n">
        <v>0</v>
      </c>
      <c r="K973" t="n">
        <v>0</v>
      </c>
      <c r="L973" t="n">
        <v>0</v>
      </c>
      <c r="M973" t="n">
        <v>0</v>
      </c>
      <c r="N973" t="n">
        <v>0</v>
      </c>
      <c r="O973" t="n">
        <v>0</v>
      </c>
      <c r="P973" t="n">
        <v>0</v>
      </c>
      <c r="Q973" t="n">
        <v>0</v>
      </c>
      <c r="R973" s="2" t="inlineStr"/>
    </row>
    <row r="974" ht="15" customHeight="1">
      <c r="A974" t="inlineStr">
        <is>
          <t>A 15169-2025</t>
        </is>
      </c>
      <c r="B974" s="1" t="n">
        <v>45744</v>
      </c>
      <c r="C974" s="1" t="n">
        <v>45976</v>
      </c>
      <c r="D974" t="inlineStr">
        <is>
          <t>VÄRMLANDS LÄN</t>
        </is>
      </c>
      <c r="E974" t="inlineStr">
        <is>
          <t>TORSBY</t>
        </is>
      </c>
      <c r="G974" t="n">
        <v>3.5</v>
      </c>
      <c r="H974" t="n">
        <v>0</v>
      </c>
      <c r="I974" t="n">
        <v>0</v>
      </c>
      <c r="J974" t="n">
        <v>0</v>
      </c>
      <c r="K974" t="n">
        <v>0</v>
      </c>
      <c r="L974" t="n">
        <v>0</v>
      </c>
      <c r="M974" t="n">
        <v>0</v>
      </c>
      <c r="N974" t="n">
        <v>0</v>
      </c>
      <c r="O974" t="n">
        <v>0</v>
      </c>
      <c r="P974" t="n">
        <v>0</v>
      </c>
      <c r="Q974" t="n">
        <v>0</v>
      </c>
      <c r="R974" s="2" t="inlineStr"/>
    </row>
    <row r="975" ht="15" customHeight="1">
      <c r="A975" t="inlineStr">
        <is>
          <t>A 17153-2025</t>
        </is>
      </c>
      <c r="B975" s="1" t="n">
        <v>45756</v>
      </c>
      <c r="C975" s="1" t="n">
        <v>45976</v>
      </c>
      <c r="D975" t="inlineStr">
        <is>
          <t>VÄRMLANDS LÄN</t>
        </is>
      </c>
      <c r="E975" t="inlineStr">
        <is>
          <t>TORSBY</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49272-2025</t>
        </is>
      </c>
      <c r="B976" s="1" t="n">
        <v>45938.50574074074</v>
      </c>
      <c r="C976" s="1" t="n">
        <v>45976</v>
      </c>
      <c r="D976" t="inlineStr">
        <is>
          <t>VÄRMLANDS LÄN</t>
        </is>
      </c>
      <c r="E976" t="inlineStr">
        <is>
          <t>TORSBY</t>
        </is>
      </c>
      <c r="G976" t="n">
        <v>0.2</v>
      </c>
      <c r="H976" t="n">
        <v>0</v>
      </c>
      <c r="I976" t="n">
        <v>0</v>
      </c>
      <c r="J976" t="n">
        <v>0</v>
      </c>
      <c r="K976" t="n">
        <v>0</v>
      </c>
      <c r="L976" t="n">
        <v>0</v>
      </c>
      <c r="M976" t="n">
        <v>0</v>
      </c>
      <c r="N976" t="n">
        <v>0</v>
      </c>
      <c r="O976" t="n">
        <v>0</v>
      </c>
      <c r="P976" t="n">
        <v>0</v>
      </c>
      <c r="Q976" t="n">
        <v>0</v>
      </c>
      <c r="R976" s="2" t="inlineStr"/>
    </row>
    <row r="977" ht="15" customHeight="1">
      <c r="A977" t="inlineStr">
        <is>
          <t>A 15315-2024</t>
        </is>
      </c>
      <c r="B977" s="1" t="n">
        <v>45400</v>
      </c>
      <c r="C977" s="1" t="n">
        <v>45976</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15885-2025</t>
        </is>
      </c>
      <c r="B978" s="1" t="n">
        <v>45749</v>
      </c>
      <c r="C978" s="1" t="n">
        <v>45976</v>
      </c>
      <c r="D978" t="inlineStr">
        <is>
          <t>VÄRMLANDS LÄN</t>
        </is>
      </c>
      <c r="E978" t="inlineStr">
        <is>
          <t>TORSBY</t>
        </is>
      </c>
      <c r="G978" t="n">
        <v>9.9</v>
      </c>
      <c r="H978" t="n">
        <v>0</v>
      </c>
      <c r="I978" t="n">
        <v>0</v>
      </c>
      <c r="J978" t="n">
        <v>0</v>
      </c>
      <c r="K978" t="n">
        <v>0</v>
      </c>
      <c r="L978" t="n">
        <v>0</v>
      </c>
      <c r="M978" t="n">
        <v>0</v>
      </c>
      <c r="N978" t="n">
        <v>0</v>
      </c>
      <c r="O978" t="n">
        <v>0</v>
      </c>
      <c r="P978" t="n">
        <v>0</v>
      </c>
      <c r="Q978" t="n">
        <v>0</v>
      </c>
      <c r="R978" s="2" t="inlineStr"/>
    </row>
    <row r="979" ht="15" customHeight="1">
      <c r="A979" t="inlineStr">
        <is>
          <t>A 16017-2025</t>
        </is>
      </c>
      <c r="B979" s="1" t="n">
        <v>45749</v>
      </c>
      <c r="C979" s="1" t="n">
        <v>45976</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11776-2024</t>
        </is>
      </c>
      <c r="B980" s="1" t="n">
        <v>45374</v>
      </c>
      <c r="C980" s="1" t="n">
        <v>45976</v>
      </c>
      <c r="D980" t="inlineStr">
        <is>
          <t>VÄRMLANDS LÄN</t>
        </is>
      </c>
      <c r="E980" t="inlineStr">
        <is>
          <t>TORSBY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40009-2022</t>
        </is>
      </c>
      <c r="B981" s="1" t="n">
        <v>44820</v>
      </c>
      <c r="C981" s="1" t="n">
        <v>45976</v>
      </c>
      <c r="D981" t="inlineStr">
        <is>
          <t>VÄRMLANDS LÄN</t>
        </is>
      </c>
      <c r="E981" t="inlineStr">
        <is>
          <t>TORSBY</t>
        </is>
      </c>
      <c r="G981" t="n">
        <v>4.8</v>
      </c>
      <c r="H981" t="n">
        <v>0</v>
      </c>
      <c r="I981" t="n">
        <v>0</v>
      </c>
      <c r="J981" t="n">
        <v>0</v>
      </c>
      <c r="K981" t="n">
        <v>0</v>
      </c>
      <c r="L981" t="n">
        <v>0</v>
      </c>
      <c r="M981" t="n">
        <v>0</v>
      </c>
      <c r="N981" t="n">
        <v>0</v>
      </c>
      <c r="O981" t="n">
        <v>0</v>
      </c>
      <c r="P981" t="n">
        <v>0</v>
      </c>
      <c r="Q981" t="n">
        <v>0</v>
      </c>
      <c r="R981" s="2" t="inlineStr"/>
    </row>
    <row r="982" ht="15" customHeight="1">
      <c r="A982" t="inlineStr">
        <is>
          <t>A 51144-2023</t>
        </is>
      </c>
      <c r="B982" s="1" t="n">
        <v>45212</v>
      </c>
      <c r="C982" s="1" t="n">
        <v>45976</v>
      </c>
      <c r="D982" t="inlineStr">
        <is>
          <t>VÄRMLANDS LÄN</t>
        </is>
      </c>
      <c r="E982" t="inlineStr">
        <is>
          <t>TORSBY</t>
        </is>
      </c>
      <c r="G982" t="n">
        <v>7.3</v>
      </c>
      <c r="H982" t="n">
        <v>0</v>
      </c>
      <c r="I982" t="n">
        <v>0</v>
      </c>
      <c r="J982" t="n">
        <v>0</v>
      </c>
      <c r="K982" t="n">
        <v>0</v>
      </c>
      <c r="L982" t="n">
        <v>0</v>
      </c>
      <c r="M982" t="n">
        <v>0</v>
      </c>
      <c r="N982" t="n">
        <v>0</v>
      </c>
      <c r="O982" t="n">
        <v>0</v>
      </c>
      <c r="P982" t="n">
        <v>0</v>
      </c>
      <c r="Q982" t="n">
        <v>0</v>
      </c>
      <c r="R982" s="2" t="inlineStr"/>
    </row>
    <row r="983" ht="15" customHeight="1">
      <c r="A983" t="inlineStr">
        <is>
          <t>A 39215-2022</t>
        </is>
      </c>
      <c r="B983" s="1" t="n">
        <v>44817</v>
      </c>
      <c r="C983" s="1" t="n">
        <v>45976</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39216-2022</t>
        </is>
      </c>
      <c r="B984" s="1" t="n">
        <v>44817</v>
      </c>
      <c r="C984" s="1" t="n">
        <v>45976</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49638-2025</t>
        </is>
      </c>
      <c r="B985" s="1" t="n">
        <v>45939.61236111111</v>
      </c>
      <c r="C985" s="1" t="n">
        <v>45976</v>
      </c>
      <c r="D985" t="inlineStr">
        <is>
          <t>VÄRMLANDS LÄN</t>
        </is>
      </c>
      <c r="E985" t="inlineStr">
        <is>
          <t>TORSBY</t>
        </is>
      </c>
      <c r="F985" t="inlineStr">
        <is>
          <t>Bergvik skog väst AB</t>
        </is>
      </c>
      <c r="G985" t="n">
        <v>7</v>
      </c>
      <c r="H985" t="n">
        <v>0</v>
      </c>
      <c r="I985" t="n">
        <v>0</v>
      </c>
      <c r="J985" t="n">
        <v>0</v>
      </c>
      <c r="K985" t="n">
        <v>0</v>
      </c>
      <c r="L985" t="n">
        <v>0</v>
      </c>
      <c r="M985" t="n">
        <v>0</v>
      </c>
      <c r="N985" t="n">
        <v>0</v>
      </c>
      <c r="O985" t="n">
        <v>0</v>
      </c>
      <c r="P985" t="n">
        <v>0</v>
      </c>
      <c r="Q985" t="n">
        <v>0</v>
      </c>
      <c r="R985" s="2" t="inlineStr"/>
    </row>
    <row r="986" ht="15" customHeight="1">
      <c r="A986" t="inlineStr">
        <is>
          <t>A 35609-2024</t>
        </is>
      </c>
      <c r="B986" s="1" t="n">
        <v>45531.68758101852</v>
      </c>
      <c r="C986" s="1" t="n">
        <v>45976</v>
      </c>
      <c r="D986" t="inlineStr">
        <is>
          <t>VÄRMLANDS LÄN</t>
        </is>
      </c>
      <c r="E986" t="inlineStr">
        <is>
          <t>TORSBY</t>
        </is>
      </c>
      <c r="G986" t="n">
        <v>38.3</v>
      </c>
      <c r="H986" t="n">
        <v>0</v>
      </c>
      <c r="I986" t="n">
        <v>0</v>
      </c>
      <c r="J986" t="n">
        <v>0</v>
      </c>
      <c r="K986" t="n">
        <v>0</v>
      </c>
      <c r="L986" t="n">
        <v>0</v>
      </c>
      <c r="M986" t="n">
        <v>0</v>
      </c>
      <c r="N986" t="n">
        <v>0</v>
      </c>
      <c r="O986" t="n">
        <v>0</v>
      </c>
      <c r="P986" t="n">
        <v>0</v>
      </c>
      <c r="Q986" t="n">
        <v>0</v>
      </c>
      <c r="R986" s="2" t="inlineStr"/>
    </row>
    <row r="987" ht="15" customHeight="1">
      <c r="A987" t="inlineStr">
        <is>
          <t>A 61428-2022</t>
        </is>
      </c>
      <c r="B987" s="1" t="n">
        <v>44910</v>
      </c>
      <c r="C987" s="1" t="n">
        <v>45976</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61432-2022</t>
        </is>
      </c>
      <c r="B988" s="1" t="n">
        <v>44910</v>
      </c>
      <c r="C988" s="1" t="n">
        <v>45976</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46233-2023</t>
        </is>
      </c>
      <c r="B989" s="1" t="n">
        <v>45196.69575231482</v>
      </c>
      <c r="C989" s="1" t="n">
        <v>45976</v>
      </c>
      <c r="D989" t="inlineStr">
        <is>
          <t>VÄRMLANDS LÄN</t>
        </is>
      </c>
      <c r="E989" t="inlineStr">
        <is>
          <t>TORSBY</t>
        </is>
      </c>
      <c r="F989" t="inlineStr">
        <is>
          <t>Kyrkan</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36850-2024</t>
        </is>
      </c>
      <c r="B990" s="1" t="n">
        <v>45538</v>
      </c>
      <c r="C990" s="1" t="n">
        <v>45976</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13924-2025</t>
        </is>
      </c>
      <c r="B991" s="1" t="n">
        <v>45737</v>
      </c>
      <c r="C991" s="1" t="n">
        <v>45976</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49313-2025</t>
        </is>
      </c>
      <c r="B992" s="1" t="n">
        <v>45938.56460648148</v>
      </c>
      <c r="C992" s="1" t="n">
        <v>45976</v>
      </c>
      <c r="D992" t="inlineStr">
        <is>
          <t>VÄRMLANDS LÄN</t>
        </is>
      </c>
      <c r="E992" t="inlineStr">
        <is>
          <t>TORSBY</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43248-2022</t>
        </is>
      </c>
      <c r="B993" s="1" t="n">
        <v>44834</v>
      </c>
      <c r="C993" s="1" t="n">
        <v>45976</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56098-2024</t>
        </is>
      </c>
      <c r="B994" s="1" t="n">
        <v>45624.42371527778</v>
      </c>
      <c r="C994" s="1" t="n">
        <v>45976</v>
      </c>
      <c r="D994" t="inlineStr">
        <is>
          <t>VÄRMLANDS LÄN</t>
        </is>
      </c>
      <c r="E994" t="inlineStr">
        <is>
          <t>TORSBY</t>
        </is>
      </c>
      <c r="G994" t="n">
        <v>2.4</v>
      </c>
      <c r="H994" t="n">
        <v>0</v>
      </c>
      <c r="I994" t="n">
        <v>0</v>
      </c>
      <c r="J994" t="n">
        <v>0</v>
      </c>
      <c r="K994" t="n">
        <v>0</v>
      </c>
      <c r="L994" t="n">
        <v>0</v>
      </c>
      <c r="M994" t="n">
        <v>0</v>
      </c>
      <c r="N994" t="n">
        <v>0</v>
      </c>
      <c r="O994" t="n">
        <v>0</v>
      </c>
      <c r="P994" t="n">
        <v>0</v>
      </c>
      <c r="Q994" t="n">
        <v>0</v>
      </c>
      <c r="R994" s="2" t="inlineStr"/>
    </row>
    <row r="995" ht="15" customHeight="1">
      <c r="A995" t="inlineStr">
        <is>
          <t>A 46471-2024</t>
        </is>
      </c>
      <c r="B995" s="1" t="n">
        <v>45582.5517824074</v>
      </c>
      <c r="C995" s="1" t="n">
        <v>45976</v>
      </c>
      <c r="D995" t="inlineStr">
        <is>
          <t>VÄRMLANDS LÄN</t>
        </is>
      </c>
      <c r="E995" t="inlineStr">
        <is>
          <t>TORSBY</t>
        </is>
      </c>
      <c r="G995" t="n">
        <v>2.1</v>
      </c>
      <c r="H995" t="n">
        <v>0</v>
      </c>
      <c r="I995" t="n">
        <v>0</v>
      </c>
      <c r="J995" t="n">
        <v>0</v>
      </c>
      <c r="K995" t="n">
        <v>0</v>
      </c>
      <c r="L995" t="n">
        <v>0</v>
      </c>
      <c r="M995" t="n">
        <v>0</v>
      </c>
      <c r="N995" t="n">
        <v>0</v>
      </c>
      <c r="O995" t="n">
        <v>0</v>
      </c>
      <c r="P995" t="n">
        <v>0</v>
      </c>
      <c r="Q995" t="n">
        <v>0</v>
      </c>
      <c r="R995" s="2" t="inlineStr"/>
    </row>
    <row r="996" ht="15" customHeight="1">
      <c r="A996" t="inlineStr">
        <is>
          <t>A 38286-2023</t>
        </is>
      </c>
      <c r="B996" s="1" t="n">
        <v>45161.63807870371</v>
      </c>
      <c r="C996" s="1" t="n">
        <v>45976</v>
      </c>
      <c r="D996" t="inlineStr">
        <is>
          <t>VÄRMLANDS LÄN</t>
        </is>
      </c>
      <c r="E996" t="inlineStr">
        <is>
          <t>TORSBY</t>
        </is>
      </c>
      <c r="F996" t="inlineStr">
        <is>
          <t>Kyrkan</t>
        </is>
      </c>
      <c r="G996" t="n">
        <v>6.5</v>
      </c>
      <c r="H996" t="n">
        <v>0</v>
      </c>
      <c r="I996" t="n">
        <v>0</v>
      </c>
      <c r="J996" t="n">
        <v>0</v>
      </c>
      <c r="K996" t="n">
        <v>0</v>
      </c>
      <c r="L996" t="n">
        <v>0</v>
      </c>
      <c r="M996" t="n">
        <v>0</v>
      </c>
      <c r="N996" t="n">
        <v>0</v>
      </c>
      <c r="O996" t="n">
        <v>0</v>
      </c>
      <c r="P996" t="n">
        <v>0</v>
      </c>
      <c r="Q996" t="n">
        <v>0</v>
      </c>
      <c r="R996" s="2" t="inlineStr"/>
    </row>
    <row r="997" ht="15" customHeight="1">
      <c r="A997" t="inlineStr">
        <is>
          <t>A 41671-2021</t>
        </is>
      </c>
      <c r="B997" s="1" t="n">
        <v>44425</v>
      </c>
      <c r="C997" s="1" t="n">
        <v>45976</v>
      </c>
      <c r="D997" t="inlineStr">
        <is>
          <t>VÄRMLANDS LÄN</t>
        </is>
      </c>
      <c r="E997" t="inlineStr">
        <is>
          <t>TORSBY</t>
        </is>
      </c>
      <c r="F997" t="inlineStr">
        <is>
          <t>Övriga Aktiebolag</t>
        </is>
      </c>
      <c r="G997" t="n">
        <v>10.1</v>
      </c>
      <c r="H997" t="n">
        <v>0</v>
      </c>
      <c r="I997" t="n">
        <v>0</v>
      </c>
      <c r="J997" t="n">
        <v>0</v>
      </c>
      <c r="K997" t="n">
        <v>0</v>
      </c>
      <c r="L997" t="n">
        <v>0</v>
      </c>
      <c r="M997" t="n">
        <v>0</v>
      </c>
      <c r="N997" t="n">
        <v>0</v>
      </c>
      <c r="O997" t="n">
        <v>0</v>
      </c>
      <c r="P997" t="n">
        <v>0</v>
      </c>
      <c r="Q997" t="n">
        <v>0</v>
      </c>
      <c r="R997" s="2" t="inlineStr"/>
    </row>
    <row r="998" ht="15" customHeight="1">
      <c r="A998" t="inlineStr">
        <is>
          <t>A 43732-2022</t>
        </is>
      </c>
      <c r="B998" s="1" t="n">
        <v>44837.69357638889</v>
      </c>
      <c r="C998" s="1" t="n">
        <v>45976</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5814-2024</t>
        </is>
      </c>
      <c r="B999" s="1" t="n">
        <v>45335</v>
      </c>
      <c r="C999" s="1" t="n">
        <v>45976</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35132-2022</t>
        </is>
      </c>
      <c r="B1000" s="1" t="n">
        <v>44797</v>
      </c>
      <c r="C1000" s="1" t="n">
        <v>45976</v>
      </c>
      <c r="D1000" t="inlineStr">
        <is>
          <t>VÄRMLANDS LÄN</t>
        </is>
      </c>
      <c r="E1000" t="inlineStr">
        <is>
          <t>TORSBY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49250-2025</t>
        </is>
      </c>
      <c r="B1001" s="1" t="n">
        <v>45938</v>
      </c>
      <c r="C1001" s="1" t="n">
        <v>45976</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68153-2021</t>
        </is>
      </c>
      <c r="B1002" s="1" t="n">
        <v>44526.43881944445</v>
      </c>
      <c r="C1002" s="1" t="n">
        <v>45976</v>
      </c>
      <c r="D1002" t="inlineStr">
        <is>
          <t>VÄRMLANDS LÄN</t>
        </is>
      </c>
      <c r="E1002" t="inlineStr">
        <is>
          <t>TORSBY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13191-2025</t>
        </is>
      </c>
      <c r="B1003" s="1" t="n">
        <v>45735.40501157408</v>
      </c>
      <c r="C1003" s="1" t="n">
        <v>45976</v>
      </c>
      <c r="D1003" t="inlineStr">
        <is>
          <t>VÄRMLANDS LÄN</t>
        </is>
      </c>
      <c r="E1003" t="inlineStr">
        <is>
          <t>TORSBY</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33133-2024</t>
        </is>
      </c>
      <c r="B1004" s="1" t="n">
        <v>45518.31722222222</v>
      </c>
      <c r="C1004" s="1" t="n">
        <v>45976</v>
      </c>
      <c r="D1004" t="inlineStr">
        <is>
          <t>VÄRMLANDS LÄN</t>
        </is>
      </c>
      <c r="E1004" t="inlineStr">
        <is>
          <t>TORSBY</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14162-2025</t>
        </is>
      </c>
      <c r="B1005" s="1" t="n">
        <v>45740</v>
      </c>
      <c r="C1005" s="1" t="n">
        <v>45976</v>
      </c>
      <c r="D1005" t="inlineStr">
        <is>
          <t>VÄRMLANDS LÄN</t>
        </is>
      </c>
      <c r="E1005" t="inlineStr">
        <is>
          <t>TORSBY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3409-2025</t>
        </is>
      </c>
      <c r="B1006" s="1" t="n">
        <v>45680.39391203703</v>
      </c>
      <c r="C1006" s="1" t="n">
        <v>45976</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49681-2025</t>
        </is>
      </c>
      <c r="B1007" s="1" t="n">
        <v>45939</v>
      </c>
      <c r="C1007" s="1" t="n">
        <v>45976</v>
      </c>
      <c r="D1007" t="inlineStr">
        <is>
          <t>VÄRMLANDS LÄN</t>
        </is>
      </c>
      <c r="E1007" t="inlineStr">
        <is>
          <t>TORSBY</t>
        </is>
      </c>
      <c r="F1007" t="inlineStr">
        <is>
          <t>Bergvik skog väst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7643-2025</t>
        </is>
      </c>
      <c r="B1008" s="1" t="n">
        <v>45705.78703703704</v>
      </c>
      <c r="C1008" s="1" t="n">
        <v>45976</v>
      </c>
      <c r="D1008" t="inlineStr">
        <is>
          <t>VÄRMLANDS LÄN</t>
        </is>
      </c>
      <c r="E1008" t="inlineStr">
        <is>
          <t>TORSBY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40858-2023</t>
        </is>
      </c>
      <c r="B1009" s="1" t="n">
        <v>45173.34709490741</v>
      </c>
      <c r="C1009" s="1" t="n">
        <v>45976</v>
      </c>
      <c r="D1009" t="inlineStr">
        <is>
          <t>VÄRMLANDS LÄN</t>
        </is>
      </c>
      <c r="E1009" t="inlineStr">
        <is>
          <t>TORSBY</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11259-2024</t>
        </is>
      </c>
      <c r="B1010" s="1" t="n">
        <v>45371</v>
      </c>
      <c r="C1010" s="1" t="n">
        <v>45976</v>
      </c>
      <c r="D1010" t="inlineStr">
        <is>
          <t>VÄRMLANDS LÄN</t>
        </is>
      </c>
      <c r="E1010" t="inlineStr">
        <is>
          <t>TORSBY</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43545-2024</t>
        </is>
      </c>
      <c r="B1011" s="1" t="n">
        <v>45569.36980324074</v>
      </c>
      <c r="C1011" s="1" t="n">
        <v>45976</v>
      </c>
      <c r="D1011" t="inlineStr">
        <is>
          <t>VÄRMLANDS LÄN</t>
        </is>
      </c>
      <c r="E1011" t="inlineStr">
        <is>
          <t>TORSBY</t>
        </is>
      </c>
      <c r="F1011" t="inlineStr">
        <is>
          <t>Bergvik skog väst AB</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21365-2023</t>
        </is>
      </c>
      <c r="B1012" s="1" t="n">
        <v>45063.26761574074</v>
      </c>
      <c r="C1012" s="1" t="n">
        <v>45976</v>
      </c>
      <c r="D1012" t="inlineStr">
        <is>
          <t>VÄRMLANDS LÄN</t>
        </is>
      </c>
      <c r="E1012" t="inlineStr">
        <is>
          <t>TORSBY</t>
        </is>
      </c>
      <c r="F1012" t="inlineStr">
        <is>
          <t>Kyrkan</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49311-2025</t>
        </is>
      </c>
      <c r="B1013" s="1" t="n">
        <v>45938.56336805555</v>
      </c>
      <c r="C1013" s="1" t="n">
        <v>45976</v>
      </c>
      <c r="D1013" t="inlineStr">
        <is>
          <t>VÄRMLANDS LÄN</t>
        </is>
      </c>
      <c r="E1013" t="inlineStr">
        <is>
          <t>TORSBY</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40519-2025</t>
        </is>
      </c>
      <c r="B1014" s="1" t="n">
        <v>45896.3640162037</v>
      </c>
      <c r="C1014" s="1" t="n">
        <v>45976</v>
      </c>
      <c r="D1014" t="inlineStr">
        <is>
          <t>VÄRMLANDS LÄN</t>
        </is>
      </c>
      <c r="E1014" t="inlineStr">
        <is>
          <t>TORSBY</t>
        </is>
      </c>
      <c r="F1014" t="inlineStr">
        <is>
          <t>Bergvik skog väst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47452-2024</t>
        </is>
      </c>
      <c r="B1015" s="1" t="n">
        <v>45587</v>
      </c>
      <c r="C1015" s="1" t="n">
        <v>45976</v>
      </c>
      <c r="D1015" t="inlineStr">
        <is>
          <t>VÄRMLANDS LÄN</t>
        </is>
      </c>
      <c r="E1015" t="inlineStr">
        <is>
          <t>TORSBY</t>
        </is>
      </c>
      <c r="F1015" t="inlineStr">
        <is>
          <t>Övriga Aktiebolag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49181-2025</t>
        </is>
      </c>
      <c r="B1016" s="1" t="n">
        <v>45938.38640046296</v>
      </c>
      <c r="C1016" s="1" t="n">
        <v>45976</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34405-2023</t>
        </is>
      </c>
      <c r="B1017" s="1" t="n">
        <v>45139.55131944444</v>
      </c>
      <c r="C1017" s="1" t="n">
        <v>45976</v>
      </c>
      <c r="D1017" t="inlineStr">
        <is>
          <t>VÄRMLANDS LÄN</t>
        </is>
      </c>
      <c r="E1017" t="inlineStr">
        <is>
          <t>TORSBY</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49504-2025</t>
        </is>
      </c>
      <c r="B1018" s="1" t="n">
        <v>45939</v>
      </c>
      <c r="C1018" s="1" t="n">
        <v>45976</v>
      </c>
      <c r="D1018" t="inlineStr">
        <is>
          <t>VÄRMLANDS LÄN</t>
        </is>
      </c>
      <c r="E1018" t="inlineStr">
        <is>
          <t>TORSBY</t>
        </is>
      </c>
      <c r="F1018" t="inlineStr">
        <is>
          <t>Bergvik skog väst AB</t>
        </is>
      </c>
      <c r="G1018" t="n">
        <v>35.8</v>
      </c>
      <c r="H1018" t="n">
        <v>0</v>
      </c>
      <c r="I1018" t="n">
        <v>0</v>
      </c>
      <c r="J1018" t="n">
        <v>0</v>
      </c>
      <c r="K1018" t="n">
        <v>0</v>
      </c>
      <c r="L1018" t="n">
        <v>0</v>
      </c>
      <c r="M1018" t="n">
        <v>0</v>
      </c>
      <c r="N1018" t="n">
        <v>0</v>
      </c>
      <c r="O1018" t="n">
        <v>0</v>
      </c>
      <c r="P1018" t="n">
        <v>0</v>
      </c>
      <c r="Q1018" t="n">
        <v>0</v>
      </c>
      <c r="R1018" s="2" t="inlineStr"/>
    </row>
    <row r="1019" ht="15" customHeight="1">
      <c r="A1019" t="inlineStr">
        <is>
          <t>A 29042-2023</t>
        </is>
      </c>
      <c r="B1019" s="1" t="n">
        <v>45104</v>
      </c>
      <c r="C1019" s="1" t="n">
        <v>45976</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19527-2023</t>
        </is>
      </c>
      <c r="B1020" s="1" t="n">
        <v>45050</v>
      </c>
      <c r="C1020" s="1" t="n">
        <v>45976</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34697-2024</t>
        </is>
      </c>
      <c r="B1021" s="1" t="n">
        <v>45526.55518518519</v>
      </c>
      <c r="C1021" s="1" t="n">
        <v>45976</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235-2024</t>
        </is>
      </c>
      <c r="B1022" s="1" t="n">
        <v>45294.85100694445</v>
      </c>
      <c r="C1022" s="1" t="n">
        <v>45976</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4537-2025</t>
        </is>
      </c>
      <c r="B1023" s="1" t="n">
        <v>45687.38836805556</v>
      </c>
      <c r="C1023" s="1" t="n">
        <v>45976</v>
      </c>
      <c r="D1023" t="inlineStr">
        <is>
          <t>VÄRMLANDS LÄN</t>
        </is>
      </c>
      <c r="E1023" t="inlineStr">
        <is>
          <t>TORSBY</t>
        </is>
      </c>
      <c r="F1023" t="inlineStr">
        <is>
          <t>Kommuner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38979-2023</t>
        </is>
      </c>
      <c r="B1024" s="1" t="n">
        <v>45163.64584490741</v>
      </c>
      <c r="C1024" s="1" t="n">
        <v>45976</v>
      </c>
      <c r="D1024" t="inlineStr">
        <is>
          <t>VÄRMLANDS LÄN</t>
        </is>
      </c>
      <c r="E1024" t="inlineStr">
        <is>
          <t>TORSBY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60383-2024</t>
        </is>
      </c>
      <c r="B1025" s="1" t="n">
        <v>45643.47674768518</v>
      </c>
      <c r="C1025" s="1" t="n">
        <v>45976</v>
      </c>
      <c r="D1025" t="inlineStr">
        <is>
          <t>VÄRMLANDS LÄN</t>
        </is>
      </c>
      <c r="E1025" t="inlineStr">
        <is>
          <t>TORSBY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60386-2024</t>
        </is>
      </c>
      <c r="B1026" s="1" t="n">
        <v>45643</v>
      </c>
      <c r="C1026" s="1" t="n">
        <v>45976</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4640-2022</t>
        </is>
      </c>
      <c r="B1027" s="1" t="n">
        <v>44592</v>
      </c>
      <c r="C1027" s="1" t="n">
        <v>45976</v>
      </c>
      <c r="D1027" t="inlineStr">
        <is>
          <t>VÄRMLANDS LÄN</t>
        </is>
      </c>
      <c r="E1027" t="inlineStr">
        <is>
          <t>TORSBY</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54796-2024</t>
        </is>
      </c>
      <c r="B1028" s="1" t="n">
        <v>45618</v>
      </c>
      <c r="C1028" s="1" t="n">
        <v>45976</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35107-2024</t>
        </is>
      </c>
      <c r="B1029" s="1" t="n">
        <v>45529.5588425926</v>
      </c>
      <c r="C1029" s="1" t="n">
        <v>45976</v>
      </c>
      <c r="D1029" t="inlineStr">
        <is>
          <t>VÄRMLANDS LÄN</t>
        </is>
      </c>
      <c r="E1029" t="inlineStr">
        <is>
          <t>TORSBY</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38062-2024</t>
        </is>
      </c>
      <c r="B1030" s="1" t="n">
        <v>45544</v>
      </c>
      <c r="C1030" s="1" t="n">
        <v>45976</v>
      </c>
      <c r="D1030" t="inlineStr">
        <is>
          <t>VÄRMLANDS LÄN</t>
        </is>
      </c>
      <c r="E1030" t="inlineStr">
        <is>
          <t>TORSBY</t>
        </is>
      </c>
      <c r="F1030" t="inlineStr">
        <is>
          <t>Bergvik skog väst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52750-2024</t>
        </is>
      </c>
      <c r="B1031" s="1" t="n">
        <v>45610</v>
      </c>
      <c r="C1031" s="1" t="n">
        <v>45976</v>
      </c>
      <c r="D1031" t="inlineStr">
        <is>
          <t>VÄRMLANDS LÄN</t>
        </is>
      </c>
      <c r="E1031" t="inlineStr">
        <is>
          <t>TORSBY</t>
        </is>
      </c>
      <c r="F1031" t="inlineStr">
        <is>
          <t>Kyrkan</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45548-2024</t>
        </is>
      </c>
      <c r="B1032" s="1" t="n">
        <v>45579</v>
      </c>
      <c r="C1032" s="1" t="n">
        <v>45976</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17065-2025</t>
        </is>
      </c>
      <c r="B1033" s="1" t="n">
        <v>45754</v>
      </c>
      <c r="C1033" s="1" t="n">
        <v>45976</v>
      </c>
      <c r="D1033" t="inlineStr">
        <is>
          <t>VÄRMLANDS LÄN</t>
        </is>
      </c>
      <c r="E1033" t="inlineStr">
        <is>
          <t>TORSBY</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57721-2022</t>
        </is>
      </c>
      <c r="B1034" s="1" t="n">
        <v>44897.55278935185</v>
      </c>
      <c r="C1034" s="1" t="n">
        <v>45976</v>
      </c>
      <c r="D1034" t="inlineStr">
        <is>
          <t>VÄRMLANDS LÄN</t>
        </is>
      </c>
      <c r="E1034" t="inlineStr">
        <is>
          <t>TORSBY</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24708-2024</t>
        </is>
      </c>
      <c r="B1035" s="1" t="n">
        <v>45460</v>
      </c>
      <c r="C1035" s="1" t="n">
        <v>45976</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4236-2023</t>
        </is>
      </c>
      <c r="B1036" s="1" t="n">
        <v>44953.48950231481</v>
      </c>
      <c r="C1036" s="1" t="n">
        <v>45976</v>
      </c>
      <c r="D1036" t="inlineStr">
        <is>
          <t>VÄRMLANDS LÄN</t>
        </is>
      </c>
      <c r="E1036" t="inlineStr">
        <is>
          <t>TORSBY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4250-2023</t>
        </is>
      </c>
      <c r="B1037" s="1" t="n">
        <v>44953.51747685186</v>
      </c>
      <c r="C1037" s="1" t="n">
        <v>45976</v>
      </c>
      <c r="D1037" t="inlineStr">
        <is>
          <t>VÄRMLANDS LÄN</t>
        </is>
      </c>
      <c r="E1037" t="inlineStr">
        <is>
          <t>TORSBY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60477-2024</t>
        </is>
      </c>
      <c r="B1038" s="1" t="n">
        <v>45643</v>
      </c>
      <c r="C1038" s="1" t="n">
        <v>45976</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29256-2023</t>
        </is>
      </c>
      <c r="B1039" s="1" t="n">
        <v>45105.65310185185</v>
      </c>
      <c r="C1039" s="1" t="n">
        <v>45976</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57647-2023</t>
        </is>
      </c>
      <c r="B1040" s="1" t="n">
        <v>45246.59627314815</v>
      </c>
      <c r="C1040" s="1" t="n">
        <v>45976</v>
      </c>
      <c r="D1040" t="inlineStr">
        <is>
          <t>VÄRMLANDS LÄN</t>
        </is>
      </c>
      <c r="E1040" t="inlineStr">
        <is>
          <t>TORSBY</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41148-2025</t>
        </is>
      </c>
      <c r="B1041" s="1" t="n">
        <v>45898</v>
      </c>
      <c r="C1041" s="1" t="n">
        <v>45976</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29990-2022</t>
        </is>
      </c>
      <c r="B1042" s="1" t="n">
        <v>44756.73530092592</v>
      </c>
      <c r="C1042" s="1" t="n">
        <v>45976</v>
      </c>
      <c r="D1042" t="inlineStr">
        <is>
          <t>VÄRMLANDS LÄN</t>
        </is>
      </c>
      <c r="E1042" t="inlineStr">
        <is>
          <t>TORSBY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24995-2024</t>
        </is>
      </c>
      <c r="B1043" s="1" t="n">
        <v>45461</v>
      </c>
      <c r="C1043" s="1" t="n">
        <v>45976</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2506-2025</t>
        </is>
      </c>
      <c r="B1044" s="1" t="n">
        <v>45674</v>
      </c>
      <c r="C1044" s="1" t="n">
        <v>45976</v>
      </c>
      <c r="D1044" t="inlineStr">
        <is>
          <t>VÄRMLANDS LÄN</t>
        </is>
      </c>
      <c r="E1044" t="inlineStr">
        <is>
          <t>TORSBY</t>
        </is>
      </c>
      <c r="F1044" t="inlineStr">
        <is>
          <t>Bergvik skog väst AB</t>
        </is>
      </c>
      <c r="G1044" t="n">
        <v>19.2</v>
      </c>
      <c r="H1044" t="n">
        <v>0</v>
      </c>
      <c r="I1044" t="n">
        <v>0</v>
      </c>
      <c r="J1044" t="n">
        <v>0</v>
      </c>
      <c r="K1044" t="n">
        <v>0</v>
      </c>
      <c r="L1044" t="n">
        <v>0</v>
      </c>
      <c r="M1044" t="n">
        <v>0</v>
      </c>
      <c r="N1044" t="n">
        <v>0</v>
      </c>
      <c r="O1044" t="n">
        <v>0</v>
      </c>
      <c r="P1044" t="n">
        <v>0</v>
      </c>
      <c r="Q1044" t="n">
        <v>0</v>
      </c>
      <c r="R1044" s="2" t="inlineStr"/>
    </row>
    <row r="1045" ht="15" customHeight="1">
      <c r="A1045" t="inlineStr">
        <is>
          <t>A 21089-2022</t>
        </is>
      </c>
      <c r="B1045" s="1" t="n">
        <v>44704</v>
      </c>
      <c r="C1045" s="1" t="n">
        <v>45976</v>
      </c>
      <c r="D1045" t="inlineStr">
        <is>
          <t>VÄRMLANDS LÄN</t>
        </is>
      </c>
      <c r="E1045" t="inlineStr">
        <is>
          <t>TORSBY</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18308-2024</t>
        </is>
      </c>
      <c r="B1046" s="1" t="n">
        <v>45422</v>
      </c>
      <c r="C1046" s="1" t="n">
        <v>45976</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731-2024</t>
        </is>
      </c>
      <c r="B1047" s="1" t="n">
        <v>45300</v>
      </c>
      <c r="C1047" s="1" t="n">
        <v>45976</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25866-2025</t>
        </is>
      </c>
      <c r="B1048" s="1" t="n">
        <v>45804.48143518518</v>
      </c>
      <c r="C1048" s="1" t="n">
        <v>45976</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60710-2024</t>
        </is>
      </c>
      <c r="B1049" s="1" t="n">
        <v>45643</v>
      </c>
      <c r="C1049" s="1" t="n">
        <v>45976</v>
      </c>
      <c r="D1049" t="inlineStr">
        <is>
          <t>VÄRMLANDS LÄN</t>
        </is>
      </c>
      <c r="E1049" t="inlineStr">
        <is>
          <t>TORSBY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53331-2024</t>
        </is>
      </c>
      <c r="B1050" s="1" t="n">
        <v>45614</v>
      </c>
      <c r="C1050" s="1" t="n">
        <v>45976</v>
      </c>
      <c r="D1050" t="inlineStr">
        <is>
          <t>VÄRMLANDS LÄN</t>
        </is>
      </c>
      <c r="E1050" t="inlineStr">
        <is>
          <t>TORSBY</t>
        </is>
      </c>
      <c r="F1050" t="inlineStr">
        <is>
          <t>Bergvik skog väst AB</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41168-2025</t>
        </is>
      </c>
      <c r="B1051" s="1" t="n">
        <v>45898</v>
      </c>
      <c r="C1051" s="1" t="n">
        <v>45976</v>
      </c>
      <c r="D1051" t="inlineStr">
        <is>
          <t>VÄRMLANDS LÄN</t>
        </is>
      </c>
      <c r="E1051" t="inlineStr">
        <is>
          <t>TORSBY</t>
        </is>
      </c>
      <c r="F1051" t="inlineStr">
        <is>
          <t>Övriga Aktiebolag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20120-2023</t>
        </is>
      </c>
      <c r="B1052" s="1" t="n">
        <v>45055</v>
      </c>
      <c r="C1052" s="1" t="n">
        <v>45976</v>
      </c>
      <c r="D1052" t="inlineStr">
        <is>
          <t>VÄRMLANDS LÄN</t>
        </is>
      </c>
      <c r="E1052" t="inlineStr">
        <is>
          <t>TORSBY</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15175-2024</t>
        </is>
      </c>
      <c r="B1053" s="1" t="n">
        <v>45400</v>
      </c>
      <c r="C1053" s="1" t="n">
        <v>45976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38252-2023</t>
        </is>
      </c>
      <c r="B1054" s="1" t="n">
        <v>45161</v>
      </c>
      <c r="C1054" s="1" t="n">
        <v>45976</v>
      </c>
      <c r="D1054" t="inlineStr">
        <is>
          <t>VÄRMLANDS LÄN</t>
        </is>
      </c>
      <c r="E1054" t="inlineStr">
        <is>
          <t>TORSBY</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55092-2022</t>
        </is>
      </c>
      <c r="B1055" s="1" t="n">
        <v>44886.61493055556</v>
      </c>
      <c r="C1055" s="1" t="n">
        <v>45976</v>
      </c>
      <c r="D1055" t="inlineStr">
        <is>
          <t>VÄRMLANDS LÄN</t>
        </is>
      </c>
      <c r="E1055" t="inlineStr">
        <is>
          <t>TORSBY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11672-2025</t>
        </is>
      </c>
      <c r="B1056" s="1" t="n">
        <v>45727</v>
      </c>
      <c r="C1056" s="1" t="n">
        <v>45976</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1527-2024</t>
        </is>
      </c>
      <c r="B1057" s="1" t="n">
        <v>45306.45614583333</v>
      </c>
      <c r="C1057" s="1" t="n">
        <v>45976</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25355-2024</t>
        </is>
      </c>
      <c r="B1058" s="1" t="n">
        <v>45462.92868055555</v>
      </c>
      <c r="C1058" s="1" t="n">
        <v>45976</v>
      </c>
      <c r="D1058" t="inlineStr">
        <is>
          <t>VÄRMLANDS LÄN</t>
        </is>
      </c>
      <c r="E1058" t="inlineStr">
        <is>
          <t>TORSBY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41416-2025</t>
        </is>
      </c>
      <c r="B1059" s="1" t="n">
        <v>45901</v>
      </c>
      <c r="C1059" s="1" t="n">
        <v>45976</v>
      </c>
      <c r="D1059" t="inlineStr">
        <is>
          <t>VÄRMLANDS LÄN</t>
        </is>
      </c>
      <c r="E1059" t="inlineStr">
        <is>
          <t>TORSBY</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16591-2024</t>
        </is>
      </c>
      <c r="B1060" s="1" t="n">
        <v>45408.49420138889</v>
      </c>
      <c r="C1060" s="1" t="n">
        <v>45976</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35762-2024</t>
        </is>
      </c>
      <c r="B1061" s="1" t="n">
        <v>45532.57373842593</v>
      </c>
      <c r="C1061" s="1" t="n">
        <v>45976</v>
      </c>
      <c r="D1061" t="inlineStr">
        <is>
          <t>VÄRMLANDS LÄN</t>
        </is>
      </c>
      <c r="E1061" t="inlineStr">
        <is>
          <t>TORSBY</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12701-2024</t>
        </is>
      </c>
      <c r="B1062" s="1" t="n">
        <v>45384</v>
      </c>
      <c r="C1062" s="1" t="n">
        <v>45976</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22635-2022</t>
        </is>
      </c>
      <c r="B1063" s="1" t="n">
        <v>44714</v>
      </c>
      <c r="C1063" s="1" t="n">
        <v>45976</v>
      </c>
      <c r="D1063" t="inlineStr">
        <is>
          <t>VÄRMLANDS LÄN</t>
        </is>
      </c>
      <c r="E1063" t="inlineStr">
        <is>
          <t>TORSBY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56021-2023</t>
        </is>
      </c>
      <c r="B1064" s="1" t="n">
        <v>45240</v>
      </c>
      <c r="C1064" s="1" t="n">
        <v>45976</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32340-2024</t>
        </is>
      </c>
      <c r="B1065" s="1" t="n">
        <v>45512.50826388889</v>
      </c>
      <c r="C1065" s="1" t="n">
        <v>45976</v>
      </c>
      <c r="D1065" t="inlineStr">
        <is>
          <t>VÄRMLANDS LÄN</t>
        </is>
      </c>
      <c r="E1065" t="inlineStr">
        <is>
          <t>TORSBY</t>
        </is>
      </c>
      <c r="G1065" t="n">
        <v>9.9</v>
      </c>
      <c r="H1065" t="n">
        <v>0</v>
      </c>
      <c r="I1065" t="n">
        <v>0</v>
      </c>
      <c r="J1065" t="n">
        <v>0</v>
      </c>
      <c r="K1065" t="n">
        <v>0</v>
      </c>
      <c r="L1065" t="n">
        <v>0</v>
      </c>
      <c r="M1065" t="n">
        <v>0</v>
      </c>
      <c r="N1065" t="n">
        <v>0</v>
      </c>
      <c r="O1065" t="n">
        <v>0</v>
      </c>
      <c r="P1065" t="n">
        <v>0</v>
      </c>
      <c r="Q1065" t="n">
        <v>0</v>
      </c>
      <c r="R1065" s="2" t="inlineStr"/>
    </row>
    <row r="1066" ht="15" customHeight="1">
      <c r="A1066" t="inlineStr">
        <is>
          <t>A 41232-2025</t>
        </is>
      </c>
      <c r="B1066" s="1" t="n">
        <v>45898</v>
      </c>
      <c r="C1066" s="1" t="n">
        <v>45976</v>
      </c>
      <c r="D1066" t="inlineStr">
        <is>
          <t>VÄRMLANDS LÄN</t>
        </is>
      </c>
      <c r="E1066" t="inlineStr">
        <is>
          <t>TORSBY</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33149-2025</t>
        </is>
      </c>
      <c r="B1067" s="1" t="n">
        <v>45840.54246527778</v>
      </c>
      <c r="C1067" s="1" t="n">
        <v>45976</v>
      </c>
      <c r="D1067" t="inlineStr">
        <is>
          <t>VÄRMLANDS LÄN</t>
        </is>
      </c>
      <c r="E1067" t="inlineStr">
        <is>
          <t>TORSBY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36917-2024</t>
        </is>
      </c>
      <c r="B1068" s="1" t="n">
        <v>45538.65065972223</v>
      </c>
      <c r="C1068" s="1" t="n">
        <v>45976</v>
      </c>
      <c r="D1068" t="inlineStr">
        <is>
          <t>VÄRMLANDS LÄN</t>
        </is>
      </c>
      <c r="E1068" t="inlineStr">
        <is>
          <t>TORSBY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36922-2024</t>
        </is>
      </c>
      <c r="B1069" s="1" t="n">
        <v>45538</v>
      </c>
      <c r="C1069" s="1" t="n">
        <v>45976</v>
      </c>
      <c r="D1069" t="inlineStr">
        <is>
          <t>VÄRMLANDS LÄN</t>
        </is>
      </c>
      <c r="E1069" t="inlineStr">
        <is>
          <t>TORSBY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24896-2023</t>
        </is>
      </c>
      <c r="B1070" s="1" t="n">
        <v>45085</v>
      </c>
      <c r="C1070" s="1" t="n">
        <v>45976</v>
      </c>
      <c r="D1070" t="inlineStr">
        <is>
          <t>VÄRMLANDS LÄN</t>
        </is>
      </c>
      <c r="E1070" t="inlineStr">
        <is>
          <t>TORSBY</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41137-2025</t>
        </is>
      </c>
      <c r="B1071" s="1" t="n">
        <v>45898</v>
      </c>
      <c r="C1071" s="1" t="n">
        <v>45976</v>
      </c>
      <c r="D1071" t="inlineStr">
        <is>
          <t>VÄRMLANDS LÄN</t>
        </is>
      </c>
      <c r="E1071" t="inlineStr">
        <is>
          <t>TORSBY</t>
        </is>
      </c>
      <c r="F1071" t="inlineStr">
        <is>
          <t>Övriga Aktiebolag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58956-2022</t>
        </is>
      </c>
      <c r="B1072" s="1" t="n">
        <v>44903.65895833333</v>
      </c>
      <c r="C1072" s="1" t="n">
        <v>45976</v>
      </c>
      <c r="D1072" t="inlineStr">
        <is>
          <t>VÄRMLANDS LÄN</t>
        </is>
      </c>
      <c r="E1072" t="inlineStr">
        <is>
          <t>TORSBY</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50494-2024</t>
        </is>
      </c>
      <c r="B1073" s="1" t="n">
        <v>45601.50818287037</v>
      </c>
      <c r="C1073" s="1" t="n">
        <v>45976</v>
      </c>
      <c r="D1073" t="inlineStr">
        <is>
          <t>VÄRMLANDS LÄN</t>
        </is>
      </c>
      <c r="E1073" t="inlineStr">
        <is>
          <t>TORSBY</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345-2023</t>
        </is>
      </c>
      <c r="B1074" s="1" t="n">
        <v>44923</v>
      </c>
      <c r="C1074" s="1" t="n">
        <v>45976</v>
      </c>
      <c r="D1074" t="inlineStr">
        <is>
          <t>VÄRMLANDS LÄN</t>
        </is>
      </c>
      <c r="E1074" t="inlineStr">
        <is>
          <t>TORSBY</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17687-2024</t>
        </is>
      </c>
      <c r="B1075" s="1" t="n">
        <v>45418</v>
      </c>
      <c r="C1075" s="1" t="n">
        <v>45976</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41124-2025</t>
        </is>
      </c>
      <c r="B1076" s="1" t="n">
        <v>45898.47166666666</v>
      </c>
      <c r="C1076" s="1" t="n">
        <v>45976</v>
      </c>
      <c r="D1076" t="inlineStr">
        <is>
          <t>VÄRMLANDS LÄN</t>
        </is>
      </c>
      <c r="E1076" t="inlineStr">
        <is>
          <t>TORSBY</t>
        </is>
      </c>
      <c r="F1076" t="inlineStr">
        <is>
          <t>Bergvik skog väst AB</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41209-2025</t>
        </is>
      </c>
      <c r="B1077" s="1" t="n">
        <v>45898</v>
      </c>
      <c r="C1077" s="1" t="n">
        <v>45976</v>
      </c>
      <c r="D1077" t="inlineStr">
        <is>
          <t>VÄRMLANDS LÄN</t>
        </is>
      </c>
      <c r="E1077" t="inlineStr">
        <is>
          <t>TORSBY</t>
        </is>
      </c>
      <c r="F1077" t="inlineStr">
        <is>
          <t>Övriga Aktiebolag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16210-2025</t>
        </is>
      </c>
      <c r="B1078" s="1" t="n">
        <v>45750</v>
      </c>
      <c r="C1078" s="1" t="n">
        <v>45976</v>
      </c>
      <c r="D1078" t="inlineStr">
        <is>
          <t>VÄRMLANDS LÄN</t>
        </is>
      </c>
      <c r="E1078" t="inlineStr">
        <is>
          <t>TORSBY</t>
        </is>
      </c>
      <c r="F1078" t="inlineStr">
        <is>
          <t>Bergvik skog väst AB</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3666-2023</t>
        </is>
      </c>
      <c r="B1079" s="1" t="n">
        <v>44950</v>
      </c>
      <c r="C1079" s="1" t="n">
        <v>45976</v>
      </c>
      <c r="D1079" t="inlineStr">
        <is>
          <t>VÄRMLANDS LÄN</t>
        </is>
      </c>
      <c r="E1079" t="inlineStr">
        <is>
          <t>TORSBY</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5289-2022</t>
        </is>
      </c>
      <c r="B1080" s="1" t="n">
        <v>44594.61883101852</v>
      </c>
      <c r="C1080" s="1" t="n">
        <v>45976</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7127-2023</t>
        </is>
      </c>
      <c r="B1081" s="1" t="n">
        <v>44970.41383101852</v>
      </c>
      <c r="C1081" s="1" t="n">
        <v>45976</v>
      </c>
      <c r="D1081" t="inlineStr">
        <is>
          <t>VÄRMLANDS LÄN</t>
        </is>
      </c>
      <c r="E1081" t="inlineStr">
        <is>
          <t>TORSBY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45976</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11872-2025</t>
        </is>
      </c>
      <c r="B1083" s="1" t="n">
        <v>45728.43021990741</v>
      </c>
      <c r="C1083" s="1" t="n">
        <v>45976</v>
      </c>
      <c r="D1083" t="inlineStr">
        <is>
          <t>VÄRMLANDS LÄN</t>
        </is>
      </c>
      <c r="E1083" t="inlineStr">
        <is>
          <t>TORSBY</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48629-2024</t>
        </is>
      </c>
      <c r="B1084" s="1" t="n">
        <v>45593.46605324074</v>
      </c>
      <c r="C1084" s="1" t="n">
        <v>45976</v>
      </c>
      <c r="D1084" t="inlineStr">
        <is>
          <t>VÄRMLANDS LÄN</t>
        </is>
      </c>
      <c r="E1084" t="inlineStr">
        <is>
          <t>TORSBY</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9203-2024</t>
        </is>
      </c>
      <c r="B1085" s="1" t="n">
        <v>45358</v>
      </c>
      <c r="C1085" s="1" t="n">
        <v>45976</v>
      </c>
      <c r="D1085" t="inlineStr">
        <is>
          <t>VÄRMLANDS LÄN</t>
        </is>
      </c>
      <c r="E1085" t="inlineStr">
        <is>
          <t>TORSBY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53492-2022</t>
        </is>
      </c>
      <c r="B1086" s="1" t="n">
        <v>44879.56734953704</v>
      </c>
      <c r="C1086" s="1" t="n">
        <v>45976</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41478-2025</t>
        </is>
      </c>
      <c r="B1087" s="1" t="n">
        <v>45901</v>
      </c>
      <c r="C1087" s="1" t="n">
        <v>45976</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41293-2025</t>
        </is>
      </c>
      <c r="B1088" s="1" t="n">
        <v>45898</v>
      </c>
      <c r="C1088" s="1" t="n">
        <v>45976</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25629-2024</t>
        </is>
      </c>
      <c r="B1089" s="1" t="n">
        <v>45463</v>
      </c>
      <c r="C1089" s="1" t="n">
        <v>45976</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27090-2024</t>
        </is>
      </c>
      <c r="B1090" s="1" t="n">
        <v>45471</v>
      </c>
      <c r="C1090" s="1" t="n">
        <v>45976</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6013-2024</t>
        </is>
      </c>
      <c r="B1091" s="1" t="n">
        <v>45336.60763888889</v>
      </c>
      <c r="C1091" s="1" t="n">
        <v>45976</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61738-2020</t>
        </is>
      </c>
      <c r="B1092" s="1" t="n">
        <v>44158</v>
      </c>
      <c r="C1092" s="1" t="n">
        <v>45976</v>
      </c>
      <c r="D1092" t="inlineStr">
        <is>
          <t>VÄRMLANDS LÄN</t>
        </is>
      </c>
      <c r="E1092" t="inlineStr">
        <is>
          <t>TORSBY</t>
        </is>
      </c>
      <c r="F1092" t="inlineStr">
        <is>
          <t>Kommuner</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41189-2025</t>
        </is>
      </c>
      <c r="B1093" s="1" t="n">
        <v>45898</v>
      </c>
      <c r="C1093" s="1" t="n">
        <v>45976</v>
      </c>
      <c r="D1093" t="inlineStr">
        <is>
          <t>VÄRMLANDS LÄN</t>
        </is>
      </c>
      <c r="E1093" t="inlineStr">
        <is>
          <t>TORSBY</t>
        </is>
      </c>
      <c r="F1093" t="inlineStr">
        <is>
          <t>Övriga Aktiebolag</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41194-2025</t>
        </is>
      </c>
      <c r="B1094" s="1" t="n">
        <v>45898.57028935185</v>
      </c>
      <c r="C1094" s="1" t="n">
        <v>45976</v>
      </c>
      <c r="D1094" t="inlineStr">
        <is>
          <t>VÄRMLANDS LÄN</t>
        </is>
      </c>
      <c r="E1094" t="inlineStr">
        <is>
          <t>TORSBY</t>
        </is>
      </c>
      <c r="F1094" t="inlineStr">
        <is>
          <t>Bergvik skog väst AB</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43289-2022</t>
        </is>
      </c>
      <c r="B1095" s="1" t="n">
        <v>44834.51623842592</v>
      </c>
      <c r="C1095" s="1" t="n">
        <v>45976</v>
      </c>
      <c r="D1095" t="inlineStr">
        <is>
          <t>VÄRMLANDS LÄN</t>
        </is>
      </c>
      <c r="E1095" t="inlineStr">
        <is>
          <t>TORSBY</t>
        </is>
      </c>
      <c r="G1095" t="n">
        <v>11.2</v>
      </c>
      <c r="H1095" t="n">
        <v>0</v>
      </c>
      <c r="I1095" t="n">
        <v>0</v>
      </c>
      <c r="J1095" t="n">
        <v>0</v>
      </c>
      <c r="K1095" t="n">
        <v>0</v>
      </c>
      <c r="L1095" t="n">
        <v>0</v>
      </c>
      <c r="M1095" t="n">
        <v>0</v>
      </c>
      <c r="N1095" t="n">
        <v>0</v>
      </c>
      <c r="O1095" t="n">
        <v>0</v>
      </c>
      <c r="P1095" t="n">
        <v>0</v>
      </c>
      <c r="Q1095" t="n">
        <v>0</v>
      </c>
      <c r="R1095" s="2" t="inlineStr"/>
    </row>
    <row r="1096" ht="15" customHeight="1">
      <c r="A1096" t="inlineStr">
        <is>
          <t>A 3864-2025</t>
        </is>
      </c>
      <c r="B1096" s="1" t="n">
        <v>45684</v>
      </c>
      <c r="C1096" s="1" t="n">
        <v>45976</v>
      </c>
      <c r="D1096" t="inlineStr">
        <is>
          <t>VÄRMLANDS LÄN</t>
        </is>
      </c>
      <c r="E1096" t="inlineStr">
        <is>
          <t>TORSBY</t>
        </is>
      </c>
      <c r="F1096" t="inlineStr">
        <is>
          <t>Bergvik skog väst AB</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46166-2024</t>
        </is>
      </c>
      <c r="B1097" s="1" t="n">
        <v>45581</v>
      </c>
      <c r="C1097" s="1" t="n">
        <v>45976</v>
      </c>
      <c r="D1097" t="inlineStr">
        <is>
          <t>VÄRMLANDS LÄN</t>
        </is>
      </c>
      <c r="E1097" t="inlineStr">
        <is>
          <t>TORSBY</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24111-2025</t>
        </is>
      </c>
      <c r="B1098" s="1" t="n">
        <v>45796.60822916667</v>
      </c>
      <c r="C1098" s="1" t="n">
        <v>45976</v>
      </c>
      <c r="D1098" t="inlineStr">
        <is>
          <t>VÄRMLANDS LÄN</t>
        </is>
      </c>
      <c r="E1098" t="inlineStr">
        <is>
          <t>TORSBY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53748-2024</t>
        </is>
      </c>
      <c r="B1099" s="1" t="n">
        <v>45615.48322916667</v>
      </c>
      <c r="C1099" s="1" t="n">
        <v>45976</v>
      </c>
      <c r="D1099" t="inlineStr">
        <is>
          <t>VÄRMLANDS LÄN</t>
        </is>
      </c>
      <c r="E1099" t="inlineStr">
        <is>
          <t>TORSBY</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53358-2024</t>
        </is>
      </c>
      <c r="B1100" s="1" t="n">
        <v>45614</v>
      </c>
      <c r="C1100" s="1" t="n">
        <v>45976</v>
      </c>
      <c r="D1100" t="inlineStr">
        <is>
          <t>VÄRMLANDS LÄN</t>
        </is>
      </c>
      <c r="E1100" t="inlineStr">
        <is>
          <t>TORSBY</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4707-2023</t>
        </is>
      </c>
      <c r="B1101" s="1" t="n">
        <v>44957</v>
      </c>
      <c r="C1101" s="1" t="n">
        <v>45976</v>
      </c>
      <c r="D1101" t="inlineStr">
        <is>
          <t>VÄRMLANDS LÄN</t>
        </is>
      </c>
      <c r="E1101" t="inlineStr">
        <is>
          <t>TORSBY</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67172-2021</t>
        </is>
      </c>
      <c r="B1102" s="1" t="n">
        <v>44523.4271875</v>
      </c>
      <c r="C1102" s="1" t="n">
        <v>45976</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35553-2023</t>
        </is>
      </c>
      <c r="B1103" s="1" t="n">
        <v>45147</v>
      </c>
      <c r="C1103" s="1" t="n">
        <v>45976</v>
      </c>
      <c r="D1103" t="inlineStr">
        <is>
          <t>VÄRMLANDS LÄN</t>
        </is>
      </c>
      <c r="E1103" t="inlineStr">
        <is>
          <t>TORSBY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53099-2024</t>
        </is>
      </c>
      <c r="B1104" s="1" t="n">
        <v>45611.54206018519</v>
      </c>
      <c r="C1104" s="1" t="n">
        <v>45976</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28329-2024</t>
        </is>
      </c>
      <c r="B1105" s="1" t="n">
        <v>45477</v>
      </c>
      <c r="C1105" s="1" t="n">
        <v>45976</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3269-2025</t>
        </is>
      </c>
      <c r="B1106" s="1" t="n">
        <v>45679.58148148148</v>
      </c>
      <c r="C1106" s="1" t="n">
        <v>45976</v>
      </c>
      <c r="D1106" t="inlineStr">
        <is>
          <t>VÄRMLANDS LÄN</t>
        </is>
      </c>
      <c r="E1106" t="inlineStr">
        <is>
          <t>TORSBY</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60272-2024</t>
        </is>
      </c>
      <c r="B1107" s="1" t="n">
        <v>45642</v>
      </c>
      <c r="C1107" s="1" t="n">
        <v>45976</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24576-2025</t>
        </is>
      </c>
      <c r="B1108" s="1" t="n">
        <v>45798</v>
      </c>
      <c r="C1108" s="1" t="n">
        <v>45976</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37075-2021</t>
        </is>
      </c>
      <c r="B1109" s="1" t="n">
        <v>44394</v>
      </c>
      <c r="C1109" s="1" t="n">
        <v>45976</v>
      </c>
      <c r="D1109" t="inlineStr">
        <is>
          <t>VÄRMLANDS LÄN</t>
        </is>
      </c>
      <c r="E1109" t="inlineStr">
        <is>
          <t>TORSBY</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22565-2024</t>
        </is>
      </c>
      <c r="B1110" s="1" t="n">
        <v>45447</v>
      </c>
      <c r="C1110" s="1" t="n">
        <v>45976</v>
      </c>
      <c r="D1110" t="inlineStr">
        <is>
          <t>VÄRMLANDS LÄN</t>
        </is>
      </c>
      <c r="E1110" t="inlineStr">
        <is>
          <t>TORSBY</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44423-2024</t>
        </is>
      </c>
      <c r="B1111" s="1" t="n">
        <v>45573</v>
      </c>
      <c r="C1111" s="1" t="n">
        <v>45976</v>
      </c>
      <c r="D1111" t="inlineStr">
        <is>
          <t>VÄRMLANDS LÄN</t>
        </is>
      </c>
      <c r="E1111" t="inlineStr">
        <is>
          <t>TORSBY</t>
        </is>
      </c>
      <c r="G1111" t="n">
        <v>34.1</v>
      </c>
      <c r="H1111" t="n">
        <v>0</v>
      </c>
      <c r="I1111" t="n">
        <v>0</v>
      </c>
      <c r="J1111" t="n">
        <v>0</v>
      </c>
      <c r="K1111" t="n">
        <v>0</v>
      </c>
      <c r="L1111" t="n">
        <v>0</v>
      </c>
      <c r="M1111" t="n">
        <v>0</v>
      </c>
      <c r="N1111" t="n">
        <v>0</v>
      </c>
      <c r="O1111" t="n">
        <v>0</v>
      </c>
      <c r="P1111" t="n">
        <v>0</v>
      </c>
      <c r="Q1111" t="n">
        <v>0</v>
      </c>
      <c r="R1111" s="2" t="inlineStr"/>
    </row>
    <row r="1112" ht="15" customHeight="1">
      <c r="A1112" t="inlineStr">
        <is>
          <t>A 34353-2025</t>
        </is>
      </c>
      <c r="B1112" s="1" t="n">
        <v>45846.4775</v>
      </c>
      <c r="C1112" s="1" t="n">
        <v>45976</v>
      </c>
      <c r="D1112" t="inlineStr">
        <is>
          <t>VÄRMLANDS LÄN</t>
        </is>
      </c>
      <c r="E1112" t="inlineStr">
        <is>
          <t>TORSBY</t>
        </is>
      </c>
      <c r="G1112" t="n">
        <v>14.5</v>
      </c>
      <c r="H1112" t="n">
        <v>0</v>
      </c>
      <c r="I1112" t="n">
        <v>0</v>
      </c>
      <c r="J1112" t="n">
        <v>0</v>
      </c>
      <c r="K1112" t="n">
        <v>0</v>
      </c>
      <c r="L1112" t="n">
        <v>0</v>
      </c>
      <c r="M1112" t="n">
        <v>0</v>
      </c>
      <c r="N1112" t="n">
        <v>0</v>
      </c>
      <c r="O1112" t="n">
        <v>0</v>
      </c>
      <c r="P1112" t="n">
        <v>0</v>
      </c>
      <c r="Q1112" t="n">
        <v>0</v>
      </c>
      <c r="R1112" s="2" t="inlineStr"/>
    </row>
    <row r="1113" ht="15" customHeight="1">
      <c r="A1113" t="inlineStr">
        <is>
          <t>A 25579-2023</t>
        </is>
      </c>
      <c r="B1113" s="1" t="n">
        <v>45089.62266203704</v>
      </c>
      <c r="C1113" s="1" t="n">
        <v>45976</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53460-2024</t>
        </is>
      </c>
      <c r="B1114" s="1" t="n">
        <v>45611</v>
      </c>
      <c r="C1114" s="1" t="n">
        <v>45976</v>
      </c>
      <c r="D1114" t="inlineStr">
        <is>
          <t>VÄRMLANDS LÄN</t>
        </is>
      </c>
      <c r="E1114" t="inlineStr">
        <is>
          <t>TORSBY</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7283-2023</t>
        </is>
      </c>
      <c r="B1115" s="1" t="n">
        <v>44970</v>
      </c>
      <c r="C1115" s="1" t="n">
        <v>45976</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46914-2024</t>
        </is>
      </c>
      <c r="B1116" s="1" t="n">
        <v>45583.7577662037</v>
      </c>
      <c r="C1116" s="1" t="n">
        <v>45976</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41376-2025</t>
        </is>
      </c>
      <c r="B1117" s="1" t="n">
        <v>45900.84105324074</v>
      </c>
      <c r="C1117" s="1" t="n">
        <v>45976</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54532-2023</t>
        </is>
      </c>
      <c r="B1118" s="1" t="n">
        <v>45233</v>
      </c>
      <c r="C1118" s="1" t="n">
        <v>45976</v>
      </c>
      <c r="D1118" t="inlineStr">
        <is>
          <t>VÄRMLANDS LÄN</t>
        </is>
      </c>
      <c r="E1118" t="inlineStr">
        <is>
          <t>TORSBY</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35057-2023</t>
        </is>
      </c>
      <c r="B1119" s="1" t="n">
        <v>45145.3909375</v>
      </c>
      <c r="C1119" s="1" t="n">
        <v>45976</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41471-2025</t>
        </is>
      </c>
      <c r="B1120" s="1" t="n">
        <v>45901.46770833333</v>
      </c>
      <c r="C1120" s="1" t="n">
        <v>45976</v>
      </c>
      <c r="D1120" t="inlineStr">
        <is>
          <t>VÄRMLANDS LÄN</t>
        </is>
      </c>
      <c r="E1120" t="inlineStr">
        <is>
          <t>TORSBY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41711-2025</t>
        </is>
      </c>
      <c r="B1121" s="1" t="n">
        <v>45902.43106481482</v>
      </c>
      <c r="C1121" s="1" t="n">
        <v>45976</v>
      </c>
      <c r="D1121" t="inlineStr">
        <is>
          <t>VÄRMLANDS LÄN</t>
        </is>
      </c>
      <c r="E1121" t="inlineStr">
        <is>
          <t>TORSBY</t>
        </is>
      </c>
      <c r="G1121" t="n">
        <v>11.1</v>
      </c>
      <c r="H1121" t="n">
        <v>0</v>
      </c>
      <c r="I1121" t="n">
        <v>0</v>
      </c>
      <c r="J1121" t="n">
        <v>0</v>
      </c>
      <c r="K1121" t="n">
        <v>0</v>
      </c>
      <c r="L1121" t="n">
        <v>0</v>
      </c>
      <c r="M1121" t="n">
        <v>0</v>
      </c>
      <c r="N1121" t="n">
        <v>0</v>
      </c>
      <c r="O1121" t="n">
        <v>0</v>
      </c>
      <c r="P1121" t="n">
        <v>0</v>
      </c>
      <c r="Q1121" t="n">
        <v>0</v>
      </c>
      <c r="R1121" s="2" t="inlineStr"/>
    </row>
    <row r="1122" ht="15" customHeight="1">
      <c r="A1122" t="inlineStr">
        <is>
          <t>A 50373-2025</t>
        </is>
      </c>
      <c r="B1122" s="1" t="n">
        <v>45944.59106481481</v>
      </c>
      <c r="C1122" s="1" t="n">
        <v>45976</v>
      </c>
      <c r="D1122" t="inlineStr">
        <is>
          <t>VÄRMLANDS LÄN</t>
        </is>
      </c>
      <c r="E1122" t="inlineStr">
        <is>
          <t>TORSBY</t>
        </is>
      </c>
      <c r="F1122" t="inlineStr">
        <is>
          <t>Bergvik skog väst AB</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8012-2023</t>
        </is>
      </c>
      <c r="B1123" s="1" t="n">
        <v>44973</v>
      </c>
      <c r="C1123" s="1" t="n">
        <v>45976</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15899-2024</t>
        </is>
      </c>
      <c r="B1124" s="1" t="n">
        <v>45405.4034837963</v>
      </c>
      <c r="C1124" s="1" t="n">
        <v>45976</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41895-2025</t>
        </is>
      </c>
      <c r="B1125" s="1" t="n">
        <v>45903.38645833333</v>
      </c>
      <c r="C1125" s="1" t="n">
        <v>45976</v>
      </c>
      <c r="D1125" t="inlineStr">
        <is>
          <t>VÄRMLANDS LÄN</t>
        </is>
      </c>
      <c r="E1125" t="inlineStr">
        <is>
          <t>TORSBY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41958-2025</t>
        </is>
      </c>
      <c r="B1126" s="1" t="n">
        <v>45903.46856481482</v>
      </c>
      <c r="C1126" s="1" t="n">
        <v>45976</v>
      </c>
      <c r="D1126" t="inlineStr">
        <is>
          <t>VÄRMLANDS LÄN</t>
        </is>
      </c>
      <c r="E1126" t="inlineStr">
        <is>
          <t>TORSBY</t>
        </is>
      </c>
      <c r="F1126" t="inlineStr">
        <is>
          <t>Bergvik skog väst AB</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13586-2023</t>
        </is>
      </c>
      <c r="B1127" s="1" t="n">
        <v>45006</v>
      </c>
      <c r="C1127" s="1" t="n">
        <v>45976</v>
      </c>
      <c r="D1127" t="inlineStr">
        <is>
          <t>VÄRMLANDS LÄN</t>
        </is>
      </c>
      <c r="E1127" t="inlineStr">
        <is>
          <t>TORSBY</t>
        </is>
      </c>
      <c r="F1127" t="inlineStr">
        <is>
          <t>Kommuner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62510-2023</t>
        </is>
      </c>
      <c r="B1128" s="1" t="n">
        <v>45268.61853009259</v>
      </c>
      <c r="C1128" s="1" t="n">
        <v>45976</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42108-2025</t>
        </is>
      </c>
      <c r="B1129" s="1" t="n">
        <v>45903</v>
      </c>
      <c r="C1129" s="1" t="n">
        <v>45976</v>
      </c>
      <c r="D1129" t="inlineStr">
        <is>
          <t>VÄRMLANDS LÄN</t>
        </is>
      </c>
      <c r="E1129" t="inlineStr">
        <is>
          <t>TORSBY</t>
        </is>
      </c>
      <c r="F1129" t="inlineStr">
        <is>
          <t>Bergvik skog väst AB</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49203-2025</t>
        </is>
      </c>
      <c r="B1130" s="1" t="n">
        <v>45938</v>
      </c>
      <c r="C1130" s="1" t="n">
        <v>45976</v>
      </c>
      <c r="D1130" t="inlineStr">
        <is>
          <t>VÄRMLANDS LÄN</t>
        </is>
      </c>
      <c r="E1130" t="inlineStr">
        <is>
          <t>TORSBY</t>
        </is>
      </c>
      <c r="F1130" t="inlineStr">
        <is>
          <t>Bergvik skog väst AB</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6968-2025</t>
        </is>
      </c>
      <c r="B1131" s="1" t="n">
        <v>45701.53253472222</v>
      </c>
      <c r="C1131" s="1" t="n">
        <v>45976</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27446-2021</t>
        </is>
      </c>
      <c r="B1132" s="1" t="n">
        <v>44351</v>
      </c>
      <c r="C1132" s="1" t="n">
        <v>45976</v>
      </c>
      <c r="D1132" t="inlineStr">
        <is>
          <t>VÄRMLANDS LÄN</t>
        </is>
      </c>
      <c r="E1132" t="inlineStr">
        <is>
          <t>TORSBY</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15083-2024</t>
        </is>
      </c>
      <c r="B1133" s="1" t="n">
        <v>45399.63163194444</v>
      </c>
      <c r="C1133" s="1" t="n">
        <v>45976</v>
      </c>
      <c r="D1133" t="inlineStr">
        <is>
          <t>VÄRMLANDS LÄN</t>
        </is>
      </c>
      <c r="E1133" t="inlineStr">
        <is>
          <t>TORSBY</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41744-2025</t>
        </is>
      </c>
      <c r="B1134" s="1" t="n">
        <v>45902</v>
      </c>
      <c r="C1134" s="1" t="n">
        <v>45976</v>
      </c>
      <c r="D1134" t="inlineStr">
        <is>
          <t>VÄRMLANDS LÄN</t>
        </is>
      </c>
      <c r="E1134" t="inlineStr">
        <is>
          <t>TORSBY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41627-2025</t>
        </is>
      </c>
      <c r="B1135" s="1" t="n">
        <v>45901.79328703704</v>
      </c>
      <c r="C1135" s="1" t="n">
        <v>45976</v>
      </c>
      <c r="D1135" t="inlineStr">
        <is>
          <t>VÄRMLANDS LÄN</t>
        </is>
      </c>
      <c r="E1135" t="inlineStr">
        <is>
          <t>TORSBY</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41022-2023</t>
        </is>
      </c>
      <c r="B1136" s="1" t="n">
        <v>45173</v>
      </c>
      <c r="C1136" s="1" t="n">
        <v>45976</v>
      </c>
      <c r="D1136" t="inlineStr">
        <is>
          <t>VÄRMLANDS LÄN</t>
        </is>
      </c>
      <c r="E1136" t="inlineStr">
        <is>
          <t>TORSBY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27115-2024</t>
        </is>
      </c>
      <c r="B1137" s="1" t="n">
        <v>45471</v>
      </c>
      <c r="C1137" s="1" t="n">
        <v>45976</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41740-2025</t>
        </is>
      </c>
      <c r="B1138" s="1" t="n">
        <v>45902</v>
      </c>
      <c r="C1138" s="1" t="n">
        <v>45976</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41746-2025</t>
        </is>
      </c>
      <c r="B1139" s="1" t="n">
        <v>45902.48660879629</v>
      </c>
      <c r="C1139" s="1" t="n">
        <v>45976</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16433-2023</t>
        </is>
      </c>
      <c r="B1140" s="1" t="n">
        <v>45022</v>
      </c>
      <c r="C1140" s="1" t="n">
        <v>45976</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28559-2021</t>
        </is>
      </c>
      <c r="B1141" s="1" t="n">
        <v>44356</v>
      </c>
      <c r="C1141" s="1" t="n">
        <v>45976</v>
      </c>
      <c r="D1141" t="inlineStr">
        <is>
          <t>VÄRMLANDS LÄN</t>
        </is>
      </c>
      <c r="E1141" t="inlineStr">
        <is>
          <t>TORSBY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21757-2024</t>
        </is>
      </c>
      <c r="B1142" s="1" t="n">
        <v>45442</v>
      </c>
      <c r="C1142" s="1" t="n">
        <v>45976</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34430-2023</t>
        </is>
      </c>
      <c r="B1143" s="1" t="n">
        <v>45139.62216435185</v>
      </c>
      <c r="C1143" s="1" t="n">
        <v>45976</v>
      </c>
      <c r="D1143" t="inlineStr">
        <is>
          <t>VÄRMLANDS LÄN</t>
        </is>
      </c>
      <c r="E1143" t="inlineStr">
        <is>
          <t>TORSBY</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43988-2024</t>
        </is>
      </c>
      <c r="B1144" s="1" t="n">
        <v>45572</v>
      </c>
      <c r="C1144" s="1" t="n">
        <v>45976</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12458-2023</t>
        </is>
      </c>
      <c r="B1145" s="1" t="n">
        <v>44999</v>
      </c>
      <c r="C1145" s="1" t="n">
        <v>45976</v>
      </c>
      <c r="D1145" t="inlineStr">
        <is>
          <t>VÄRMLANDS LÄN</t>
        </is>
      </c>
      <c r="E1145" t="inlineStr">
        <is>
          <t>TORSBY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18331-2025</t>
        </is>
      </c>
      <c r="B1146" s="1" t="n">
        <v>45762</v>
      </c>
      <c r="C1146" s="1" t="n">
        <v>45976</v>
      </c>
      <c r="D1146" t="inlineStr">
        <is>
          <t>VÄRMLANDS LÄN</t>
        </is>
      </c>
      <c r="E1146" t="inlineStr">
        <is>
          <t>TORSBY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41634-2025</t>
        </is>
      </c>
      <c r="B1147" s="1" t="n">
        <v>45902</v>
      </c>
      <c r="C1147" s="1" t="n">
        <v>45976</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66459-2020</t>
        </is>
      </c>
      <c r="B1148" s="1" t="n">
        <v>44176</v>
      </c>
      <c r="C1148" s="1" t="n">
        <v>45976</v>
      </c>
      <c r="D1148" t="inlineStr">
        <is>
          <t>VÄRMLANDS LÄN</t>
        </is>
      </c>
      <c r="E1148" t="inlineStr">
        <is>
          <t>TORSBY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41975-2025</t>
        </is>
      </c>
      <c r="B1149" s="1" t="n">
        <v>45903.49732638889</v>
      </c>
      <c r="C1149" s="1" t="n">
        <v>45976</v>
      </c>
      <c r="D1149" t="inlineStr">
        <is>
          <t>VÄRMLANDS LÄN</t>
        </is>
      </c>
      <c r="E1149" t="inlineStr">
        <is>
          <t>TORSBY</t>
        </is>
      </c>
      <c r="F1149" t="inlineStr">
        <is>
          <t>Bergvik skog väst AB</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19791-2025</t>
        </is>
      </c>
      <c r="B1150" s="1" t="n">
        <v>45771.4452662037</v>
      </c>
      <c r="C1150" s="1" t="n">
        <v>45976</v>
      </c>
      <c r="D1150" t="inlineStr">
        <is>
          <t>VÄRMLANDS LÄN</t>
        </is>
      </c>
      <c r="E1150" t="inlineStr">
        <is>
          <t>TORSBY</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54609-2024</t>
        </is>
      </c>
      <c r="B1151" s="1" t="n">
        <v>45617</v>
      </c>
      <c r="C1151" s="1" t="n">
        <v>45976</v>
      </c>
      <c r="D1151" t="inlineStr">
        <is>
          <t>VÄRMLANDS LÄN</t>
        </is>
      </c>
      <c r="E1151" t="inlineStr">
        <is>
          <t>TORSBY</t>
        </is>
      </c>
      <c r="F1151" t="inlineStr">
        <is>
          <t>Kommuner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47271-2021</t>
        </is>
      </c>
      <c r="B1152" s="1" t="n">
        <v>44447</v>
      </c>
      <c r="C1152" s="1" t="n">
        <v>45976</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50680-2023</t>
        </is>
      </c>
      <c r="B1153" s="1" t="n">
        <v>45217.5165625</v>
      </c>
      <c r="C1153" s="1" t="n">
        <v>45976</v>
      </c>
      <c r="D1153" t="inlineStr">
        <is>
          <t>VÄRMLANDS LÄN</t>
        </is>
      </c>
      <c r="E1153" t="inlineStr">
        <is>
          <t>TORSBY</t>
        </is>
      </c>
      <c r="F1153" t="inlineStr">
        <is>
          <t>Bergvik skog väst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21409-2023</t>
        </is>
      </c>
      <c r="B1154" s="1" t="n">
        <v>45063</v>
      </c>
      <c r="C1154" s="1" t="n">
        <v>45976</v>
      </c>
      <c r="D1154" t="inlineStr">
        <is>
          <t>VÄRMLANDS LÄN</t>
        </is>
      </c>
      <c r="E1154" t="inlineStr">
        <is>
          <t>TORSBY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15939-2021</t>
        </is>
      </c>
      <c r="B1155" s="1" t="n">
        <v>44287</v>
      </c>
      <c r="C1155" s="1" t="n">
        <v>45976</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50918-2025</t>
        </is>
      </c>
      <c r="B1156" s="1" t="n">
        <v>45946.66516203704</v>
      </c>
      <c r="C1156" s="1" t="n">
        <v>45976</v>
      </c>
      <c r="D1156" t="inlineStr">
        <is>
          <t>VÄRMLANDS LÄN</t>
        </is>
      </c>
      <c r="E1156" t="inlineStr">
        <is>
          <t>TORSBY</t>
        </is>
      </c>
      <c r="F1156" t="inlineStr">
        <is>
          <t>Kommuner</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50921-2025</t>
        </is>
      </c>
      <c r="B1157" s="1" t="n">
        <v>45946.67092592592</v>
      </c>
      <c r="C1157" s="1" t="n">
        <v>45976</v>
      </c>
      <c r="D1157" t="inlineStr">
        <is>
          <t>VÄRMLANDS LÄN</t>
        </is>
      </c>
      <c r="E1157" t="inlineStr">
        <is>
          <t>TORSBY</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42354-2025</t>
        </is>
      </c>
      <c r="B1158" s="1" t="n">
        <v>45904</v>
      </c>
      <c r="C1158" s="1" t="n">
        <v>45976</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42563-2025</t>
        </is>
      </c>
      <c r="B1159" s="1" t="n">
        <v>45905.60097222222</v>
      </c>
      <c r="C1159" s="1" t="n">
        <v>45976</v>
      </c>
      <c r="D1159" t="inlineStr">
        <is>
          <t>VÄRMLANDS LÄN</t>
        </is>
      </c>
      <c r="E1159" t="inlineStr">
        <is>
          <t>TORSBY</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14025-2025</t>
        </is>
      </c>
      <c r="B1160" s="1" t="n">
        <v>45740</v>
      </c>
      <c r="C1160" s="1" t="n">
        <v>45976</v>
      </c>
      <c r="D1160" t="inlineStr">
        <is>
          <t>VÄRMLANDS LÄN</t>
        </is>
      </c>
      <c r="E1160" t="inlineStr">
        <is>
          <t>TORSBY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42945-2024</t>
        </is>
      </c>
      <c r="B1161" s="1" t="n">
        <v>45567</v>
      </c>
      <c r="C1161" s="1" t="n">
        <v>45976</v>
      </c>
      <c r="D1161" t="inlineStr">
        <is>
          <t>VÄRMLANDS LÄN</t>
        </is>
      </c>
      <c r="E1161" t="inlineStr">
        <is>
          <t>TORSBY</t>
        </is>
      </c>
      <c r="F1161" t="inlineStr">
        <is>
          <t>Bergvik skog väst AB</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42308-2025</t>
        </is>
      </c>
      <c r="B1162" s="1" t="n">
        <v>45904</v>
      </c>
      <c r="C1162" s="1" t="n">
        <v>45976</v>
      </c>
      <c r="D1162" t="inlineStr">
        <is>
          <t>VÄRMLANDS LÄN</t>
        </is>
      </c>
      <c r="E1162" t="inlineStr">
        <is>
          <t>TORSBY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42149-2025</t>
        </is>
      </c>
      <c r="B1163" s="1" t="n">
        <v>45904.38109953704</v>
      </c>
      <c r="C1163" s="1" t="n">
        <v>45976</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20725-2024</t>
        </is>
      </c>
      <c r="B1164" s="1" t="n">
        <v>45436.65284722222</v>
      </c>
      <c r="C1164" s="1" t="n">
        <v>45976</v>
      </c>
      <c r="D1164" t="inlineStr">
        <is>
          <t>VÄRMLANDS LÄN</t>
        </is>
      </c>
      <c r="E1164" t="inlineStr">
        <is>
          <t>TORSBY</t>
        </is>
      </c>
      <c r="F1164" t="inlineStr">
        <is>
          <t>Bergvik skog väst AB</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67933-2021</t>
        </is>
      </c>
      <c r="B1165" s="1" t="n">
        <v>44525</v>
      </c>
      <c r="C1165" s="1" t="n">
        <v>45976</v>
      </c>
      <c r="D1165" t="inlineStr">
        <is>
          <t>VÄRMLANDS LÄN</t>
        </is>
      </c>
      <c r="E1165" t="inlineStr">
        <is>
          <t>TORSBY</t>
        </is>
      </c>
      <c r="F1165" t="inlineStr">
        <is>
          <t>Bergvik skog väst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42296-2025</t>
        </is>
      </c>
      <c r="B1166" s="1" t="n">
        <v>45904.63361111111</v>
      </c>
      <c r="C1166" s="1" t="n">
        <v>45976</v>
      </c>
      <c r="D1166" t="inlineStr">
        <is>
          <t>VÄRMLANDS LÄN</t>
        </is>
      </c>
      <c r="E1166" t="inlineStr">
        <is>
          <t>TORSBY</t>
        </is>
      </c>
      <c r="F1166" t="inlineStr">
        <is>
          <t>Bergvik skog väst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42349-2025</t>
        </is>
      </c>
      <c r="B1167" s="1" t="n">
        <v>45904</v>
      </c>
      <c r="C1167" s="1" t="n">
        <v>45976</v>
      </c>
      <c r="D1167" t="inlineStr">
        <is>
          <t>VÄRMLANDS LÄN</t>
        </is>
      </c>
      <c r="E1167" t="inlineStr">
        <is>
          <t>TORSBY</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34164-2024</t>
        </is>
      </c>
      <c r="B1168" s="1" t="n">
        <v>45524.41924768518</v>
      </c>
      <c r="C1168" s="1" t="n">
        <v>45976</v>
      </c>
      <c r="D1168" t="inlineStr">
        <is>
          <t>VÄRMLANDS LÄN</t>
        </is>
      </c>
      <c r="E1168" t="inlineStr">
        <is>
          <t>TORSBY</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20461-2025</t>
        </is>
      </c>
      <c r="B1169" s="1" t="n">
        <v>45775.53158564815</v>
      </c>
      <c r="C1169" s="1" t="n">
        <v>45976</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51113-2025</t>
        </is>
      </c>
      <c r="B1170" s="1" t="n">
        <v>45947.51290509259</v>
      </c>
      <c r="C1170" s="1" t="n">
        <v>45976</v>
      </c>
      <c r="D1170" t="inlineStr">
        <is>
          <t>VÄRMLANDS LÄN</t>
        </is>
      </c>
      <c r="E1170" t="inlineStr">
        <is>
          <t>TORSBY</t>
        </is>
      </c>
      <c r="F1170" t="inlineStr">
        <is>
          <t>Kommuner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11153-2024</t>
        </is>
      </c>
      <c r="B1171" s="1" t="n">
        <v>45371.4759837963</v>
      </c>
      <c r="C1171" s="1" t="n">
        <v>45976</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4219-2024</t>
        </is>
      </c>
      <c r="B1172" s="1" t="n">
        <v>45324</v>
      </c>
      <c r="C1172" s="1" t="n">
        <v>45976</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11211-2024</t>
        </is>
      </c>
      <c r="B1173" s="1" t="n">
        <v>45371</v>
      </c>
      <c r="C1173" s="1" t="n">
        <v>45976</v>
      </c>
      <c r="D1173" t="inlineStr">
        <is>
          <t>VÄRMLANDS LÄN</t>
        </is>
      </c>
      <c r="E1173" t="inlineStr">
        <is>
          <t>TORSBY</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13262-2024</t>
        </is>
      </c>
      <c r="B1174" s="1" t="n">
        <v>45386.59236111111</v>
      </c>
      <c r="C1174" s="1" t="n">
        <v>45976</v>
      </c>
      <c r="D1174" t="inlineStr">
        <is>
          <t>VÄRMLANDS LÄN</t>
        </is>
      </c>
      <c r="E1174" t="inlineStr">
        <is>
          <t>TORSBY</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50750-2025</t>
        </is>
      </c>
      <c r="B1175" s="1" t="n">
        <v>45946.39091435185</v>
      </c>
      <c r="C1175" s="1" t="n">
        <v>45976</v>
      </c>
      <c r="D1175" t="inlineStr">
        <is>
          <t>VÄRMLANDS LÄN</t>
        </is>
      </c>
      <c r="E1175" t="inlineStr">
        <is>
          <t>TORSBY</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3223-2025</t>
        </is>
      </c>
      <c r="B1176" s="1" t="n">
        <v>45679</v>
      </c>
      <c r="C1176" s="1" t="n">
        <v>45976</v>
      </c>
      <c r="D1176" t="inlineStr">
        <is>
          <t>VÄRMLANDS LÄN</t>
        </is>
      </c>
      <c r="E1176" t="inlineStr">
        <is>
          <t>TORSBY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3226-2025</t>
        </is>
      </c>
      <c r="B1177" s="1" t="n">
        <v>45679.48003472222</v>
      </c>
      <c r="C1177" s="1" t="n">
        <v>45976</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60133-2023</t>
        </is>
      </c>
      <c r="B1178" s="1" t="n">
        <v>45258</v>
      </c>
      <c r="C1178" s="1" t="n">
        <v>45976</v>
      </c>
      <c r="D1178" t="inlineStr">
        <is>
          <t>VÄRMLANDS LÄN</t>
        </is>
      </c>
      <c r="E1178" t="inlineStr">
        <is>
          <t>TORSBY</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31547-2023</t>
        </is>
      </c>
      <c r="B1179" s="1" t="n">
        <v>45117</v>
      </c>
      <c r="C1179" s="1" t="n">
        <v>45976</v>
      </c>
      <c r="D1179" t="inlineStr">
        <is>
          <t>VÄRMLANDS LÄN</t>
        </is>
      </c>
      <c r="E1179" t="inlineStr">
        <is>
          <t>TORSBY</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7133-2023</t>
        </is>
      </c>
      <c r="B1180" s="1" t="n">
        <v>44970.43622685185</v>
      </c>
      <c r="C1180" s="1" t="n">
        <v>45976</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42304-2025</t>
        </is>
      </c>
      <c r="B1181" s="1" t="n">
        <v>45904</v>
      </c>
      <c r="C1181" s="1" t="n">
        <v>45976</v>
      </c>
      <c r="D1181" t="inlineStr">
        <is>
          <t>VÄRMLANDS LÄN</t>
        </is>
      </c>
      <c r="E1181" t="inlineStr">
        <is>
          <t>TORSBY</t>
        </is>
      </c>
      <c r="F1181" t="inlineStr">
        <is>
          <t>Bergvik skog väst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42305-2025</t>
        </is>
      </c>
      <c r="B1182" s="1" t="n">
        <v>45904.64886574074</v>
      </c>
      <c r="C1182" s="1" t="n">
        <v>45976</v>
      </c>
      <c r="D1182" t="inlineStr">
        <is>
          <t>VÄRMLANDS LÄN</t>
        </is>
      </c>
      <c r="E1182" t="inlineStr">
        <is>
          <t>TORSBY</t>
        </is>
      </c>
      <c r="F1182" t="inlineStr">
        <is>
          <t>Bergvik skog väst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42352-2025</t>
        </is>
      </c>
      <c r="B1183" s="1" t="n">
        <v>45904</v>
      </c>
      <c r="C1183" s="1" t="n">
        <v>45976</v>
      </c>
      <c r="D1183" t="inlineStr">
        <is>
          <t>VÄRMLANDS LÄN</t>
        </is>
      </c>
      <c r="E1183" t="inlineStr">
        <is>
          <t>TORSBY</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57393-2022</t>
        </is>
      </c>
      <c r="B1184" s="1" t="n">
        <v>44896.47630787037</v>
      </c>
      <c r="C1184" s="1" t="n">
        <v>45976</v>
      </c>
      <c r="D1184" t="inlineStr">
        <is>
          <t>VÄRMLANDS LÄN</t>
        </is>
      </c>
      <c r="E1184" t="inlineStr">
        <is>
          <t>TORSBY</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42499-2025</t>
        </is>
      </c>
      <c r="B1185" s="1" t="n">
        <v>45905.5194675926</v>
      </c>
      <c r="C1185" s="1" t="n">
        <v>45976</v>
      </c>
      <c r="D1185" t="inlineStr">
        <is>
          <t>VÄRMLANDS LÄN</t>
        </is>
      </c>
      <c r="E1185" t="inlineStr">
        <is>
          <t>TORSBY</t>
        </is>
      </c>
      <c r="F1185" t="inlineStr">
        <is>
          <t>Bergvik skog väst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62258-2023</t>
        </is>
      </c>
      <c r="B1186" s="1" t="n">
        <v>45266</v>
      </c>
      <c r="C1186" s="1" t="n">
        <v>45976</v>
      </c>
      <c r="D1186" t="inlineStr">
        <is>
          <t>VÄRMLANDS LÄN</t>
        </is>
      </c>
      <c r="E1186" t="inlineStr">
        <is>
          <t>TORSBY</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42350-2025</t>
        </is>
      </c>
      <c r="B1187" s="1" t="n">
        <v>45904</v>
      </c>
      <c r="C1187" s="1" t="n">
        <v>45976</v>
      </c>
      <c r="D1187" t="inlineStr">
        <is>
          <t>VÄRMLANDS LÄN</t>
        </is>
      </c>
      <c r="E1187" t="inlineStr">
        <is>
          <t>TORSBY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51215-2025</t>
        </is>
      </c>
      <c r="B1188" s="1" t="n">
        <v>45947.64357638889</v>
      </c>
      <c r="C1188" s="1" t="n">
        <v>45976</v>
      </c>
      <c r="D1188" t="inlineStr">
        <is>
          <t>VÄRMLANDS LÄN</t>
        </is>
      </c>
      <c r="E1188" t="inlineStr">
        <is>
          <t>TORSBY</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51219-2025</t>
        </is>
      </c>
      <c r="B1189" s="1" t="n">
        <v>45947.64710648148</v>
      </c>
      <c r="C1189" s="1" t="n">
        <v>45976</v>
      </c>
      <c r="D1189" t="inlineStr">
        <is>
          <t>VÄRMLANDS LÄN</t>
        </is>
      </c>
      <c r="E1189" t="inlineStr">
        <is>
          <t>TORSBY</t>
        </is>
      </c>
      <c r="F1189" t="inlineStr">
        <is>
          <t>Bergvik skog väst AB</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19743-2025</t>
        </is>
      </c>
      <c r="B1190" s="1" t="n">
        <v>45771.37554398148</v>
      </c>
      <c r="C1190" s="1" t="n">
        <v>45976</v>
      </c>
      <c r="D1190" t="inlineStr">
        <is>
          <t>VÄRMLANDS LÄN</t>
        </is>
      </c>
      <c r="E1190" t="inlineStr">
        <is>
          <t>TORSBY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22301-2023</t>
        </is>
      </c>
      <c r="B1191" s="1" t="n">
        <v>45070</v>
      </c>
      <c r="C1191" s="1" t="n">
        <v>45976</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42496-2025</t>
        </is>
      </c>
      <c r="B1192" s="1" t="n">
        <v>45905.50864583333</v>
      </c>
      <c r="C1192" s="1" t="n">
        <v>45976</v>
      </c>
      <c r="D1192" t="inlineStr">
        <is>
          <t>VÄRMLANDS LÄN</t>
        </is>
      </c>
      <c r="E1192" t="inlineStr">
        <is>
          <t>TORSBY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14709-2023</t>
        </is>
      </c>
      <c r="B1193" s="1" t="n">
        <v>45014.41900462963</v>
      </c>
      <c r="C1193" s="1" t="n">
        <v>45976</v>
      </c>
      <c r="D1193" t="inlineStr">
        <is>
          <t>VÄRMLANDS LÄN</t>
        </is>
      </c>
      <c r="E1193" t="inlineStr">
        <is>
          <t>TORSBY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15022-2025</t>
        </is>
      </c>
      <c r="B1194" s="1" t="n">
        <v>45743</v>
      </c>
      <c r="C1194" s="1" t="n">
        <v>45976</v>
      </c>
      <c r="D1194" t="inlineStr">
        <is>
          <t>VÄRMLANDS LÄN</t>
        </is>
      </c>
      <c r="E1194" t="inlineStr">
        <is>
          <t>TORSBY</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19489-2022</t>
        </is>
      </c>
      <c r="B1195" s="1" t="n">
        <v>44693</v>
      </c>
      <c r="C1195" s="1" t="n">
        <v>45976</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11364-2023</t>
        </is>
      </c>
      <c r="B1196" s="1" t="n">
        <v>44993.43150462963</v>
      </c>
      <c r="C1196" s="1" t="n">
        <v>45976</v>
      </c>
      <c r="D1196" t="inlineStr">
        <is>
          <t>VÄRMLANDS LÄN</t>
        </is>
      </c>
      <c r="E1196" t="inlineStr">
        <is>
          <t>TORSBY</t>
        </is>
      </c>
      <c r="G1196" t="n">
        <v>31.9</v>
      </c>
      <c r="H1196" t="n">
        <v>0</v>
      </c>
      <c r="I1196" t="n">
        <v>0</v>
      </c>
      <c r="J1196" t="n">
        <v>0</v>
      </c>
      <c r="K1196" t="n">
        <v>0</v>
      </c>
      <c r="L1196" t="n">
        <v>0</v>
      </c>
      <c r="M1196" t="n">
        <v>0</v>
      </c>
      <c r="N1196" t="n">
        <v>0</v>
      </c>
      <c r="O1196" t="n">
        <v>0</v>
      </c>
      <c r="P1196" t="n">
        <v>0</v>
      </c>
      <c r="Q1196" t="n">
        <v>0</v>
      </c>
      <c r="R1196" s="2" t="inlineStr"/>
    </row>
    <row r="1197" ht="15" customHeight="1">
      <c r="A1197" t="inlineStr">
        <is>
          <t>A 46503-2024</t>
        </is>
      </c>
      <c r="B1197" s="1" t="n">
        <v>45582</v>
      </c>
      <c r="C1197" s="1" t="n">
        <v>45976</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50892-2025</t>
        </is>
      </c>
      <c r="B1198" s="1" t="n">
        <v>45946.63763888889</v>
      </c>
      <c r="C1198" s="1" t="n">
        <v>45976</v>
      </c>
      <c r="D1198" t="inlineStr">
        <is>
          <t>VÄRMLANDS LÄN</t>
        </is>
      </c>
      <c r="E1198" t="inlineStr">
        <is>
          <t>TORSBY</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50927-2025</t>
        </is>
      </c>
      <c r="B1199" s="1" t="n">
        <v>45946.67895833333</v>
      </c>
      <c r="C1199" s="1" t="n">
        <v>45976</v>
      </c>
      <c r="D1199" t="inlineStr">
        <is>
          <t>VÄRMLANDS LÄN</t>
        </is>
      </c>
      <c r="E1199" t="inlineStr">
        <is>
          <t>TORSBY</t>
        </is>
      </c>
      <c r="F1199" t="inlineStr">
        <is>
          <t>Kommuner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36558-2024</t>
        </is>
      </c>
      <c r="B1200" s="1" t="n">
        <v>45537</v>
      </c>
      <c r="C1200" s="1" t="n">
        <v>45976</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11581-2025</t>
        </is>
      </c>
      <c r="B1201" s="1" t="n">
        <v>45727</v>
      </c>
      <c r="C1201" s="1" t="n">
        <v>45976</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23073-2023</t>
        </is>
      </c>
      <c r="B1202" s="1" t="n">
        <v>45070</v>
      </c>
      <c r="C1202" s="1" t="n">
        <v>45976</v>
      </c>
      <c r="D1202" t="inlineStr">
        <is>
          <t>VÄRMLANDS LÄN</t>
        </is>
      </c>
      <c r="E1202" t="inlineStr">
        <is>
          <t>TORSBY</t>
        </is>
      </c>
      <c r="G1202" t="n">
        <v>15.1</v>
      </c>
      <c r="H1202" t="n">
        <v>0</v>
      </c>
      <c r="I1202" t="n">
        <v>0</v>
      </c>
      <c r="J1202" t="n">
        <v>0</v>
      </c>
      <c r="K1202" t="n">
        <v>0</v>
      </c>
      <c r="L1202" t="n">
        <v>0</v>
      </c>
      <c r="M1202" t="n">
        <v>0</v>
      </c>
      <c r="N1202" t="n">
        <v>0</v>
      </c>
      <c r="O1202" t="n">
        <v>0</v>
      </c>
      <c r="P1202" t="n">
        <v>0</v>
      </c>
      <c r="Q1202" t="n">
        <v>0</v>
      </c>
      <c r="R1202" s="2" t="inlineStr"/>
    </row>
    <row r="1203" ht="15" customHeight="1">
      <c r="A1203" t="inlineStr">
        <is>
          <t>A 63083-2023</t>
        </is>
      </c>
      <c r="B1203" s="1" t="n">
        <v>45273.348125</v>
      </c>
      <c r="C1203" s="1" t="n">
        <v>45976</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54004-2024</t>
        </is>
      </c>
      <c r="B1204" s="1" t="n">
        <v>45616.36659722222</v>
      </c>
      <c r="C1204" s="1" t="n">
        <v>45976</v>
      </c>
      <c r="D1204" t="inlineStr">
        <is>
          <t>VÄRMLANDS LÄN</t>
        </is>
      </c>
      <c r="E1204" t="inlineStr">
        <is>
          <t>TORSBY</t>
        </is>
      </c>
      <c r="F1204" t="inlineStr">
        <is>
          <t>Kommuner</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42152-2025</t>
        </is>
      </c>
      <c r="B1205" s="1" t="n">
        <v>45904.3884375</v>
      </c>
      <c r="C1205" s="1" t="n">
        <v>45976</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14369-2025</t>
        </is>
      </c>
      <c r="B1206" s="1" t="n">
        <v>45741</v>
      </c>
      <c r="C1206" s="1" t="n">
        <v>45976</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33862-2024</t>
        </is>
      </c>
      <c r="B1207" s="1" t="n">
        <v>45520.69163194444</v>
      </c>
      <c r="C1207" s="1" t="n">
        <v>45976</v>
      </c>
      <c r="D1207" t="inlineStr">
        <is>
          <t>VÄRMLANDS LÄN</t>
        </is>
      </c>
      <c r="E1207" t="inlineStr">
        <is>
          <t>TORSBY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42273-2025</t>
        </is>
      </c>
      <c r="B1208" s="1" t="n">
        <v>45904.60708333334</v>
      </c>
      <c r="C1208" s="1" t="n">
        <v>45976</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50906-2025</t>
        </is>
      </c>
      <c r="B1209" s="1" t="n">
        <v>45946.65119212963</v>
      </c>
      <c r="C1209" s="1" t="n">
        <v>45976</v>
      </c>
      <c r="D1209" t="inlineStr">
        <is>
          <t>VÄRMLANDS LÄN</t>
        </is>
      </c>
      <c r="E1209" t="inlineStr">
        <is>
          <t>TORSBY</t>
        </is>
      </c>
      <c r="F1209" t="inlineStr">
        <is>
          <t>Kommuner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52940-2024</t>
        </is>
      </c>
      <c r="B1210" s="1" t="n">
        <v>45610</v>
      </c>
      <c r="C1210" s="1" t="n">
        <v>45976</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42529-2025</t>
        </is>
      </c>
      <c r="B1211" s="1" t="n">
        <v>45905.55716435185</v>
      </c>
      <c r="C1211" s="1" t="n">
        <v>45976</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54822-2023</t>
        </is>
      </c>
      <c r="B1212" s="1" t="n">
        <v>45229</v>
      </c>
      <c r="C1212" s="1" t="n">
        <v>45976</v>
      </c>
      <c r="D1212" t="inlineStr">
        <is>
          <t>VÄRMLANDS LÄN</t>
        </is>
      </c>
      <c r="E1212" t="inlineStr">
        <is>
          <t>TORSBY</t>
        </is>
      </c>
      <c r="F1212" t="inlineStr">
        <is>
          <t>Övriga Aktiebolag</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42742-2025</t>
        </is>
      </c>
      <c r="B1213" s="1" t="n">
        <v>45908</v>
      </c>
      <c r="C1213" s="1" t="n">
        <v>45976</v>
      </c>
      <c r="D1213" t="inlineStr">
        <is>
          <t>VÄRMLANDS LÄN</t>
        </is>
      </c>
      <c r="E1213" t="inlineStr">
        <is>
          <t>TORSBY</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34534-2024</t>
        </is>
      </c>
      <c r="B1214" s="1" t="n">
        <v>45525</v>
      </c>
      <c r="C1214" s="1" t="n">
        <v>45976</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57536-2024</t>
        </is>
      </c>
      <c r="B1215" s="1" t="n">
        <v>45630.43023148148</v>
      </c>
      <c r="C1215" s="1" t="n">
        <v>45976</v>
      </c>
      <c r="D1215" t="inlineStr">
        <is>
          <t>VÄRMLANDS LÄN</t>
        </is>
      </c>
      <c r="E1215" t="inlineStr">
        <is>
          <t>TORSBY</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36775-2024</t>
        </is>
      </c>
      <c r="B1216" s="1" t="n">
        <v>45538</v>
      </c>
      <c r="C1216" s="1" t="n">
        <v>45976</v>
      </c>
      <c r="D1216" t="inlineStr">
        <is>
          <t>VÄRMLANDS LÄN</t>
        </is>
      </c>
      <c r="E1216" t="inlineStr">
        <is>
          <t>TORSBY</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26086-2024</t>
        </is>
      </c>
      <c r="B1217" s="1" t="n">
        <v>45468</v>
      </c>
      <c r="C1217" s="1" t="n">
        <v>45976</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22536-2024</t>
        </is>
      </c>
      <c r="B1218" s="1" t="n">
        <v>45447</v>
      </c>
      <c r="C1218" s="1" t="n">
        <v>45976</v>
      </c>
      <c r="D1218" t="inlineStr">
        <is>
          <t>VÄRMLANDS LÄN</t>
        </is>
      </c>
      <c r="E1218" t="inlineStr">
        <is>
          <t>TORSBY</t>
        </is>
      </c>
      <c r="G1218" t="n">
        <v>25.2</v>
      </c>
      <c r="H1218" t="n">
        <v>0</v>
      </c>
      <c r="I1218" t="n">
        <v>0</v>
      </c>
      <c r="J1218" t="n">
        <v>0</v>
      </c>
      <c r="K1218" t="n">
        <v>0</v>
      </c>
      <c r="L1218" t="n">
        <v>0</v>
      </c>
      <c r="M1218" t="n">
        <v>0</v>
      </c>
      <c r="N1218" t="n">
        <v>0</v>
      </c>
      <c r="O1218" t="n">
        <v>0</v>
      </c>
      <c r="P1218" t="n">
        <v>0</v>
      </c>
      <c r="Q1218" t="n">
        <v>0</v>
      </c>
      <c r="R1218" s="2" t="inlineStr"/>
    </row>
    <row r="1219" ht="15" customHeight="1">
      <c r="A1219" t="inlineStr">
        <is>
          <t>A 41504-2024</t>
        </is>
      </c>
      <c r="B1219" s="1" t="n">
        <v>45560</v>
      </c>
      <c r="C1219" s="1" t="n">
        <v>45976</v>
      </c>
      <c r="D1219" t="inlineStr">
        <is>
          <t>VÄRMLANDS LÄN</t>
        </is>
      </c>
      <c r="E1219" t="inlineStr">
        <is>
          <t>TORSBY</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41518-2024</t>
        </is>
      </c>
      <c r="B1220" s="1" t="n">
        <v>45560</v>
      </c>
      <c r="C1220" s="1" t="n">
        <v>45976</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14730-2024</t>
        </is>
      </c>
      <c r="B1221" s="1" t="n">
        <v>45397.58518518518</v>
      </c>
      <c r="C1221" s="1" t="n">
        <v>45976</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36758-2024</t>
        </is>
      </c>
      <c r="B1222" s="1" t="n">
        <v>45538.35525462963</v>
      </c>
      <c r="C1222" s="1" t="n">
        <v>45976</v>
      </c>
      <c r="D1222" t="inlineStr">
        <is>
          <t>VÄRMLANDS LÄN</t>
        </is>
      </c>
      <c r="E1222" t="inlineStr">
        <is>
          <t>TORSBY</t>
        </is>
      </c>
      <c r="F1222" t="inlineStr">
        <is>
          <t>Kyrkan</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62574-2022</t>
        </is>
      </c>
      <c r="B1223" s="1" t="n">
        <v>44924.85943287037</v>
      </c>
      <c r="C1223" s="1" t="n">
        <v>45976</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2390-2025</t>
        </is>
      </c>
      <c r="B1224" s="1" t="n">
        <v>45674.32071759259</v>
      </c>
      <c r="C1224" s="1" t="n">
        <v>45976</v>
      </c>
      <c r="D1224" t="inlineStr">
        <is>
          <t>VÄRMLANDS LÄN</t>
        </is>
      </c>
      <c r="E1224" t="inlineStr">
        <is>
          <t>TORSBY</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51587-2025</t>
        </is>
      </c>
      <c r="B1225" s="1" t="n">
        <v>45951.35355324074</v>
      </c>
      <c r="C1225" s="1" t="n">
        <v>45976</v>
      </c>
      <c r="D1225" t="inlineStr">
        <is>
          <t>VÄRMLANDS LÄN</t>
        </is>
      </c>
      <c r="E1225" t="inlineStr">
        <is>
          <t>TORSBY</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30267-2023</t>
        </is>
      </c>
      <c r="B1226" s="1" t="n">
        <v>45110.75915509259</v>
      </c>
      <c r="C1226" s="1" t="n">
        <v>45976</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30269-2023</t>
        </is>
      </c>
      <c r="B1227" s="1" t="n">
        <v>45110.76082175926</v>
      </c>
      <c r="C1227" s="1" t="n">
        <v>45976</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51637-2025</t>
        </is>
      </c>
      <c r="B1228" s="1" t="n">
        <v>45951.43625</v>
      </c>
      <c r="C1228" s="1" t="n">
        <v>45976</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51644-2025</t>
        </is>
      </c>
      <c r="B1229" s="1" t="n">
        <v>45951.44677083333</v>
      </c>
      <c r="C1229" s="1" t="n">
        <v>45976</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42886-2025</t>
        </is>
      </c>
      <c r="B1230" s="1" t="n">
        <v>45908.65288194444</v>
      </c>
      <c r="C1230" s="1" t="n">
        <v>45976</v>
      </c>
      <c r="D1230" t="inlineStr">
        <is>
          <t>VÄRMLANDS LÄN</t>
        </is>
      </c>
      <c r="E1230" t="inlineStr">
        <is>
          <t>TORSBY</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42966-2025</t>
        </is>
      </c>
      <c r="B1231" s="1" t="n">
        <v>45909.38825231481</v>
      </c>
      <c r="C1231" s="1" t="n">
        <v>45976</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49237-2025</t>
        </is>
      </c>
      <c r="B1232" s="1" t="n">
        <v>45938</v>
      </c>
      <c r="C1232" s="1" t="n">
        <v>45976</v>
      </c>
      <c r="D1232" t="inlineStr">
        <is>
          <t>VÄRMLANDS LÄN</t>
        </is>
      </c>
      <c r="E1232" t="inlineStr">
        <is>
          <t>TORSBY</t>
        </is>
      </c>
      <c r="F1232" t="inlineStr">
        <is>
          <t>Bergvik skog väst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14613-2025</t>
        </is>
      </c>
      <c r="B1233" s="1" t="n">
        <v>45742.39615740741</v>
      </c>
      <c r="C1233" s="1" t="n">
        <v>45976</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42965-2025</t>
        </is>
      </c>
      <c r="B1234" s="1" t="n">
        <v>45909.37575231482</v>
      </c>
      <c r="C1234" s="1" t="n">
        <v>45976</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43128-2021</t>
        </is>
      </c>
      <c r="B1235" s="1" t="n">
        <v>44431.65930555556</v>
      </c>
      <c r="C1235" s="1" t="n">
        <v>45976</v>
      </c>
      <c r="D1235" t="inlineStr">
        <is>
          <t>VÄRMLANDS LÄN</t>
        </is>
      </c>
      <c r="E1235" t="inlineStr">
        <is>
          <t>TORSBY</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35724-2022</t>
        </is>
      </c>
      <c r="B1236" s="1" t="n">
        <v>44799</v>
      </c>
      <c r="C1236" s="1" t="n">
        <v>45976</v>
      </c>
      <c r="D1236" t="inlineStr">
        <is>
          <t>VÄRMLANDS LÄN</t>
        </is>
      </c>
      <c r="E1236" t="inlineStr">
        <is>
          <t>TORSBY</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42931-2025</t>
        </is>
      </c>
      <c r="B1237" s="1" t="n">
        <v>45909</v>
      </c>
      <c r="C1237" s="1" t="n">
        <v>45976</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51694-2025</t>
        </is>
      </c>
      <c r="B1238" s="1" t="n">
        <v>45951.54628472222</v>
      </c>
      <c r="C1238" s="1" t="n">
        <v>45976</v>
      </c>
      <c r="D1238" t="inlineStr">
        <is>
          <t>VÄRMLANDS LÄN</t>
        </is>
      </c>
      <c r="E1238" t="inlineStr">
        <is>
          <t>TORSBY</t>
        </is>
      </c>
      <c r="F1238" t="inlineStr">
        <is>
          <t>Bergvik skog väst AB</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33146-2025</t>
        </is>
      </c>
      <c r="B1239" s="1" t="n">
        <v>45840.53549768519</v>
      </c>
      <c r="C1239" s="1" t="n">
        <v>45976</v>
      </c>
      <c r="D1239" t="inlineStr">
        <is>
          <t>VÄRMLANDS LÄN</t>
        </is>
      </c>
      <c r="E1239" t="inlineStr">
        <is>
          <t>TORSBY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37279-2022</t>
        </is>
      </c>
      <c r="B1240" s="1" t="n">
        <v>44807</v>
      </c>
      <c r="C1240" s="1" t="n">
        <v>45976</v>
      </c>
      <c r="D1240" t="inlineStr">
        <is>
          <t>VÄRMLANDS LÄN</t>
        </is>
      </c>
      <c r="E1240" t="inlineStr">
        <is>
          <t>TORSBY</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74375-2021</t>
        </is>
      </c>
      <c r="B1241" s="1" t="n">
        <v>44559.71840277778</v>
      </c>
      <c r="C1241" s="1" t="n">
        <v>45976</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43055-2025</t>
        </is>
      </c>
      <c r="B1242" s="1" t="n">
        <v>45909</v>
      </c>
      <c r="C1242" s="1" t="n">
        <v>45976</v>
      </c>
      <c r="D1242" t="inlineStr">
        <is>
          <t>VÄRMLANDS LÄN</t>
        </is>
      </c>
      <c r="E1242" t="inlineStr">
        <is>
          <t>TORSBY</t>
        </is>
      </c>
      <c r="F1242" t="inlineStr">
        <is>
          <t>Bergvik skog väst AB</t>
        </is>
      </c>
      <c r="G1242" t="n">
        <v>20.1</v>
      </c>
      <c r="H1242" t="n">
        <v>0</v>
      </c>
      <c r="I1242" t="n">
        <v>0</v>
      </c>
      <c r="J1242" t="n">
        <v>0</v>
      </c>
      <c r="K1242" t="n">
        <v>0</v>
      </c>
      <c r="L1242" t="n">
        <v>0</v>
      </c>
      <c r="M1242" t="n">
        <v>0</v>
      </c>
      <c r="N1242" t="n">
        <v>0</v>
      </c>
      <c r="O1242" t="n">
        <v>0</v>
      </c>
      <c r="P1242" t="n">
        <v>0</v>
      </c>
      <c r="Q1242" t="n">
        <v>0</v>
      </c>
      <c r="R1242" s="2" t="inlineStr"/>
    </row>
    <row r="1243" ht="15" customHeight="1">
      <c r="A1243" t="inlineStr">
        <is>
          <t>A 59005-2024</t>
        </is>
      </c>
      <c r="B1243" s="1" t="n">
        <v>45636.65234953703</v>
      </c>
      <c r="C1243" s="1" t="n">
        <v>45976</v>
      </c>
      <c r="D1243" t="inlineStr">
        <is>
          <t>VÄRMLANDS LÄN</t>
        </is>
      </c>
      <c r="E1243" t="inlineStr">
        <is>
          <t>TORSBY</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21580-2024</t>
        </is>
      </c>
      <c r="B1244" s="1" t="n">
        <v>45441</v>
      </c>
      <c r="C1244" s="1" t="n">
        <v>45976</v>
      </c>
      <c r="D1244" t="inlineStr">
        <is>
          <t>VÄRMLANDS LÄN</t>
        </is>
      </c>
      <c r="E1244" t="inlineStr">
        <is>
          <t>TORSBY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37340-2022</t>
        </is>
      </c>
      <c r="B1245" s="1" t="n">
        <v>44809</v>
      </c>
      <c r="C1245" s="1" t="n">
        <v>45976</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42932-2025</t>
        </is>
      </c>
      <c r="B1246" s="1" t="n">
        <v>45909</v>
      </c>
      <c r="C1246" s="1" t="n">
        <v>45976</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45587-2023</t>
        </is>
      </c>
      <c r="B1247" s="1" t="n">
        <v>45194.62877314815</v>
      </c>
      <c r="C1247" s="1" t="n">
        <v>45976</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33782-2023</t>
        </is>
      </c>
      <c r="B1248" s="1" t="n">
        <v>45120</v>
      </c>
      <c r="C1248" s="1" t="n">
        <v>45976</v>
      </c>
      <c r="D1248" t="inlineStr">
        <is>
          <t>VÄRMLANDS LÄN</t>
        </is>
      </c>
      <c r="E1248" t="inlineStr">
        <is>
          <t>TORSBY</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51793-2025</t>
        </is>
      </c>
      <c r="B1249" s="1" t="n">
        <v>45951.71525462963</v>
      </c>
      <c r="C1249" s="1" t="n">
        <v>45976</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20393-2023</t>
        </is>
      </c>
      <c r="B1250" s="1" t="n">
        <v>45056</v>
      </c>
      <c r="C1250" s="1" t="n">
        <v>45976</v>
      </c>
      <c r="D1250" t="inlineStr">
        <is>
          <t>VÄRMLANDS LÄN</t>
        </is>
      </c>
      <c r="E1250" t="inlineStr">
        <is>
          <t>TORSBY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14917-2023</t>
        </is>
      </c>
      <c r="B1251" s="1" t="n">
        <v>45015.39938657408</v>
      </c>
      <c r="C1251" s="1" t="n">
        <v>45976</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70785-2021</t>
        </is>
      </c>
      <c r="B1252" s="1" t="n">
        <v>44537</v>
      </c>
      <c r="C1252" s="1" t="n">
        <v>45976</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6438-2022</t>
        </is>
      </c>
      <c r="B1253" s="1" t="n">
        <v>44601.32209490741</v>
      </c>
      <c r="C1253" s="1" t="n">
        <v>45976</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4172-2022</t>
        </is>
      </c>
      <c r="B1254" s="1" t="n">
        <v>44588</v>
      </c>
      <c r="C1254" s="1" t="n">
        <v>45976</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42705-2025</t>
        </is>
      </c>
      <c r="B1255" s="1" t="n">
        <v>45908.37063657407</v>
      </c>
      <c r="C1255" s="1" t="n">
        <v>45976</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45056-2022</t>
        </is>
      </c>
      <c r="B1256" s="1" t="n">
        <v>44841.72731481482</v>
      </c>
      <c r="C1256" s="1" t="n">
        <v>45976</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42720-2025</t>
        </is>
      </c>
      <c r="B1257" s="1" t="n">
        <v>45908.39427083333</v>
      </c>
      <c r="C1257" s="1" t="n">
        <v>45976</v>
      </c>
      <c r="D1257" t="inlineStr">
        <is>
          <t>VÄRMLANDS LÄN</t>
        </is>
      </c>
      <c r="E1257" t="inlineStr">
        <is>
          <t>TORSBY</t>
        </is>
      </c>
      <c r="F1257" t="inlineStr">
        <is>
          <t>Bergvik skog väst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51754-2025</t>
        </is>
      </c>
      <c r="B1258" s="1" t="n">
        <v>45951.62231481481</v>
      </c>
      <c r="C1258" s="1" t="n">
        <v>45976</v>
      </c>
      <c r="D1258" t="inlineStr">
        <is>
          <t>VÄRMLANDS LÄN</t>
        </is>
      </c>
      <c r="E1258" t="inlineStr">
        <is>
          <t>TORSBY</t>
        </is>
      </c>
      <c r="F1258" t="inlineStr">
        <is>
          <t>Bergvik skog väst AB</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59236-2023</t>
        </is>
      </c>
      <c r="B1259" s="1" t="n">
        <v>45253</v>
      </c>
      <c r="C1259" s="1" t="n">
        <v>45976</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52689-2024</t>
        </is>
      </c>
      <c r="B1260" s="1" t="n">
        <v>45610.39621527777</v>
      </c>
      <c r="C1260" s="1" t="n">
        <v>45976</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8022-2025</t>
        </is>
      </c>
      <c r="B1261" s="1" t="n">
        <v>45707.57733796296</v>
      </c>
      <c r="C1261" s="1" t="n">
        <v>45976</v>
      </c>
      <c r="D1261" t="inlineStr">
        <is>
          <t>VÄRMLANDS LÄN</t>
        </is>
      </c>
      <c r="E1261" t="inlineStr">
        <is>
          <t>TORSBY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51659-2025</t>
        </is>
      </c>
      <c r="B1262" s="1" t="n">
        <v>45951.47482638889</v>
      </c>
      <c r="C1262" s="1" t="n">
        <v>45976</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18855-2024</t>
        </is>
      </c>
      <c r="B1263" s="1" t="n">
        <v>45426.73634259259</v>
      </c>
      <c r="C1263" s="1" t="n">
        <v>45976</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36184-2024</t>
        </is>
      </c>
      <c r="B1264" s="1" t="n">
        <v>45534.4178125</v>
      </c>
      <c r="C1264" s="1" t="n">
        <v>45976</v>
      </c>
      <c r="D1264" t="inlineStr">
        <is>
          <t>VÄRMLANDS LÄN</t>
        </is>
      </c>
      <c r="E1264" t="inlineStr">
        <is>
          <t>TORSBY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56811-2023</t>
        </is>
      </c>
      <c r="B1265" s="1" t="n">
        <v>45244</v>
      </c>
      <c r="C1265" s="1" t="n">
        <v>45976</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14120-2025</t>
        </is>
      </c>
      <c r="B1266" s="1" t="n">
        <v>45740</v>
      </c>
      <c r="C1266" s="1" t="n">
        <v>45976</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56107-2024</t>
        </is>
      </c>
      <c r="B1267" s="1" t="n">
        <v>45624.44055555556</v>
      </c>
      <c r="C1267" s="1" t="n">
        <v>45976</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42414-2024</t>
        </is>
      </c>
      <c r="B1268" s="1" t="n">
        <v>45565</v>
      </c>
      <c r="C1268" s="1" t="n">
        <v>45976</v>
      </c>
      <c r="D1268" t="inlineStr">
        <is>
          <t>VÄRMLANDS LÄN</t>
        </is>
      </c>
      <c r="E1268" t="inlineStr">
        <is>
          <t>TORSBY</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26124-2024</t>
        </is>
      </c>
      <c r="B1269" s="1" t="n">
        <v>45468</v>
      </c>
      <c r="C1269" s="1" t="n">
        <v>45976</v>
      </c>
      <c r="D1269" t="inlineStr">
        <is>
          <t>VÄRMLANDS LÄN</t>
        </is>
      </c>
      <c r="E1269" t="inlineStr">
        <is>
          <t>TORSBY</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11878-2024</t>
        </is>
      </c>
      <c r="B1270" s="1" t="n">
        <v>45376.47877314815</v>
      </c>
      <c r="C1270" s="1" t="n">
        <v>45976</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53381-2022</t>
        </is>
      </c>
      <c r="B1271" s="1" t="n">
        <v>44879</v>
      </c>
      <c r="C1271" s="1" t="n">
        <v>45976</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41160-2023</t>
        </is>
      </c>
      <c r="B1272" s="1" t="n">
        <v>45174</v>
      </c>
      <c r="C1272" s="1" t="n">
        <v>45976</v>
      </c>
      <c r="D1272" t="inlineStr">
        <is>
          <t>VÄRMLANDS LÄN</t>
        </is>
      </c>
      <c r="E1272" t="inlineStr">
        <is>
          <t>TORSBY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14801-2025</t>
        </is>
      </c>
      <c r="B1273" s="1" t="n">
        <v>45743</v>
      </c>
      <c r="C1273" s="1" t="n">
        <v>45976</v>
      </c>
      <c r="D1273" t="inlineStr">
        <is>
          <t>VÄRMLANDS LÄN</t>
        </is>
      </c>
      <c r="E1273" t="inlineStr">
        <is>
          <t>TORSBY</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42961-2025</t>
        </is>
      </c>
      <c r="B1274" s="1" t="n">
        <v>45909.36737268518</v>
      </c>
      <c r="C1274" s="1" t="n">
        <v>45976</v>
      </c>
      <c r="D1274" t="inlineStr">
        <is>
          <t>VÄRMLANDS LÄN</t>
        </is>
      </c>
      <c r="E1274" t="inlineStr">
        <is>
          <t>TORSBY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51843-2022</t>
        </is>
      </c>
      <c r="B1275" s="1" t="n">
        <v>44872</v>
      </c>
      <c r="C1275" s="1" t="n">
        <v>45976</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17488-2023</t>
        </is>
      </c>
      <c r="B1276" s="1" t="n">
        <v>45036</v>
      </c>
      <c r="C1276" s="1" t="n">
        <v>45976</v>
      </c>
      <c r="D1276" t="inlineStr">
        <is>
          <t>VÄRMLANDS LÄN</t>
        </is>
      </c>
      <c r="E1276" t="inlineStr">
        <is>
          <t>TORSBY</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6534-2025</t>
        </is>
      </c>
      <c r="B1277" s="1" t="n">
        <v>45699</v>
      </c>
      <c r="C1277" s="1" t="n">
        <v>45976</v>
      </c>
      <c r="D1277" t="inlineStr">
        <is>
          <t>VÄRMLANDS LÄN</t>
        </is>
      </c>
      <c r="E1277" t="inlineStr">
        <is>
          <t>TORSBY</t>
        </is>
      </c>
      <c r="F1277" t="inlineStr">
        <is>
          <t>Kommuner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7178-2025</t>
        </is>
      </c>
      <c r="B1278" s="1" t="n">
        <v>45702.42493055556</v>
      </c>
      <c r="C1278" s="1" t="n">
        <v>45976</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22634-2023</t>
        </is>
      </c>
      <c r="B1279" s="1" t="n">
        <v>45071</v>
      </c>
      <c r="C1279" s="1" t="n">
        <v>45976</v>
      </c>
      <c r="D1279" t="inlineStr">
        <is>
          <t>VÄRMLANDS LÄN</t>
        </is>
      </c>
      <c r="E1279" t="inlineStr">
        <is>
          <t>TORSBY</t>
        </is>
      </c>
      <c r="F1279" t="inlineStr">
        <is>
          <t>Bergvik skog väst AB</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7214-2025</t>
        </is>
      </c>
      <c r="B1280" s="1" t="n">
        <v>45702</v>
      </c>
      <c r="C1280" s="1" t="n">
        <v>45976</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23818-2022</t>
        </is>
      </c>
      <c r="B1281" s="1" t="n">
        <v>44722</v>
      </c>
      <c r="C1281" s="1" t="n">
        <v>45976</v>
      </c>
      <c r="D1281" t="inlineStr">
        <is>
          <t>VÄRMLANDS LÄN</t>
        </is>
      </c>
      <c r="E1281" t="inlineStr">
        <is>
          <t>TORSBY</t>
        </is>
      </c>
      <c r="G1281" t="n">
        <v>23.5</v>
      </c>
      <c r="H1281" t="n">
        <v>0</v>
      </c>
      <c r="I1281" t="n">
        <v>0</v>
      </c>
      <c r="J1281" t="n">
        <v>0</v>
      </c>
      <c r="K1281" t="n">
        <v>0</v>
      </c>
      <c r="L1281" t="n">
        <v>0</v>
      </c>
      <c r="M1281" t="n">
        <v>0</v>
      </c>
      <c r="N1281" t="n">
        <v>0</v>
      </c>
      <c r="O1281" t="n">
        <v>0</v>
      </c>
      <c r="P1281" t="n">
        <v>0</v>
      </c>
      <c r="Q1281" t="n">
        <v>0</v>
      </c>
      <c r="R1281" s="2" t="inlineStr"/>
    </row>
    <row r="1282" ht="15" customHeight="1">
      <c r="A1282" t="inlineStr">
        <is>
          <t>A 51633-2025</t>
        </is>
      </c>
      <c r="B1282" s="1" t="n">
        <v>45951.42775462963</v>
      </c>
      <c r="C1282" s="1" t="n">
        <v>45976</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19614-2022</t>
        </is>
      </c>
      <c r="B1283" s="1" t="n">
        <v>44694</v>
      </c>
      <c r="C1283" s="1" t="n">
        <v>45976</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52026-2025</t>
        </is>
      </c>
      <c r="B1284" s="1" t="n">
        <v>45952</v>
      </c>
      <c r="C1284" s="1" t="n">
        <v>45976</v>
      </c>
      <c r="D1284" t="inlineStr">
        <is>
          <t>VÄRMLANDS LÄN</t>
        </is>
      </c>
      <c r="E1284" t="inlineStr">
        <is>
          <t>TORSBY</t>
        </is>
      </c>
      <c r="F1284" t="inlineStr">
        <is>
          <t>Bergvik skog väst AB</t>
        </is>
      </c>
      <c r="G1284" t="n">
        <v>15.7</v>
      </c>
      <c r="H1284" t="n">
        <v>0</v>
      </c>
      <c r="I1284" t="n">
        <v>0</v>
      </c>
      <c r="J1284" t="n">
        <v>0</v>
      </c>
      <c r="K1284" t="n">
        <v>0</v>
      </c>
      <c r="L1284" t="n">
        <v>0</v>
      </c>
      <c r="M1284" t="n">
        <v>0</v>
      </c>
      <c r="N1284" t="n">
        <v>0</v>
      </c>
      <c r="O1284" t="n">
        <v>0</v>
      </c>
      <c r="P1284" t="n">
        <v>0</v>
      </c>
      <c r="Q1284" t="n">
        <v>0</v>
      </c>
      <c r="R1284" s="2" t="inlineStr"/>
    </row>
    <row r="1285" ht="15" customHeight="1">
      <c r="A1285" t="inlineStr">
        <is>
          <t>A 1547-2024</t>
        </is>
      </c>
      <c r="B1285" s="1" t="n">
        <v>45306.48456018518</v>
      </c>
      <c r="C1285" s="1" t="n">
        <v>45976</v>
      </c>
      <c r="D1285" t="inlineStr">
        <is>
          <t>VÄRMLANDS LÄN</t>
        </is>
      </c>
      <c r="E1285" t="inlineStr">
        <is>
          <t>TORSBY</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11842-2025</t>
        </is>
      </c>
      <c r="B1286" s="1" t="n">
        <v>45728.36950231482</v>
      </c>
      <c r="C1286" s="1" t="n">
        <v>45976</v>
      </c>
      <c r="D1286" t="inlineStr">
        <is>
          <t>VÄRMLANDS LÄN</t>
        </is>
      </c>
      <c r="E1286" t="inlineStr">
        <is>
          <t>TORSBY</t>
        </is>
      </c>
      <c r="F1286" t="inlineStr">
        <is>
          <t>Bergvik skog väst AB</t>
        </is>
      </c>
      <c r="G1286" t="n">
        <v>32.1</v>
      </c>
      <c r="H1286" t="n">
        <v>0</v>
      </c>
      <c r="I1286" t="n">
        <v>0</v>
      </c>
      <c r="J1286" t="n">
        <v>0</v>
      </c>
      <c r="K1286" t="n">
        <v>0</v>
      </c>
      <c r="L1286" t="n">
        <v>0</v>
      </c>
      <c r="M1286" t="n">
        <v>0</v>
      </c>
      <c r="N1286" t="n">
        <v>0</v>
      </c>
      <c r="O1286" t="n">
        <v>0</v>
      </c>
      <c r="P1286" t="n">
        <v>0</v>
      </c>
      <c r="Q1286" t="n">
        <v>0</v>
      </c>
      <c r="R1286" s="2" t="inlineStr"/>
    </row>
    <row r="1287" ht="15" customHeight="1">
      <c r="A1287" t="inlineStr">
        <is>
          <t>A 52045-2025</t>
        </is>
      </c>
      <c r="B1287" s="1" t="n">
        <v>45952.61650462963</v>
      </c>
      <c r="C1287" s="1" t="n">
        <v>45976</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52067-2025</t>
        </is>
      </c>
      <c r="B1288" s="1" t="n">
        <v>45952.64248842592</v>
      </c>
      <c r="C1288" s="1" t="n">
        <v>45976</v>
      </c>
      <c r="D1288" t="inlineStr">
        <is>
          <t>VÄRMLANDS LÄN</t>
        </is>
      </c>
      <c r="E1288" t="inlineStr">
        <is>
          <t>TORSBY</t>
        </is>
      </c>
      <c r="F1288" t="inlineStr">
        <is>
          <t>Bergvik skog väst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17548-2023</t>
        </is>
      </c>
      <c r="B1289" s="1" t="n">
        <v>45036</v>
      </c>
      <c r="C1289" s="1" t="n">
        <v>45976</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34968-2024</t>
        </is>
      </c>
      <c r="B1290" s="1" t="n">
        <v>45527.49986111111</v>
      </c>
      <c r="C1290" s="1" t="n">
        <v>45976</v>
      </c>
      <c r="D1290" t="inlineStr">
        <is>
          <t>VÄRMLANDS LÄN</t>
        </is>
      </c>
      <c r="E1290" t="inlineStr">
        <is>
          <t>TORSBY</t>
        </is>
      </c>
      <c r="F1290" t="inlineStr">
        <is>
          <t>Bergvik skog väst AB</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27347-2024</t>
        </is>
      </c>
      <c r="B1291" s="1" t="n">
        <v>45473.59798611111</v>
      </c>
      <c r="C1291" s="1" t="n">
        <v>45976</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41377-2021</t>
        </is>
      </c>
      <c r="B1292" s="1" t="n">
        <v>44424.65148148148</v>
      </c>
      <c r="C1292" s="1" t="n">
        <v>45976</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52277-2025</t>
        </is>
      </c>
      <c r="B1293" s="1" t="n">
        <v>45953.55915509259</v>
      </c>
      <c r="C1293" s="1" t="n">
        <v>45976</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51927-2025</t>
        </is>
      </c>
      <c r="B1294" s="1" t="n">
        <v>45952.49587962963</v>
      </c>
      <c r="C1294" s="1" t="n">
        <v>45976</v>
      </c>
      <c r="D1294" t="inlineStr">
        <is>
          <t>VÄRMLANDS LÄN</t>
        </is>
      </c>
      <c r="E1294" t="inlineStr">
        <is>
          <t>TORSBY</t>
        </is>
      </c>
      <c r="F1294" t="inlineStr">
        <is>
          <t>Kyrkan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65134-2023</t>
        </is>
      </c>
      <c r="B1295" s="1" t="n">
        <v>45288.52010416667</v>
      </c>
      <c r="C1295" s="1" t="n">
        <v>45976</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54766-2023</t>
        </is>
      </c>
      <c r="B1296" s="1" t="n">
        <v>45236</v>
      </c>
      <c r="C1296" s="1" t="n">
        <v>45976</v>
      </c>
      <c r="D1296" t="inlineStr">
        <is>
          <t>VÄRMLANDS LÄN</t>
        </is>
      </c>
      <c r="E1296" t="inlineStr">
        <is>
          <t>TORSBY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40573-2024</t>
        </is>
      </c>
      <c r="B1297" s="1" t="n">
        <v>45555.69518518518</v>
      </c>
      <c r="C1297" s="1" t="n">
        <v>45976</v>
      </c>
      <c r="D1297" t="inlineStr">
        <is>
          <t>VÄRMLANDS LÄN</t>
        </is>
      </c>
      <c r="E1297" t="inlineStr">
        <is>
          <t>TORSBY</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502-2024</t>
        </is>
      </c>
      <c r="B1298" s="1" t="n">
        <v>45299</v>
      </c>
      <c r="C1298" s="1" t="n">
        <v>45976</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52089-2025</t>
        </is>
      </c>
      <c r="B1299" s="1" t="n">
        <v>45952.67644675926</v>
      </c>
      <c r="C1299" s="1" t="n">
        <v>45976</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22705-2023</t>
        </is>
      </c>
      <c r="B1300" s="1" t="n">
        <v>45071</v>
      </c>
      <c r="C1300" s="1" t="n">
        <v>45976</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61206-2024</t>
        </is>
      </c>
      <c r="B1301" s="1" t="n">
        <v>45645.64626157407</v>
      </c>
      <c r="C1301" s="1" t="n">
        <v>45976</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4302-2025</t>
        </is>
      </c>
      <c r="B1302" s="1" t="n">
        <v>45685.67939814815</v>
      </c>
      <c r="C1302" s="1" t="n">
        <v>45976</v>
      </c>
      <c r="D1302" t="inlineStr">
        <is>
          <t>VÄRMLANDS LÄN</t>
        </is>
      </c>
      <c r="E1302" t="inlineStr">
        <is>
          <t>TORSBY</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9381-2024</t>
        </is>
      </c>
      <c r="B1303" s="1" t="n">
        <v>45359</v>
      </c>
      <c r="C1303" s="1" t="n">
        <v>45976</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20847-2023</t>
        </is>
      </c>
      <c r="B1304" s="1" t="n">
        <v>45056</v>
      </c>
      <c r="C1304" s="1" t="n">
        <v>45976</v>
      </c>
      <c r="D1304" t="inlineStr">
        <is>
          <t>VÄRMLANDS LÄN</t>
        </is>
      </c>
      <c r="E1304" t="inlineStr">
        <is>
          <t>TORSBY</t>
        </is>
      </c>
      <c r="G1304" t="n">
        <v>13.9</v>
      </c>
      <c r="H1304" t="n">
        <v>0</v>
      </c>
      <c r="I1304" t="n">
        <v>0</v>
      </c>
      <c r="J1304" t="n">
        <v>0</v>
      </c>
      <c r="K1304" t="n">
        <v>0</v>
      </c>
      <c r="L1304" t="n">
        <v>0</v>
      </c>
      <c r="M1304" t="n">
        <v>0</v>
      </c>
      <c r="N1304" t="n">
        <v>0</v>
      </c>
      <c r="O1304" t="n">
        <v>0</v>
      </c>
      <c r="P1304" t="n">
        <v>0</v>
      </c>
      <c r="Q1304" t="n">
        <v>0</v>
      </c>
      <c r="R1304" s="2" t="inlineStr"/>
    </row>
    <row r="1305" ht="15" customHeight="1">
      <c r="A1305" t="inlineStr">
        <is>
          <t>A 54777-2023</t>
        </is>
      </c>
      <c r="B1305" s="1" t="n">
        <v>45236</v>
      </c>
      <c r="C1305" s="1" t="n">
        <v>45976</v>
      </c>
      <c r="D1305" t="inlineStr">
        <is>
          <t>VÄRMLANDS LÄN</t>
        </is>
      </c>
      <c r="E1305" t="inlineStr">
        <is>
          <t>TORSBY</t>
        </is>
      </c>
      <c r="F1305" t="inlineStr">
        <is>
          <t>Bergvik skog väst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59781-2023</t>
        </is>
      </c>
      <c r="B1306" s="1" t="n">
        <v>45257.44043981482</v>
      </c>
      <c r="C1306" s="1" t="n">
        <v>45976</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18595-2025</t>
        </is>
      </c>
      <c r="B1307" s="1" t="n">
        <v>45763</v>
      </c>
      <c r="C1307" s="1" t="n">
        <v>45976</v>
      </c>
      <c r="D1307" t="inlineStr">
        <is>
          <t>VÄRMLANDS LÄN</t>
        </is>
      </c>
      <c r="E1307" t="inlineStr">
        <is>
          <t>TORSBY</t>
        </is>
      </c>
      <c r="F1307" t="inlineStr">
        <is>
          <t>Kyrkan</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58304-2024</t>
        </is>
      </c>
      <c r="B1308" s="1" t="n">
        <v>45632</v>
      </c>
      <c r="C1308" s="1" t="n">
        <v>45976</v>
      </c>
      <c r="D1308" t="inlineStr">
        <is>
          <t>VÄRMLANDS LÄN</t>
        </is>
      </c>
      <c r="E1308" t="inlineStr">
        <is>
          <t>TORSBY</t>
        </is>
      </c>
      <c r="F1308" t="inlineStr">
        <is>
          <t>Bergvik skog väst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15398-2025</t>
        </is>
      </c>
      <c r="B1309" s="1" t="n">
        <v>45747.44309027777</v>
      </c>
      <c r="C1309" s="1" t="n">
        <v>45976</v>
      </c>
      <c r="D1309" t="inlineStr">
        <is>
          <t>VÄRMLANDS LÄN</t>
        </is>
      </c>
      <c r="E1309" t="inlineStr">
        <is>
          <t>TORSBY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25949-2024</t>
        </is>
      </c>
      <c r="B1310" s="1" t="n">
        <v>45467.6442824074</v>
      </c>
      <c r="C1310" s="1" t="n">
        <v>45976</v>
      </c>
      <c r="D1310" t="inlineStr">
        <is>
          <t>VÄRMLANDS LÄN</t>
        </is>
      </c>
      <c r="E1310" t="inlineStr">
        <is>
          <t>TORSBY</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37401-2022</t>
        </is>
      </c>
      <c r="B1311" s="1" t="n">
        <v>44809</v>
      </c>
      <c r="C1311" s="1" t="n">
        <v>45976</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5365-2021</t>
        </is>
      </c>
      <c r="B1312" s="1" t="n">
        <v>44229</v>
      </c>
      <c r="C1312" s="1" t="n">
        <v>45976</v>
      </c>
      <c r="D1312" t="inlineStr">
        <is>
          <t>VÄRMLANDS LÄN</t>
        </is>
      </c>
      <c r="E1312" t="inlineStr">
        <is>
          <t>TORSBY</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20843-2025</t>
        </is>
      </c>
      <c r="B1313" s="1" t="n">
        <v>45776.9233912037</v>
      </c>
      <c r="C1313" s="1" t="n">
        <v>45976</v>
      </c>
      <c r="D1313" t="inlineStr">
        <is>
          <t>VÄRMLANDS LÄN</t>
        </is>
      </c>
      <c r="E1313" t="inlineStr">
        <is>
          <t>TORSBY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20816-2025</t>
        </is>
      </c>
      <c r="B1314" s="1" t="n">
        <v>45776</v>
      </c>
      <c r="C1314" s="1" t="n">
        <v>45976</v>
      </c>
      <c r="D1314" t="inlineStr">
        <is>
          <t>VÄRMLANDS LÄN</t>
        </is>
      </c>
      <c r="E1314" t="inlineStr">
        <is>
          <t>TORSBY</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7069-2022</t>
        </is>
      </c>
      <c r="B1315" s="1" t="n">
        <v>44603</v>
      </c>
      <c r="C1315" s="1" t="n">
        <v>45976</v>
      </c>
      <c r="D1315" t="inlineStr">
        <is>
          <t>VÄRMLANDS LÄN</t>
        </is>
      </c>
      <c r="E1315" t="inlineStr">
        <is>
          <t>TORSBY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21255-2023</t>
        </is>
      </c>
      <c r="B1316" s="1" t="n">
        <v>45058</v>
      </c>
      <c r="C1316" s="1" t="n">
        <v>45976</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2797-2025</t>
        </is>
      </c>
      <c r="B1317" s="1" t="n">
        <v>45677</v>
      </c>
      <c r="C1317" s="1" t="n">
        <v>45976</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2387-2025</t>
        </is>
      </c>
      <c r="B1318" s="1" t="n">
        <v>45674</v>
      </c>
      <c r="C1318" s="1" t="n">
        <v>45976</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62090-2024</t>
        </is>
      </c>
      <c r="B1319" s="1" t="n">
        <v>45656</v>
      </c>
      <c r="C1319" s="1" t="n">
        <v>45976</v>
      </c>
      <c r="D1319" t="inlineStr">
        <is>
          <t>VÄRMLANDS LÄN</t>
        </is>
      </c>
      <c r="E1319" t="inlineStr">
        <is>
          <t>TORSBY</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62092-2024</t>
        </is>
      </c>
      <c r="B1320" s="1" t="n">
        <v>45656</v>
      </c>
      <c r="C1320" s="1" t="n">
        <v>45976</v>
      </c>
      <c r="D1320" t="inlineStr">
        <is>
          <t>VÄRMLANDS LÄN</t>
        </is>
      </c>
      <c r="E1320" t="inlineStr">
        <is>
          <t>TORSBY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51914-2025</t>
        </is>
      </c>
      <c r="B1321" s="1" t="n">
        <v>45952.47380787037</v>
      </c>
      <c r="C1321" s="1" t="n">
        <v>45976</v>
      </c>
      <c r="D1321" t="inlineStr">
        <is>
          <t>VÄRMLANDS LÄN</t>
        </is>
      </c>
      <c r="E1321" t="inlineStr">
        <is>
          <t>TORSBY</t>
        </is>
      </c>
      <c r="F1321" t="inlineStr">
        <is>
          <t>Kyrkan</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63158-2023</t>
        </is>
      </c>
      <c r="B1322" s="1" t="n">
        <v>45273.51715277778</v>
      </c>
      <c r="C1322" s="1" t="n">
        <v>45976</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34568-2022</t>
        </is>
      </c>
      <c r="B1323" s="1" t="n">
        <v>44795.28277777778</v>
      </c>
      <c r="C1323" s="1" t="n">
        <v>45976</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32988-2024</t>
        </is>
      </c>
      <c r="B1324" s="1" t="n">
        <v>45517.46616898148</v>
      </c>
      <c r="C1324" s="1" t="n">
        <v>45976</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51873-2025</t>
        </is>
      </c>
      <c r="B1325" s="1" t="n">
        <v>45952.39040509259</v>
      </c>
      <c r="C1325" s="1" t="n">
        <v>45976</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43614-2025</t>
        </is>
      </c>
      <c r="B1326" s="1" t="n">
        <v>45911.67766203704</v>
      </c>
      <c r="C1326" s="1" t="n">
        <v>45976</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20740-2025</t>
        </is>
      </c>
      <c r="B1327" s="1" t="n">
        <v>45776.54284722222</v>
      </c>
      <c r="C1327" s="1" t="n">
        <v>45976</v>
      </c>
      <c r="D1327" t="inlineStr">
        <is>
          <t>VÄRMLANDS LÄN</t>
        </is>
      </c>
      <c r="E1327" t="inlineStr">
        <is>
          <t>TORSBY</t>
        </is>
      </c>
      <c r="F1327" t="inlineStr">
        <is>
          <t>Bergvik skog väst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22421-2024</t>
        </is>
      </c>
      <c r="B1328" s="1" t="n">
        <v>45446.70890046296</v>
      </c>
      <c r="C1328" s="1" t="n">
        <v>45976</v>
      </c>
      <c r="D1328" t="inlineStr">
        <is>
          <t>VÄRMLANDS LÄN</t>
        </is>
      </c>
      <c r="E1328" t="inlineStr">
        <is>
          <t>TORSBY</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59872-2023</t>
        </is>
      </c>
      <c r="B1329" s="1" t="n">
        <v>45257.58666666667</v>
      </c>
      <c r="C1329" s="1" t="n">
        <v>45976</v>
      </c>
      <c r="D1329" t="inlineStr">
        <is>
          <t>VÄRMLANDS LÄN</t>
        </is>
      </c>
      <c r="E1329" t="inlineStr">
        <is>
          <t>TORSBY</t>
        </is>
      </c>
      <c r="F1329" t="inlineStr">
        <is>
          <t>Bergvik skog väst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43157-2021</t>
        </is>
      </c>
      <c r="B1330" s="1" t="n">
        <v>44431</v>
      </c>
      <c r="C1330" s="1" t="n">
        <v>45976</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20914-2025</t>
        </is>
      </c>
      <c r="B1331" s="1" t="n">
        <v>45777</v>
      </c>
      <c r="C1331" s="1" t="n">
        <v>45976</v>
      </c>
      <c r="D1331" t="inlineStr">
        <is>
          <t>VÄRMLANDS LÄN</t>
        </is>
      </c>
      <c r="E1331" t="inlineStr">
        <is>
          <t>TORSBY</t>
        </is>
      </c>
      <c r="F1331" t="inlineStr">
        <is>
          <t>Bergvik skog väst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52357-2025</t>
        </is>
      </c>
      <c r="B1332" s="1" t="n">
        <v>45952</v>
      </c>
      <c r="C1332" s="1" t="n">
        <v>45976</v>
      </c>
      <c r="D1332" t="inlineStr">
        <is>
          <t>VÄRMLANDS LÄN</t>
        </is>
      </c>
      <c r="E1332" t="inlineStr">
        <is>
          <t>TORSBY</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17024-2024</t>
        </is>
      </c>
      <c r="B1333" s="1" t="n">
        <v>45412.38322916667</v>
      </c>
      <c r="C1333" s="1" t="n">
        <v>45976</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20773-2025</t>
        </is>
      </c>
      <c r="B1334" s="1" t="n">
        <v>45776.59321759259</v>
      </c>
      <c r="C1334" s="1" t="n">
        <v>45976</v>
      </c>
      <c r="D1334" t="inlineStr">
        <is>
          <t>VÄRMLANDS LÄN</t>
        </is>
      </c>
      <c r="E1334" t="inlineStr">
        <is>
          <t>TORSBY</t>
        </is>
      </c>
      <c r="F1334" t="inlineStr">
        <is>
          <t>Bergvik skog väst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51944-2025</t>
        </is>
      </c>
      <c r="B1335" s="1" t="n">
        <v>45952.52608796296</v>
      </c>
      <c r="C1335" s="1" t="n">
        <v>45976</v>
      </c>
      <c r="D1335" t="inlineStr">
        <is>
          <t>VÄRMLANDS LÄN</t>
        </is>
      </c>
      <c r="E1335" t="inlineStr">
        <is>
          <t>TORSBY</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4516-2025</t>
        </is>
      </c>
      <c r="B1336" s="1" t="n">
        <v>45686.88212962963</v>
      </c>
      <c r="C1336" s="1" t="n">
        <v>45976</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43608-2025</t>
        </is>
      </c>
      <c r="B1337" s="1" t="n">
        <v>45911.67491898148</v>
      </c>
      <c r="C1337" s="1" t="n">
        <v>45976</v>
      </c>
      <c r="D1337" t="inlineStr">
        <is>
          <t>VÄRMLANDS LÄN</t>
        </is>
      </c>
      <c r="E1337" t="inlineStr">
        <is>
          <t>TORSBY</t>
        </is>
      </c>
      <c r="F1337" t="inlineStr">
        <is>
          <t>Bergvik skog väst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4517-2025</t>
        </is>
      </c>
      <c r="B1338" s="1" t="n">
        <v>45686</v>
      </c>
      <c r="C1338" s="1" t="n">
        <v>45976</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25537-2022</t>
        </is>
      </c>
      <c r="B1339" s="1" t="n">
        <v>44732</v>
      </c>
      <c r="C1339" s="1" t="n">
        <v>45976</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43304-2025</t>
        </is>
      </c>
      <c r="B1340" s="1" t="n">
        <v>45910.63630787037</v>
      </c>
      <c r="C1340" s="1" t="n">
        <v>45976</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57642-2023</t>
        </is>
      </c>
      <c r="B1341" s="1" t="n">
        <v>45246.5915625</v>
      </c>
      <c r="C1341" s="1" t="n">
        <v>45976</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58013-2023</t>
        </is>
      </c>
      <c r="B1342" s="1" t="n">
        <v>45247.62346064814</v>
      </c>
      <c r="C1342" s="1" t="n">
        <v>45976</v>
      </c>
      <c r="D1342" t="inlineStr">
        <is>
          <t>VÄRMLANDS LÄN</t>
        </is>
      </c>
      <c r="E1342" t="inlineStr">
        <is>
          <t>TORSBY</t>
        </is>
      </c>
      <c r="F1342" t="inlineStr">
        <is>
          <t>Bergvik skog väst AB</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51819-2025</t>
        </is>
      </c>
      <c r="B1343" s="1" t="n">
        <v>45951.88194444445</v>
      </c>
      <c r="C1343" s="1" t="n">
        <v>45976</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36290-2022</t>
        </is>
      </c>
      <c r="B1344" s="1" t="n">
        <v>44803</v>
      </c>
      <c r="C1344" s="1" t="n">
        <v>45976</v>
      </c>
      <c r="D1344" t="inlineStr">
        <is>
          <t>VÄRMLANDS LÄN</t>
        </is>
      </c>
      <c r="E1344" t="inlineStr">
        <is>
          <t>TORSBY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39075-2024</t>
        </is>
      </c>
      <c r="B1345" s="1" t="n">
        <v>45548</v>
      </c>
      <c r="C1345" s="1" t="n">
        <v>45976</v>
      </c>
      <c r="D1345" t="inlineStr">
        <is>
          <t>VÄRMLANDS LÄN</t>
        </is>
      </c>
      <c r="E1345" t="inlineStr">
        <is>
          <t>TORSBY</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67547-2020</t>
        </is>
      </c>
      <c r="B1346" s="1" t="n">
        <v>44181</v>
      </c>
      <c r="C1346" s="1" t="n">
        <v>45976</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52801-2024</t>
        </is>
      </c>
      <c r="B1347" s="1" t="n">
        <v>45610.56784722222</v>
      </c>
      <c r="C1347" s="1" t="n">
        <v>45976</v>
      </c>
      <c r="D1347" t="inlineStr">
        <is>
          <t>VÄRMLANDS LÄN</t>
        </is>
      </c>
      <c r="E1347" t="inlineStr">
        <is>
          <t>TORSBY</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40007-2023</t>
        </is>
      </c>
      <c r="B1348" s="1" t="n">
        <v>45168</v>
      </c>
      <c r="C1348" s="1" t="n">
        <v>45976</v>
      </c>
      <c r="D1348" t="inlineStr">
        <is>
          <t>VÄRMLANDS LÄN</t>
        </is>
      </c>
      <c r="E1348" t="inlineStr">
        <is>
          <t>TORSBY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30789-2024</t>
        </is>
      </c>
      <c r="B1349" s="1" t="n">
        <v>45497.178125</v>
      </c>
      <c r="C1349" s="1" t="n">
        <v>45976</v>
      </c>
      <c r="D1349" t="inlineStr">
        <is>
          <t>VÄRMLANDS LÄN</t>
        </is>
      </c>
      <c r="E1349" t="inlineStr">
        <is>
          <t>TORSBY</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7745-2023</t>
        </is>
      </c>
      <c r="B1350" s="1" t="n">
        <v>44973.35336805556</v>
      </c>
      <c r="C1350" s="1" t="n">
        <v>45976</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52359-2025</t>
        </is>
      </c>
      <c r="B1351" s="1" t="n">
        <v>45952</v>
      </c>
      <c r="C1351" s="1" t="n">
        <v>45976</v>
      </c>
      <c r="D1351" t="inlineStr">
        <is>
          <t>VÄRMLANDS LÄN</t>
        </is>
      </c>
      <c r="E1351" t="inlineStr">
        <is>
          <t>TORSBY</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27101-2024</t>
        </is>
      </c>
      <c r="B1352" s="1" t="n">
        <v>45471</v>
      </c>
      <c r="C1352" s="1" t="n">
        <v>45976</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27116-2024</t>
        </is>
      </c>
      <c r="B1353" s="1" t="n">
        <v>45471.5056712963</v>
      </c>
      <c r="C1353" s="1" t="n">
        <v>45976</v>
      </c>
      <c r="D1353" t="inlineStr">
        <is>
          <t>VÄRMLANDS LÄN</t>
        </is>
      </c>
      <c r="E1353" t="inlineStr">
        <is>
          <t>TORSBY</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43313-2025</t>
        </is>
      </c>
      <c r="B1354" s="1" t="n">
        <v>45910</v>
      </c>
      <c r="C1354" s="1" t="n">
        <v>45976</v>
      </c>
      <c r="D1354" t="inlineStr">
        <is>
          <t>VÄRMLANDS LÄN</t>
        </is>
      </c>
      <c r="E1354" t="inlineStr">
        <is>
          <t>TORSBY</t>
        </is>
      </c>
      <c r="F1354" t="inlineStr">
        <is>
          <t>Övriga Aktiebolag</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21274-2025</t>
        </is>
      </c>
      <c r="B1355" s="1" t="n">
        <v>45779.62877314815</v>
      </c>
      <c r="C1355" s="1" t="n">
        <v>45976</v>
      </c>
      <c r="D1355" t="inlineStr">
        <is>
          <t>VÄRMLANDS LÄN</t>
        </is>
      </c>
      <c r="E1355" t="inlineStr">
        <is>
          <t>TORSBY</t>
        </is>
      </c>
      <c r="F1355" t="inlineStr">
        <is>
          <t>Bergvik skog väst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22826-2022</t>
        </is>
      </c>
      <c r="B1356" s="1" t="n">
        <v>44714</v>
      </c>
      <c r="C1356" s="1" t="n">
        <v>45976</v>
      </c>
      <c r="D1356" t="inlineStr">
        <is>
          <t>VÄRMLANDS LÄN</t>
        </is>
      </c>
      <c r="E1356" t="inlineStr">
        <is>
          <t>TORSBY</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21462-2025</t>
        </is>
      </c>
      <c r="B1357" s="1" t="n">
        <v>45782.56770833334</v>
      </c>
      <c r="C1357" s="1" t="n">
        <v>45976</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34717-2024</t>
        </is>
      </c>
      <c r="B1358" s="1" t="n">
        <v>45526.56409722222</v>
      </c>
      <c r="C1358" s="1" t="n">
        <v>45976</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18883-2024</t>
        </is>
      </c>
      <c r="B1359" s="1" t="n">
        <v>45426</v>
      </c>
      <c r="C1359" s="1" t="n">
        <v>45976</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14304-2023</t>
        </is>
      </c>
      <c r="B1360" s="1" t="n">
        <v>45011.76541666667</v>
      </c>
      <c r="C1360" s="1" t="n">
        <v>45976</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33620-2024</t>
        </is>
      </c>
      <c r="B1361" s="1" t="n">
        <v>45520.41530092592</v>
      </c>
      <c r="C1361" s="1" t="n">
        <v>45976</v>
      </c>
      <c r="D1361" t="inlineStr">
        <is>
          <t>VÄRMLANDS LÄN</t>
        </is>
      </c>
      <c r="E1361" t="inlineStr">
        <is>
          <t>TORSBY</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52947-2025</t>
        </is>
      </c>
      <c r="B1362" s="1" t="n">
        <v>45954</v>
      </c>
      <c r="C1362" s="1" t="n">
        <v>45976</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52772-2025</t>
        </is>
      </c>
      <c r="B1363" s="1" t="n">
        <v>45957.41255787037</v>
      </c>
      <c r="C1363" s="1" t="n">
        <v>45976</v>
      </c>
      <c r="D1363" t="inlineStr">
        <is>
          <t>VÄRMLANDS LÄN</t>
        </is>
      </c>
      <c r="E1363" t="inlineStr">
        <is>
          <t>TORSBY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52774-2025</t>
        </is>
      </c>
      <c r="B1364" s="1" t="n">
        <v>45957.41480324074</v>
      </c>
      <c r="C1364" s="1" t="n">
        <v>45976</v>
      </c>
      <c r="D1364" t="inlineStr">
        <is>
          <t>VÄRMLANDS LÄN</t>
        </is>
      </c>
      <c r="E1364" t="inlineStr">
        <is>
          <t>TORSBY</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47619-2024</t>
        </is>
      </c>
      <c r="B1365" s="1" t="n">
        <v>45588.32371527778</v>
      </c>
      <c r="C1365" s="1" t="n">
        <v>45976</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52057-2024</t>
        </is>
      </c>
      <c r="B1366" s="1" t="n">
        <v>45608</v>
      </c>
      <c r="C1366" s="1" t="n">
        <v>45976</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41130-2022</t>
        </is>
      </c>
      <c r="B1367" s="1" t="n">
        <v>44825</v>
      </c>
      <c r="C1367" s="1" t="n">
        <v>45976</v>
      </c>
      <c r="D1367" t="inlineStr">
        <is>
          <t>VÄRMLANDS LÄN</t>
        </is>
      </c>
      <c r="E1367" t="inlineStr">
        <is>
          <t>TORSBY</t>
        </is>
      </c>
      <c r="F1367" t="inlineStr">
        <is>
          <t>Kyrkan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2009-2025</t>
        </is>
      </c>
      <c r="B1368" s="1" t="n">
        <v>45672</v>
      </c>
      <c r="C1368" s="1" t="n">
        <v>45976</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52796-2025</t>
        </is>
      </c>
      <c r="B1369" s="1" t="n">
        <v>45957.43682870371</v>
      </c>
      <c r="C1369" s="1" t="n">
        <v>45976</v>
      </c>
      <c r="D1369" t="inlineStr">
        <is>
          <t>VÄRMLANDS LÄN</t>
        </is>
      </c>
      <c r="E1369" t="inlineStr">
        <is>
          <t>TORSBY</t>
        </is>
      </c>
      <c r="G1369" t="n">
        <v>17.7</v>
      </c>
      <c r="H1369" t="n">
        <v>0</v>
      </c>
      <c r="I1369" t="n">
        <v>0</v>
      </c>
      <c r="J1369" t="n">
        <v>0</v>
      </c>
      <c r="K1369" t="n">
        <v>0</v>
      </c>
      <c r="L1369" t="n">
        <v>0</v>
      </c>
      <c r="M1369" t="n">
        <v>0</v>
      </c>
      <c r="N1369" t="n">
        <v>0</v>
      </c>
      <c r="O1369" t="n">
        <v>0</v>
      </c>
      <c r="P1369" t="n">
        <v>0</v>
      </c>
      <c r="Q1369" t="n">
        <v>0</v>
      </c>
      <c r="R1369" s="2" t="inlineStr"/>
    </row>
    <row r="1370" ht="15" customHeight="1">
      <c r="A1370" t="inlineStr">
        <is>
          <t>A 14581-2023</t>
        </is>
      </c>
      <c r="B1370" s="1" t="n">
        <v>45013.52122685185</v>
      </c>
      <c r="C1370" s="1" t="n">
        <v>45976</v>
      </c>
      <c r="D1370" t="inlineStr">
        <is>
          <t>VÄRMLANDS LÄN</t>
        </is>
      </c>
      <c r="E1370" t="inlineStr">
        <is>
          <t>TORSBY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21808-2025</t>
        </is>
      </c>
      <c r="B1371" s="1" t="n">
        <v>45783.70846064815</v>
      </c>
      <c r="C1371" s="1" t="n">
        <v>45976</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52822-2025</t>
        </is>
      </c>
      <c r="B1372" s="1" t="n">
        <v>45957.45693287037</v>
      </c>
      <c r="C1372" s="1" t="n">
        <v>45976</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42613-2023</t>
        </is>
      </c>
      <c r="B1373" s="1" t="n">
        <v>45181</v>
      </c>
      <c r="C1373" s="1" t="n">
        <v>45976</v>
      </c>
      <c r="D1373" t="inlineStr">
        <is>
          <t>VÄRMLANDS LÄN</t>
        </is>
      </c>
      <c r="E1373" t="inlineStr">
        <is>
          <t>TORSBY</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40971-2023</t>
        </is>
      </c>
      <c r="B1374" s="1" t="n">
        <v>45173</v>
      </c>
      <c r="C1374" s="1" t="n">
        <v>45976</v>
      </c>
      <c r="D1374" t="inlineStr">
        <is>
          <t>VÄRMLANDS LÄN</t>
        </is>
      </c>
      <c r="E1374" t="inlineStr">
        <is>
          <t>TORSBY</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52436-2025</t>
        </is>
      </c>
      <c r="B1375" s="1" t="n">
        <v>45954.39688657408</v>
      </c>
      <c r="C1375" s="1" t="n">
        <v>45976</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54865-2022</t>
        </is>
      </c>
      <c r="B1376" s="1" t="n">
        <v>44884</v>
      </c>
      <c r="C1376" s="1" t="n">
        <v>45976</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18897-2024</t>
        </is>
      </c>
      <c r="B1377" s="1" t="n">
        <v>45427.34046296297</v>
      </c>
      <c r="C1377" s="1" t="n">
        <v>45976</v>
      </c>
      <c r="D1377" t="inlineStr">
        <is>
          <t>VÄRMLANDS LÄN</t>
        </is>
      </c>
      <c r="E1377" t="inlineStr">
        <is>
          <t>TORSBY</t>
        </is>
      </c>
      <c r="F1377" t="inlineStr">
        <is>
          <t>Övriga statliga verk och myndigheter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61157-2023</t>
        </is>
      </c>
      <c r="B1378" s="1" t="n">
        <v>45261.98796296296</v>
      </c>
      <c r="C1378" s="1" t="n">
        <v>45976</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2662-2024</t>
        </is>
      </c>
      <c r="B1379" s="1" t="n">
        <v>45314.38747685185</v>
      </c>
      <c r="C1379" s="1" t="n">
        <v>45976</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8033-2022</t>
        </is>
      </c>
      <c r="B1380" s="1" t="n">
        <v>44609.43644675926</v>
      </c>
      <c r="C1380" s="1" t="n">
        <v>45976</v>
      </c>
      <c r="D1380" t="inlineStr">
        <is>
          <t>VÄRMLANDS LÄN</t>
        </is>
      </c>
      <c r="E1380" t="inlineStr">
        <is>
          <t>TORSBY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43787-2025</t>
        </is>
      </c>
      <c r="B1381" s="1" t="n">
        <v>45912</v>
      </c>
      <c r="C1381" s="1" t="n">
        <v>45976</v>
      </c>
      <c r="D1381" t="inlineStr">
        <is>
          <t>VÄRMLANDS LÄN</t>
        </is>
      </c>
      <c r="E1381" t="inlineStr">
        <is>
          <t>TORSBY</t>
        </is>
      </c>
      <c r="G1381" t="n">
        <v>13.1</v>
      </c>
      <c r="H1381" t="n">
        <v>0</v>
      </c>
      <c r="I1381" t="n">
        <v>0</v>
      </c>
      <c r="J1381" t="n">
        <v>0</v>
      </c>
      <c r="K1381" t="n">
        <v>0</v>
      </c>
      <c r="L1381" t="n">
        <v>0</v>
      </c>
      <c r="M1381" t="n">
        <v>0</v>
      </c>
      <c r="N1381" t="n">
        <v>0</v>
      </c>
      <c r="O1381" t="n">
        <v>0</v>
      </c>
      <c r="P1381" t="n">
        <v>0</v>
      </c>
      <c r="Q1381" t="n">
        <v>0</v>
      </c>
      <c r="R1381" s="2" t="inlineStr"/>
    </row>
    <row r="1382" ht="15" customHeight="1">
      <c r="A1382" t="inlineStr">
        <is>
          <t>A 18314-2025</t>
        </is>
      </c>
      <c r="B1382" s="1" t="n">
        <v>45762.44986111111</v>
      </c>
      <c r="C1382" s="1" t="n">
        <v>45976</v>
      </c>
      <c r="D1382" t="inlineStr">
        <is>
          <t>VÄRMLANDS LÄN</t>
        </is>
      </c>
      <c r="E1382" t="inlineStr">
        <is>
          <t>TORSBY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34961-2024</t>
        </is>
      </c>
      <c r="B1383" s="1" t="n">
        <v>45527.48923611111</v>
      </c>
      <c r="C1383" s="1" t="n">
        <v>45976</v>
      </c>
      <c r="D1383" t="inlineStr">
        <is>
          <t>VÄRMLANDS LÄN</t>
        </is>
      </c>
      <c r="E1383" t="inlineStr">
        <is>
          <t>TORSBY</t>
        </is>
      </c>
      <c r="F1383" t="inlineStr">
        <is>
          <t>Bergvik skog väst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52358-2025</t>
        </is>
      </c>
      <c r="B1384" s="1" t="n">
        <v>45952</v>
      </c>
      <c r="C1384" s="1" t="n">
        <v>45976</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52731-2025</t>
        </is>
      </c>
      <c r="B1385" s="1" t="n">
        <v>45957.36682870371</v>
      </c>
      <c r="C1385" s="1" t="n">
        <v>45976</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52747-2025</t>
        </is>
      </c>
      <c r="B1386" s="1" t="n">
        <v>45957.38515046296</v>
      </c>
      <c r="C1386" s="1" t="n">
        <v>45976</v>
      </c>
      <c r="D1386" t="inlineStr">
        <is>
          <t>VÄRMLANDS LÄN</t>
        </is>
      </c>
      <c r="E1386" t="inlineStr">
        <is>
          <t>TORSBY</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1166-2023</t>
        </is>
      </c>
      <c r="B1387" s="1" t="n">
        <v>44935</v>
      </c>
      <c r="C1387" s="1" t="n">
        <v>45976</v>
      </c>
      <c r="D1387" t="inlineStr">
        <is>
          <t>VÄRMLANDS LÄN</t>
        </is>
      </c>
      <c r="E1387" t="inlineStr">
        <is>
          <t>TORSBY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11121-2024</t>
        </is>
      </c>
      <c r="B1388" s="1" t="n">
        <v>45371.40634259259</v>
      </c>
      <c r="C1388" s="1" t="n">
        <v>45976</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52931-2025</t>
        </is>
      </c>
      <c r="B1389" s="1" t="n">
        <v>45957.62225694444</v>
      </c>
      <c r="C1389" s="1" t="n">
        <v>45976</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59097-2022</t>
        </is>
      </c>
      <c r="B1390" s="1" t="n">
        <v>44904</v>
      </c>
      <c r="C1390" s="1" t="n">
        <v>45976</v>
      </c>
      <c r="D1390" t="inlineStr">
        <is>
          <t>VÄRMLANDS LÄN</t>
        </is>
      </c>
      <c r="E1390" t="inlineStr">
        <is>
          <t>TORSBY</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21759-2025</t>
        </is>
      </c>
      <c r="B1391" s="1" t="n">
        <v>45783</v>
      </c>
      <c r="C1391" s="1" t="n">
        <v>45976</v>
      </c>
      <c r="D1391" t="inlineStr">
        <is>
          <t>VÄRMLANDS LÄN</t>
        </is>
      </c>
      <c r="E1391" t="inlineStr">
        <is>
          <t>TORSBY</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52737-2025</t>
        </is>
      </c>
      <c r="B1392" s="1" t="n">
        <v>45957.37336805555</v>
      </c>
      <c r="C1392" s="1" t="n">
        <v>45976</v>
      </c>
      <c r="D1392" t="inlineStr">
        <is>
          <t>VÄRMLANDS LÄN</t>
        </is>
      </c>
      <c r="E1392" t="inlineStr">
        <is>
          <t>TORSBY</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21324-2025</t>
        </is>
      </c>
      <c r="B1393" s="1" t="n">
        <v>45782.34947916667</v>
      </c>
      <c r="C1393" s="1" t="n">
        <v>45976</v>
      </c>
      <c r="D1393" t="inlineStr">
        <is>
          <t>VÄRMLANDS LÄN</t>
        </is>
      </c>
      <c r="E1393" t="inlineStr">
        <is>
          <t>TORSBY</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9942-2025</t>
        </is>
      </c>
      <c r="B1394" s="1" t="n">
        <v>45719</v>
      </c>
      <c r="C1394" s="1" t="n">
        <v>45976</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21576-2025</t>
        </is>
      </c>
      <c r="B1395" s="1" t="n">
        <v>45782.86440972222</v>
      </c>
      <c r="C1395" s="1" t="n">
        <v>45976</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41633-2021</t>
        </is>
      </c>
      <c r="B1396" s="1" t="n">
        <v>44425</v>
      </c>
      <c r="C1396" s="1" t="n">
        <v>45976</v>
      </c>
      <c r="D1396" t="inlineStr">
        <is>
          <t>VÄRMLANDS LÄN</t>
        </is>
      </c>
      <c r="E1396" t="inlineStr">
        <is>
          <t>TORSBY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39746-2024</t>
        </is>
      </c>
      <c r="B1397" s="1" t="n">
        <v>45552</v>
      </c>
      <c r="C1397" s="1" t="n">
        <v>45976</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44156-2025</t>
        </is>
      </c>
      <c r="B1398" s="1" t="n">
        <v>45915.59539351852</v>
      </c>
      <c r="C1398" s="1" t="n">
        <v>45976</v>
      </c>
      <c r="D1398" t="inlineStr">
        <is>
          <t>VÄRMLANDS LÄN</t>
        </is>
      </c>
      <c r="E1398" t="inlineStr">
        <is>
          <t>TORSBY</t>
        </is>
      </c>
      <c r="F1398" t="inlineStr">
        <is>
          <t>Kyrkan</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44233-2025</t>
        </is>
      </c>
      <c r="B1399" s="1" t="n">
        <v>45915.65515046296</v>
      </c>
      <c r="C1399" s="1" t="n">
        <v>45976</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44133-2025</t>
        </is>
      </c>
      <c r="B1400" s="1" t="n">
        <v>45915</v>
      </c>
      <c r="C1400" s="1" t="n">
        <v>45976</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15460-2022</t>
        </is>
      </c>
      <c r="B1401" s="1" t="n">
        <v>44661</v>
      </c>
      <c r="C1401" s="1" t="n">
        <v>45976</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52981-2025</t>
        </is>
      </c>
      <c r="B1402" s="1" t="n">
        <v>45957.68748842592</v>
      </c>
      <c r="C1402" s="1" t="n">
        <v>45976</v>
      </c>
      <c r="D1402" t="inlineStr">
        <is>
          <t>VÄRMLANDS LÄN</t>
        </is>
      </c>
      <c r="E1402" t="inlineStr">
        <is>
          <t>TORSBY</t>
        </is>
      </c>
      <c r="G1402" t="n">
        <v>20.5</v>
      </c>
      <c r="H1402" t="n">
        <v>0</v>
      </c>
      <c r="I1402" t="n">
        <v>0</v>
      </c>
      <c r="J1402" t="n">
        <v>0</v>
      </c>
      <c r="K1402" t="n">
        <v>0</v>
      </c>
      <c r="L1402" t="n">
        <v>0</v>
      </c>
      <c r="M1402" t="n">
        <v>0</v>
      </c>
      <c r="N1402" t="n">
        <v>0</v>
      </c>
      <c r="O1402" t="n">
        <v>0</v>
      </c>
      <c r="P1402" t="n">
        <v>0</v>
      </c>
      <c r="Q1402" t="n">
        <v>0</v>
      </c>
      <c r="R1402" s="2" t="inlineStr"/>
    </row>
    <row r="1403" ht="15" customHeight="1">
      <c r="A1403" t="inlineStr">
        <is>
          <t>A 52982-2025</t>
        </is>
      </c>
      <c r="B1403" s="1" t="n">
        <v>45957.69270833334</v>
      </c>
      <c r="C1403" s="1" t="n">
        <v>45976</v>
      </c>
      <c r="D1403" t="inlineStr">
        <is>
          <t>VÄRMLANDS LÄN</t>
        </is>
      </c>
      <c r="E1403" t="inlineStr">
        <is>
          <t>TORSBY</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51987-2024</t>
        </is>
      </c>
      <c r="B1404" s="1" t="n">
        <v>45607</v>
      </c>
      <c r="C1404" s="1" t="n">
        <v>45976</v>
      </c>
      <c r="D1404" t="inlineStr">
        <is>
          <t>VÄRMLANDS LÄN</t>
        </is>
      </c>
      <c r="E1404" t="inlineStr">
        <is>
          <t>TORSBY</t>
        </is>
      </c>
      <c r="G1404" t="n">
        <v>17.7</v>
      </c>
      <c r="H1404" t="n">
        <v>0</v>
      </c>
      <c r="I1404" t="n">
        <v>0</v>
      </c>
      <c r="J1404" t="n">
        <v>0</v>
      </c>
      <c r="K1404" t="n">
        <v>0</v>
      </c>
      <c r="L1404" t="n">
        <v>0</v>
      </c>
      <c r="M1404" t="n">
        <v>0</v>
      </c>
      <c r="N1404" t="n">
        <v>0</v>
      </c>
      <c r="O1404" t="n">
        <v>0</v>
      </c>
      <c r="P1404" t="n">
        <v>0</v>
      </c>
      <c r="Q1404" t="n">
        <v>0</v>
      </c>
      <c r="R1404" s="2" t="inlineStr"/>
    </row>
    <row r="1405" ht="15" customHeight="1">
      <c r="A1405" t="inlineStr">
        <is>
          <t>A 25313-2024</t>
        </is>
      </c>
      <c r="B1405" s="1" t="n">
        <v>45462</v>
      </c>
      <c r="C1405" s="1" t="n">
        <v>45976</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2576-2021</t>
        </is>
      </c>
      <c r="B1406" s="1" t="n">
        <v>44214</v>
      </c>
      <c r="C1406" s="1" t="n">
        <v>45976</v>
      </c>
      <c r="D1406" t="inlineStr">
        <is>
          <t>VÄRMLANDS LÄN</t>
        </is>
      </c>
      <c r="E1406" t="inlineStr">
        <is>
          <t>TORSBY</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57726-2022</t>
        </is>
      </c>
      <c r="B1407" s="1" t="n">
        <v>44897.56420138889</v>
      </c>
      <c r="C1407" s="1" t="n">
        <v>45976</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33495-2024</t>
        </is>
      </c>
      <c r="B1408" s="1" t="n">
        <v>45519</v>
      </c>
      <c r="C1408" s="1" t="n">
        <v>45976</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33085-2024</t>
        </is>
      </c>
      <c r="B1409" s="1" t="n">
        <v>45517.67784722222</v>
      </c>
      <c r="C1409" s="1" t="n">
        <v>45976</v>
      </c>
      <c r="D1409" t="inlineStr">
        <is>
          <t>VÄRMLANDS LÄN</t>
        </is>
      </c>
      <c r="E1409" t="inlineStr">
        <is>
          <t>TORSBY</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52847-2025</t>
        </is>
      </c>
      <c r="B1410" s="1" t="n">
        <v>45957.48972222222</v>
      </c>
      <c r="C1410" s="1" t="n">
        <v>45976</v>
      </c>
      <c r="D1410" t="inlineStr">
        <is>
          <t>VÄRMLANDS LÄN</t>
        </is>
      </c>
      <c r="E1410" t="inlineStr">
        <is>
          <t>TORSBY</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52852-2025</t>
        </is>
      </c>
      <c r="B1411" s="1" t="n">
        <v>45957.49319444445</v>
      </c>
      <c r="C1411" s="1" t="n">
        <v>45976</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6448-2025</t>
        </is>
      </c>
      <c r="B1412" s="1" t="n">
        <v>45699</v>
      </c>
      <c r="C1412" s="1" t="n">
        <v>45976</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44055-2025</t>
        </is>
      </c>
      <c r="B1413" s="1" t="n">
        <v>45915.52358796296</v>
      </c>
      <c r="C1413" s="1" t="n">
        <v>45976</v>
      </c>
      <c r="D1413" t="inlineStr">
        <is>
          <t>VÄRMLANDS LÄN</t>
        </is>
      </c>
      <c r="E1413" t="inlineStr">
        <is>
          <t>TORSBY</t>
        </is>
      </c>
      <c r="F1413" t="inlineStr">
        <is>
          <t>Kyrkan</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33078-2024</t>
        </is>
      </c>
      <c r="B1414" s="1" t="n">
        <v>45517</v>
      </c>
      <c r="C1414" s="1" t="n">
        <v>45976</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36175-2024</t>
        </is>
      </c>
      <c r="B1415" s="1" t="n">
        <v>45534.40834490741</v>
      </c>
      <c r="C1415" s="1" t="n">
        <v>45976</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42662-2024</t>
        </is>
      </c>
      <c r="B1416" s="1" t="n">
        <v>45566</v>
      </c>
      <c r="C1416" s="1" t="n">
        <v>45976</v>
      </c>
      <c r="D1416" t="inlineStr">
        <is>
          <t>VÄRMLANDS LÄN</t>
        </is>
      </c>
      <c r="E1416" t="inlineStr">
        <is>
          <t>TORSBY</t>
        </is>
      </c>
      <c r="F1416" t="inlineStr">
        <is>
          <t>Bergvik skog väst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21744-2024</t>
        </is>
      </c>
      <c r="B1417" s="1" t="n">
        <v>45442</v>
      </c>
      <c r="C1417" s="1" t="n">
        <v>45976</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20170-2021</t>
        </is>
      </c>
      <c r="B1418" s="1" t="n">
        <v>44312</v>
      </c>
      <c r="C1418" s="1" t="n">
        <v>45976</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20633-2024</t>
        </is>
      </c>
      <c r="B1419" s="1" t="n">
        <v>45436</v>
      </c>
      <c r="C1419" s="1" t="n">
        <v>45976</v>
      </c>
      <c r="D1419" t="inlineStr">
        <is>
          <t>VÄRMLANDS LÄN</t>
        </is>
      </c>
      <c r="E1419" t="inlineStr">
        <is>
          <t>TORSBY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68603-2020</t>
        </is>
      </c>
      <c r="B1420" s="1" t="n">
        <v>44186</v>
      </c>
      <c r="C1420" s="1" t="n">
        <v>45976</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45231-2023</t>
        </is>
      </c>
      <c r="B1421" s="1" t="n">
        <v>45191</v>
      </c>
      <c r="C1421" s="1" t="n">
        <v>45976</v>
      </c>
      <c r="D1421" t="inlineStr">
        <is>
          <t>VÄRMLANDS LÄN</t>
        </is>
      </c>
      <c r="E1421" t="inlineStr">
        <is>
          <t>TORSBY</t>
        </is>
      </c>
      <c r="F1421" t="inlineStr">
        <is>
          <t>Bergvik skog väst AB</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40590-2021</t>
        </is>
      </c>
      <c r="B1422" s="1" t="n">
        <v>44420</v>
      </c>
      <c r="C1422" s="1" t="n">
        <v>45976</v>
      </c>
      <c r="D1422" t="inlineStr">
        <is>
          <t>VÄRMLANDS LÄN</t>
        </is>
      </c>
      <c r="E1422" t="inlineStr">
        <is>
          <t>TORSBY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52261-2025</t>
        </is>
      </c>
      <c r="B1423" s="1" t="n">
        <v>45952</v>
      </c>
      <c r="C1423" s="1" t="n">
        <v>45976</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10218-2023</t>
        </is>
      </c>
      <c r="B1424" s="1" t="n">
        <v>44986.59697916666</v>
      </c>
      <c r="C1424" s="1" t="n">
        <v>45976</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46698-2024</t>
        </is>
      </c>
      <c r="B1425" s="1" t="n">
        <v>45583.43209490741</v>
      </c>
      <c r="C1425" s="1" t="n">
        <v>45976</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1708-2025</t>
        </is>
      </c>
      <c r="B1426" s="1" t="n">
        <v>45670</v>
      </c>
      <c r="C1426" s="1" t="n">
        <v>45976</v>
      </c>
      <c r="D1426" t="inlineStr">
        <is>
          <t>VÄRMLANDS LÄN</t>
        </is>
      </c>
      <c r="E1426" t="inlineStr">
        <is>
          <t>TORSBY</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20528-2023</t>
        </is>
      </c>
      <c r="B1427" s="1" t="n">
        <v>45057</v>
      </c>
      <c r="C1427" s="1" t="n">
        <v>45976</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15085-2023</t>
        </is>
      </c>
      <c r="B1428" s="1" t="n">
        <v>45016</v>
      </c>
      <c r="C1428" s="1" t="n">
        <v>45976</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45044.50101851852</v>
      </c>
      <c r="C1429" s="1" t="n">
        <v>45976</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52918-2025</t>
        </is>
      </c>
      <c r="B1430" s="1" t="n">
        <v>45957.6122337963</v>
      </c>
      <c r="C1430" s="1" t="n">
        <v>45976</v>
      </c>
      <c r="D1430" t="inlineStr">
        <is>
          <t>VÄRMLANDS LÄN</t>
        </is>
      </c>
      <c r="E1430" t="inlineStr">
        <is>
          <t>TORSBY</t>
        </is>
      </c>
      <c r="F1430" t="inlineStr">
        <is>
          <t>Bergvik skog väst AB</t>
        </is>
      </c>
      <c r="G1430" t="n">
        <v>13.1</v>
      </c>
      <c r="H1430" t="n">
        <v>0</v>
      </c>
      <c r="I1430" t="n">
        <v>0</v>
      </c>
      <c r="J1430" t="n">
        <v>0</v>
      </c>
      <c r="K1430" t="n">
        <v>0</v>
      </c>
      <c r="L1430" t="n">
        <v>0</v>
      </c>
      <c r="M1430" t="n">
        <v>0</v>
      </c>
      <c r="N1430" t="n">
        <v>0</v>
      </c>
      <c r="O1430" t="n">
        <v>0</v>
      </c>
      <c r="P1430" t="n">
        <v>0</v>
      </c>
      <c r="Q1430" t="n">
        <v>0</v>
      </c>
      <c r="R1430" s="2" t="inlineStr"/>
    </row>
    <row r="1431" ht="15" customHeight="1">
      <c r="A1431" t="inlineStr">
        <is>
          <t>A 28624-2024</t>
        </is>
      </c>
      <c r="B1431" s="1" t="n">
        <v>45478.44297453704</v>
      </c>
      <c r="C1431" s="1" t="n">
        <v>45976</v>
      </c>
      <c r="D1431" t="inlineStr">
        <is>
          <t>VÄRMLANDS LÄN</t>
        </is>
      </c>
      <c r="E1431" t="inlineStr">
        <is>
          <t>TORSBY</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44083-2023</t>
        </is>
      </c>
      <c r="B1432" s="1" t="n">
        <v>45182</v>
      </c>
      <c r="C1432" s="1" t="n">
        <v>45976</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11214-2024</t>
        </is>
      </c>
      <c r="B1433" s="1" t="n">
        <v>45371</v>
      </c>
      <c r="C1433" s="1" t="n">
        <v>45976</v>
      </c>
      <c r="D1433" t="inlineStr">
        <is>
          <t>VÄRMLANDS LÄN</t>
        </is>
      </c>
      <c r="E1433" t="inlineStr">
        <is>
          <t>TORSBY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44220-2025</t>
        </is>
      </c>
      <c r="B1434" s="1" t="n">
        <v>45915</v>
      </c>
      <c r="C1434" s="1" t="n">
        <v>45976</v>
      </c>
      <c r="D1434" t="inlineStr">
        <is>
          <t>VÄRMLANDS LÄN</t>
        </is>
      </c>
      <c r="E1434" t="inlineStr">
        <is>
          <t>TORSBY</t>
        </is>
      </c>
      <c r="F1434" t="inlineStr">
        <is>
          <t>Kommuner</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43831-2025</t>
        </is>
      </c>
      <c r="B1435" s="1" t="n">
        <v>45912.62987268518</v>
      </c>
      <c r="C1435" s="1" t="n">
        <v>45976</v>
      </c>
      <c r="D1435" t="inlineStr">
        <is>
          <t>VÄRMLANDS LÄN</t>
        </is>
      </c>
      <c r="E1435" t="inlineStr">
        <is>
          <t>TORSBY</t>
        </is>
      </c>
      <c r="F1435" t="inlineStr">
        <is>
          <t>Bergvik skog väst AB</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22090-2025</t>
        </is>
      </c>
      <c r="B1436" s="1" t="n">
        <v>45785.45212962963</v>
      </c>
      <c r="C1436" s="1" t="n">
        <v>45976</v>
      </c>
      <c r="D1436" t="inlineStr">
        <is>
          <t>VÄRMLANDS LÄN</t>
        </is>
      </c>
      <c r="E1436" t="inlineStr">
        <is>
          <t>TORSBY</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52891-2025</t>
        </is>
      </c>
      <c r="B1437" s="1" t="n">
        <v>45957.57776620371</v>
      </c>
      <c r="C1437" s="1" t="n">
        <v>45976</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52741-2025</t>
        </is>
      </c>
      <c r="B1438" s="1" t="n">
        <v>45957.3778587963</v>
      </c>
      <c r="C1438" s="1" t="n">
        <v>45976</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52364-2025</t>
        </is>
      </c>
      <c r="B1439" s="1" t="n">
        <v>45952</v>
      </c>
      <c r="C1439" s="1" t="n">
        <v>45976</v>
      </c>
      <c r="D1439" t="inlineStr">
        <is>
          <t>VÄRMLANDS LÄN</t>
        </is>
      </c>
      <c r="E1439" t="inlineStr">
        <is>
          <t>TORSBY</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52493-2025</t>
        </is>
      </c>
      <c r="B1440" s="1" t="n">
        <v>45954.48518518519</v>
      </c>
      <c r="C1440" s="1" t="n">
        <v>45976</v>
      </c>
      <c r="D1440" t="inlineStr">
        <is>
          <t>VÄRMLANDS LÄN</t>
        </is>
      </c>
      <c r="E1440" t="inlineStr">
        <is>
          <t>TORSBY</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52489-2025</t>
        </is>
      </c>
      <c r="B1441" s="1" t="n">
        <v>45954.48056712963</v>
      </c>
      <c r="C1441" s="1" t="n">
        <v>45976</v>
      </c>
      <c r="D1441" t="inlineStr">
        <is>
          <t>VÄRMLANDS LÄN</t>
        </is>
      </c>
      <c r="E1441" t="inlineStr">
        <is>
          <t>TORSBY</t>
        </is>
      </c>
      <c r="F1441" t="inlineStr">
        <is>
          <t>Bergvik skog väst AB</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52787-2025</t>
        </is>
      </c>
      <c r="B1442" s="1" t="n">
        <v>45957.42736111111</v>
      </c>
      <c r="C1442" s="1" t="n">
        <v>45976</v>
      </c>
      <c r="D1442" t="inlineStr">
        <is>
          <t>VÄRMLANDS LÄN</t>
        </is>
      </c>
      <c r="E1442" t="inlineStr">
        <is>
          <t>TORSBY</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43179-2023</t>
        </is>
      </c>
      <c r="B1443" s="1" t="n">
        <v>45183.37615740741</v>
      </c>
      <c r="C1443" s="1" t="n">
        <v>45976</v>
      </c>
      <c r="D1443" t="inlineStr">
        <is>
          <t>VÄRMLANDS LÄN</t>
        </is>
      </c>
      <c r="E1443" t="inlineStr">
        <is>
          <t>TORSBY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43669-2025</t>
        </is>
      </c>
      <c r="B1444" s="1" t="n">
        <v>45912.36299768519</v>
      </c>
      <c r="C1444" s="1" t="n">
        <v>45976</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52754-2025</t>
        </is>
      </c>
      <c r="B1445" s="1" t="n">
        <v>45957.39010416667</v>
      </c>
      <c r="C1445" s="1" t="n">
        <v>45976</v>
      </c>
      <c r="D1445" t="inlineStr">
        <is>
          <t>VÄRMLANDS LÄN</t>
        </is>
      </c>
      <c r="E1445" t="inlineStr">
        <is>
          <t>TORSBY</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52762-2025</t>
        </is>
      </c>
      <c r="B1446" s="1" t="n">
        <v>45957.39813657408</v>
      </c>
      <c r="C1446" s="1" t="n">
        <v>45976</v>
      </c>
      <c r="D1446" t="inlineStr">
        <is>
          <t>VÄRMLANDS LÄN</t>
        </is>
      </c>
      <c r="E1446" t="inlineStr">
        <is>
          <t>TORSBY</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52509-2025</t>
        </is>
      </c>
      <c r="B1447" s="1" t="n">
        <v>45954.50586805555</v>
      </c>
      <c r="C1447" s="1" t="n">
        <v>45976</v>
      </c>
      <c r="D1447" t="inlineStr">
        <is>
          <t>VÄRMLANDS LÄN</t>
        </is>
      </c>
      <c r="E1447" t="inlineStr">
        <is>
          <t>TORSBY</t>
        </is>
      </c>
      <c r="F1447" t="inlineStr">
        <is>
          <t>Bergvik skog väst AB</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52512-2025</t>
        </is>
      </c>
      <c r="B1448" s="1" t="n">
        <v>45954.50771990741</v>
      </c>
      <c r="C1448" s="1" t="n">
        <v>45976</v>
      </c>
      <c r="D1448" t="inlineStr">
        <is>
          <t>VÄRMLANDS LÄN</t>
        </is>
      </c>
      <c r="E1448" t="inlineStr">
        <is>
          <t>TORSBY</t>
        </is>
      </c>
      <c r="F1448" t="inlineStr">
        <is>
          <t>Bergvik skog väst AB</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53014-2025</t>
        </is>
      </c>
      <c r="B1449" s="1" t="n">
        <v>45957.81865740741</v>
      </c>
      <c r="C1449" s="1" t="n">
        <v>45976</v>
      </c>
      <c r="D1449" t="inlineStr">
        <is>
          <t>VÄRMLANDS LÄN</t>
        </is>
      </c>
      <c r="E1449" t="inlineStr">
        <is>
          <t>TORSBY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52994-2025</t>
        </is>
      </c>
      <c r="B1450" s="1" t="n">
        <v>45957.72753472222</v>
      </c>
      <c r="C1450" s="1" t="n">
        <v>45976</v>
      </c>
      <c r="D1450" t="inlineStr">
        <is>
          <t>VÄRMLANDS LÄN</t>
        </is>
      </c>
      <c r="E1450" t="inlineStr">
        <is>
          <t>TORSBY</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52609-2025</t>
        </is>
      </c>
      <c r="B1451" s="1" t="n">
        <v>45954.66649305556</v>
      </c>
      <c r="C1451" s="1" t="n">
        <v>45976</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52587-2025</t>
        </is>
      </c>
      <c r="B1452" s="1" t="n">
        <v>45954.63325231482</v>
      </c>
      <c r="C1452" s="1" t="n">
        <v>45976</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2308-2024</t>
        </is>
      </c>
      <c r="B1453" s="1" t="n">
        <v>45310</v>
      </c>
      <c r="C1453" s="1" t="n">
        <v>45976</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46195-2023</t>
        </is>
      </c>
      <c r="B1454" s="1" t="n">
        <v>45196</v>
      </c>
      <c r="C1454" s="1" t="n">
        <v>45976</v>
      </c>
      <c r="D1454" t="inlineStr">
        <is>
          <t>VÄRMLANDS LÄN</t>
        </is>
      </c>
      <c r="E1454" t="inlineStr">
        <is>
          <t>TORSBY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21963-2025</t>
        </is>
      </c>
      <c r="B1455" s="1" t="n">
        <v>45784</v>
      </c>
      <c r="C1455" s="1" t="n">
        <v>45976</v>
      </c>
      <c r="D1455" t="inlineStr">
        <is>
          <t>VÄRMLANDS LÄN</t>
        </is>
      </c>
      <c r="E1455" t="inlineStr">
        <is>
          <t>TORSBY</t>
        </is>
      </c>
      <c r="F1455" t="inlineStr">
        <is>
          <t>Bergvik skog väst AB</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21974-2025</t>
        </is>
      </c>
      <c r="B1456" s="1" t="n">
        <v>45784.63689814815</v>
      </c>
      <c r="C1456" s="1" t="n">
        <v>45976</v>
      </c>
      <c r="D1456" t="inlineStr">
        <is>
          <t>VÄRMLANDS LÄN</t>
        </is>
      </c>
      <c r="E1456" t="inlineStr">
        <is>
          <t>TORSBY</t>
        </is>
      </c>
      <c r="F1456" t="inlineStr">
        <is>
          <t>Bergvik skog väst AB</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44141-2025</t>
        </is>
      </c>
      <c r="B1457" s="1" t="n">
        <v>45915</v>
      </c>
      <c r="C1457" s="1" t="n">
        <v>45976</v>
      </c>
      <c r="D1457" t="inlineStr">
        <is>
          <t>VÄRMLANDS LÄN</t>
        </is>
      </c>
      <c r="E1457" t="inlineStr">
        <is>
          <t>TORSBY</t>
        </is>
      </c>
      <c r="F1457" t="inlineStr">
        <is>
          <t>Kyrkan</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52362-2025</t>
        </is>
      </c>
      <c r="B1458" s="1" t="n">
        <v>45952</v>
      </c>
      <c r="C1458" s="1" t="n">
        <v>45976</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44590-2025</t>
        </is>
      </c>
      <c r="B1459" s="1" t="n">
        <v>45917.42607638889</v>
      </c>
      <c r="C1459" s="1" t="n">
        <v>45976</v>
      </c>
      <c r="D1459" t="inlineStr">
        <is>
          <t>VÄRMLANDS LÄN</t>
        </is>
      </c>
      <c r="E1459" t="inlineStr">
        <is>
          <t>TORSBY</t>
        </is>
      </c>
      <c r="F1459" t="inlineStr">
        <is>
          <t>Bergvik skog väst AB</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18959-2024</t>
        </is>
      </c>
      <c r="B1460" s="1" t="n">
        <v>45427.53032407408</v>
      </c>
      <c r="C1460" s="1" t="n">
        <v>45976</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24113-2024</t>
        </is>
      </c>
      <c r="B1461" s="1" t="n">
        <v>45456.61590277778</v>
      </c>
      <c r="C1461" s="1" t="n">
        <v>45976</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55036-2024</t>
        </is>
      </c>
      <c r="B1462" s="1" t="n">
        <v>45621.38342592592</v>
      </c>
      <c r="C1462" s="1" t="n">
        <v>45976</v>
      </c>
      <c r="D1462" t="inlineStr">
        <is>
          <t>VÄRMLANDS LÄN</t>
        </is>
      </c>
      <c r="E1462" t="inlineStr">
        <is>
          <t>TORSBY</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19031-2021</t>
        </is>
      </c>
      <c r="B1463" s="1" t="n">
        <v>44308.51076388889</v>
      </c>
      <c r="C1463" s="1" t="n">
        <v>45976</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22178-2025</t>
        </is>
      </c>
      <c r="B1464" s="1" t="n">
        <v>45785</v>
      </c>
      <c r="C1464" s="1" t="n">
        <v>45976</v>
      </c>
      <c r="D1464" t="inlineStr">
        <is>
          <t>VÄRMLANDS LÄN</t>
        </is>
      </c>
      <c r="E1464" t="inlineStr">
        <is>
          <t>TORSBY</t>
        </is>
      </c>
      <c r="G1464" t="n">
        <v>25.5</v>
      </c>
      <c r="H1464" t="n">
        <v>0</v>
      </c>
      <c r="I1464" t="n">
        <v>0</v>
      </c>
      <c r="J1464" t="n">
        <v>0</v>
      </c>
      <c r="K1464" t="n">
        <v>0</v>
      </c>
      <c r="L1464" t="n">
        <v>0</v>
      </c>
      <c r="M1464" t="n">
        <v>0</v>
      </c>
      <c r="N1464" t="n">
        <v>0</v>
      </c>
      <c r="O1464" t="n">
        <v>0</v>
      </c>
      <c r="P1464" t="n">
        <v>0</v>
      </c>
      <c r="Q1464" t="n">
        <v>0</v>
      </c>
      <c r="R1464" s="2" t="inlineStr"/>
    </row>
    <row r="1465" ht="15" customHeight="1">
      <c r="A1465" t="inlineStr">
        <is>
          <t>A 19630-2025</t>
        </is>
      </c>
      <c r="B1465" s="1" t="n">
        <v>45770.64239583333</v>
      </c>
      <c r="C1465" s="1" t="n">
        <v>45976</v>
      </c>
      <c r="D1465" t="inlineStr">
        <is>
          <t>VÄRMLANDS LÄN</t>
        </is>
      </c>
      <c r="E1465" t="inlineStr">
        <is>
          <t>TORSBY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15170-2025</t>
        </is>
      </c>
      <c r="B1466" s="1" t="n">
        <v>45743</v>
      </c>
      <c r="C1466" s="1" t="n">
        <v>45976</v>
      </c>
      <c r="D1466" t="inlineStr">
        <is>
          <t>VÄRMLANDS LÄN</t>
        </is>
      </c>
      <c r="E1466" t="inlineStr">
        <is>
          <t>TORSBY</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52995-2025</t>
        </is>
      </c>
      <c r="B1467" s="1" t="n">
        <v>45957.72936342593</v>
      </c>
      <c r="C1467" s="1" t="n">
        <v>45976</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73874-2021</t>
        </is>
      </c>
      <c r="B1468" s="1" t="n">
        <v>44553.39755787037</v>
      </c>
      <c r="C1468" s="1" t="n">
        <v>45976</v>
      </c>
      <c r="D1468" t="inlineStr">
        <is>
          <t>VÄRMLANDS LÄN</t>
        </is>
      </c>
      <c r="E1468" t="inlineStr">
        <is>
          <t>TORSBY</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22269-2025</t>
        </is>
      </c>
      <c r="B1469" s="1" t="n">
        <v>45785</v>
      </c>
      <c r="C1469" s="1" t="n">
        <v>45976</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44715-2025</t>
        </is>
      </c>
      <c r="B1470" s="1" t="n">
        <v>45917.62854166667</v>
      </c>
      <c r="C1470" s="1" t="n">
        <v>45976</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22076-2025</t>
        </is>
      </c>
      <c r="B1471" s="1" t="n">
        <v>45785.41473379629</v>
      </c>
      <c r="C1471" s="1" t="n">
        <v>45976</v>
      </c>
      <c r="D1471" t="inlineStr">
        <is>
          <t>VÄRMLANDS LÄN</t>
        </is>
      </c>
      <c r="E1471" t="inlineStr">
        <is>
          <t>TORSBY</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21858-2025</t>
        </is>
      </c>
      <c r="B1472" s="1" t="n">
        <v>45784.36265046296</v>
      </c>
      <c r="C1472" s="1" t="n">
        <v>45976</v>
      </c>
      <c r="D1472" t="inlineStr">
        <is>
          <t>VÄRMLANDS LÄN</t>
        </is>
      </c>
      <c r="E1472" t="inlineStr">
        <is>
          <t>TORSBY</t>
        </is>
      </c>
      <c r="F1472" t="inlineStr">
        <is>
          <t>Bergvik skog väst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29897-2024</t>
        </is>
      </c>
      <c r="B1473" s="1" t="n">
        <v>45487.51834490741</v>
      </c>
      <c r="C1473" s="1" t="n">
        <v>45976</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53165-2025</t>
        </is>
      </c>
      <c r="B1474" s="1" t="n">
        <v>45958.50232638889</v>
      </c>
      <c r="C1474" s="1" t="n">
        <v>45976</v>
      </c>
      <c r="D1474" t="inlineStr">
        <is>
          <t>VÄRMLANDS LÄN</t>
        </is>
      </c>
      <c r="E1474" t="inlineStr">
        <is>
          <t>TORSBY</t>
        </is>
      </c>
      <c r="F1474" t="inlineStr">
        <is>
          <t>Bergvik skog väst AB</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33088-2024</t>
        </is>
      </c>
      <c r="B1475" s="1" t="n">
        <v>45517</v>
      </c>
      <c r="C1475" s="1" t="n">
        <v>45976</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22715-2025</t>
        </is>
      </c>
      <c r="B1476" s="1" t="n">
        <v>45789.56496527778</v>
      </c>
      <c r="C1476" s="1" t="n">
        <v>45976</v>
      </c>
      <c r="D1476" t="inlineStr">
        <is>
          <t>VÄRMLANDS LÄN</t>
        </is>
      </c>
      <c r="E1476" t="inlineStr">
        <is>
          <t>TORSBY</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44507-2025</t>
        </is>
      </c>
      <c r="B1477" s="1" t="n">
        <v>45916</v>
      </c>
      <c r="C1477" s="1" t="n">
        <v>45976</v>
      </c>
      <c r="D1477" t="inlineStr">
        <is>
          <t>VÄRMLANDS LÄN</t>
        </is>
      </c>
      <c r="E1477" t="inlineStr">
        <is>
          <t>TORSBY</t>
        </is>
      </c>
      <c r="F1477" t="inlineStr">
        <is>
          <t>Bergvik skog väst AB</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44286-2025</t>
        </is>
      </c>
      <c r="B1478" s="1" t="n">
        <v>45916</v>
      </c>
      <c r="C1478" s="1" t="n">
        <v>45976</v>
      </c>
      <c r="D1478" t="inlineStr">
        <is>
          <t>VÄRMLANDS LÄN</t>
        </is>
      </c>
      <c r="E1478" t="inlineStr">
        <is>
          <t>TORSBY</t>
        </is>
      </c>
      <c r="F1478" t="inlineStr">
        <is>
          <t>Bergvik skog väst AB</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44290-2025</t>
        </is>
      </c>
      <c r="B1479" s="1" t="n">
        <v>45916.35228009259</v>
      </c>
      <c r="C1479" s="1" t="n">
        <v>45976</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29921-2022</t>
        </is>
      </c>
      <c r="B1480" s="1" t="n">
        <v>44756</v>
      </c>
      <c r="C1480" s="1" t="n">
        <v>45976</v>
      </c>
      <c r="D1480" t="inlineStr">
        <is>
          <t>VÄRMLANDS LÄN</t>
        </is>
      </c>
      <c r="E1480" t="inlineStr">
        <is>
          <t>TORSBY</t>
        </is>
      </c>
      <c r="F1480" t="inlineStr">
        <is>
          <t>Kommuner</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60626-2024</t>
        </is>
      </c>
      <c r="B1481" s="1" t="n">
        <v>45642</v>
      </c>
      <c r="C1481" s="1" t="n">
        <v>45976</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53383-2025</t>
        </is>
      </c>
      <c r="B1482" s="1" t="n">
        <v>45959.54097222222</v>
      </c>
      <c r="C1482" s="1" t="n">
        <v>45976</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22596-2025</t>
        </is>
      </c>
      <c r="B1483" s="1" t="n">
        <v>45789.41362268518</v>
      </c>
      <c r="C1483" s="1" t="n">
        <v>45976</v>
      </c>
      <c r="D1483" t="inlineStr">
        <is>
          <t>VÄRMLANDS LÄN</t>
        </is>
      </c>
      <c r="E1483" t="inlineStr">
        <is>
          <t>TORSBY</t>
        </is>
      </c>
      <c r="F1483" t="inlineStr">
        <is>
          <t>Bergvik skog väst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44273-2025</t>
        </is>
      </c>
      <c r="B1484" s="1" t="n">
        <v>45916</v>
      </c>
      <c r="C1484" s="1" t="n">
        <v>45976</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64641-2023</t>
        </is>
      </c>
      <c r="B1485" s="1" t="n">
        <v>45281.55908564815</v>
      </c>
      <c r="C1485" s="1" t="n">
        <v>45976</v>
      </c>
      <c r="D1485" t="inlineStr">
        <is>
          <t>VÄRMLANDS LÄN</t>
        </is>
      </c>
      <c r="E1485" t="inlineStr">
        <is>
          <t>TORSBY</t>
        </is>
      </c>
      <c r="F1485" t="inlineStr">
        <is>
          <t>Bergvik skog väst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44374-2025</t>
        </is>
      </c>
      <c r="B1486" s="1" t="n">
        <v>45916.47035879629</v>
      </c>
      <c r="C1486" s="1" t="n">
        <v>45976</v>
      </c>
      <c r="D1486" t="inlineStr">
        <is>
          <t>VÄRMLANDS LÄN</t>
        </is>
      </c>
      <c r="E1486" t="inlineStr">
        <is>
          <t>TORSBY</t>
        </is>
      </c>
      <c r="F1486" t="inlineStr">
        <is>
          <t>Bergvik skog väst AB</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11569-2025</t>
        </is>
      </c>
      <c r="B1487" s="1" t="n">
        <v>45727.37971064815</v>
      </c>
      <c r="C1487" s="1" t="n">
        <v>45976</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53272-2025</t>
        </is>
      </c>
      <c r="B1488" s="1" t="n">
        <v>45958.71019675926</v>
      </c>
      <c r="C1488" s="1" t="n">
        <v>45976</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44522-2025</t>
        </is>
      </c>
      <c r="B1489" s="1" t="n">
        <v>45916</v>
      </c>
      <c r="C1489" s="1" t="n">
        <v>45976</v>
      </c>
      <c r="D1489" t="inlineStr">
        <is>
          <t>VÄRMLANDS LÄN</t>
        </is>
      </c>
      <c r="E1489" t="inlineStr">
        <is>
          <t>TORSBY</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22278-2025</t>
        </is>
      </c>
      <c r="B1490" s="1" t="n">
        <v>45786.33332175926</v>
      </c>
      <c r="C1490" s="1" t="n">
        <v>45976</v>
      </c>
      <c r="D1490" t="inlineStr">
        <is>
          <t>VÄRMLANDS LÄN</t>
        </is>
      </c>
      <c r="E1490" t="inlineStr">
        <is>
          <t>TORSBY</t>
        </is>
      </c>
      <c r="F1490" t="inlineStr">
        <is>
          <t>Bergvik skog väst AB</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16427-2023</t>
        </is>
      </c>
      <c r="B1491" s="1" t="n">
        <v>45022</v>
      </c>
      <c r="C1491" s="1" t="n">
        <v>45976</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34434-2022</t>
        </is>
      </c>
      <c r="B1492" s="1" t="n">
        <v>44792</v>
      </c>
      <c r="C1492" s="1" t="n">
        <v>45976</v>
      </c>
      <c r="D1492" t="inlineStr">
        <is>
          <t>VÄRMLANDS LÄN</t>
        </is>
      </c>
      <c r="E1492" t="inlineStr">
        <is>
          <t>TORSBY</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44699-2025</t>
        </is>
      </c>
      <c r="B1493" s="1" t="n">
        <v>45917.60077546296</v>
      </c>
      <c r="C1493" s="1" t="n">
        <v>45976</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22316-2025</t>
        </is>
      </c>
      <c r="B1494" s="1" t="n">
        <v>45786.39013888889</v>
      </c>
      <c r="C1494" s="1" t="n">
        <v>45976</v>
      </c>
      <c r="D1494" t="inlineStr">
        <is>
          <t>VÄRMLANDS LÄN</t>
        </is>
      </c>
      <c r="E1494" t="inlineStr">
        <is>
          <t>TORSBY</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22593-2025</t>
        </is>
      </c>
      <c r="B1495" s="1" t="n">
        <v>45789.41113425926</v>
      </c>
      <c r="C1495" s="1" t="n">
        <v>45976</v>
      </c>
      <c r="D1495" t="inlineStr">
        <is>
          <t>VÄRMLANDS LÄN</t>
        </is>
      </c>
      <c r="E1495" t="inlineStr">
        <is>
          <t>TORSBY</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53049-2025</t>
        </is>
      </c>
      <c r="B1496" s="1" t="n">
        <v>45958.36173611111</v>
      </c>
      <c r="C1496" s="1" t="n">
        <v>45976</v>
      </c>
      <c r="D1496" t="inlineStr">
        <is>
          <t>VÄRMLANDS LÄN</t>
        </is>
      </c>
      <c r="E1496" t="inlineStr">
        <is>
          <t>TORSBY</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2321-2021</t>
        </is>
      </c>
      <c r="B1497" s="1" t="n">
        <v>44214</v>
      </c>
      <c r="C1497" s="1" t="n">
        <v>45976</v>
      </c>
      <c r="D1497" t="inlineStr">
        <is>
          <t>VÄRMLANDS LÄN</t>
        </is>
      </c>
      <c r="E1497" t="inlineStr">
        <is>
          <t>TORSBY</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53266-2025</t>
        </is>
      </c>
      <c r="B1498" s="1" t="n">
        <v>45958.6834837963</v>
      </c>
      <c r="C1498" s="1" t="n">
        <v>45976</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22708-2025</t>
        </is>
      </c>
      <c r="B1499" s="1" t="n">
        <v>45789.55561342592</v>
      </c>
      <c r="C1499" s="1" t="n">
        <v>45976</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7636-2024</t>
        </is>
      </c>
      <c r="B1500" s="1" t="n">
        <v>45348</v>
      </c>
      <c r="C1500" s="1" t="n">
        <v>45976</v>
      </c>
      <c r="D1500" t="inlineStr">
        <is>
          <t>VÄRMLANDS LÄN</t>
        </is>
      </c>
      <c r="E1500" t="inlineStr">
        <is>
          <t>TORSBY</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3160-2021</t>
        </is>
      </c>
      <c r="B1501" s="1" t="n">
        <v>44217</v>
      </c>
      <c r="C1501" s="1" t="n">
        <v>45976</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44288-2025</t>
        </is>
      </c>
      <c r="B1502" s="1" t="n">
        <v>45916.3500462963</v>
      </c>
      <c r="C1502" s="1" t="n">
        <v>45976</v>
      </c>
      <c r="D1502" t="inlineStr">
        <is>
          <t>VÄRMLANDS LÄN</t>
        </is>
      </c>
      <c r="E1502" t="inlineStr">
        <is>
          <t>TORSBY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3590-2024</t>
        </is>
      </c>
      <c r="B1503" s="1" t="n">
        <v>45320</v>
      </c>
      <c r="C1503" s="1" t="n">
        <v>45976</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53107-2025</t>
        </is>
      </c>
      <c r="B1504" s="1" t="n">
        <v>45958.43576388889</v>
      </c>
      <c r="C1504" s="1" t="n">
        <v>45976</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18258-2025</t>
        </is>
      </c>
      <c r="B1505" s="1" t="n">
        <v>45762.35762731481</v>
      </c>
      <c r="C1505" s="1" t="n">
        <v>45976</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37822-2023</t>
        </is>
      </c>
      <c r="B1506" s="1" t="n">
        <v>45160.30215277777</v>
      </c>
      <c r="C1506" s="1" t="n">
        <v>45976</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44710-2025</t>
        </is>
      </c>
      <c r="B1507" s="1" t="n">
        <v>45917.61743055555</v>
      </c>
      <c r="C1507" s="1" t="n">
        <v>45976</v>
      </c>
      <c r="D1507" t="inlineStr">
        <is>
          <t>VÄRMLANDS LÄN</t>
        </is>
      </c>
      <c r="E1507" t="inlineStr">
        <is>
          <t>TORSBY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15014-2025</t>
        </is>
      </c>
      <c r="B1508" s="1" t="n">
        <v>45743</v>
      </c>
      <c r="C1508" s="1" t="n">
        <v>45976</v>
      </c>
      <c r="D1508" t="inlineStr">
        <is>
          <t>VÄRMLANDS LÄN</t>
        </is>
      </c>
      <c r="E1508" t="inlineStr">
        <is>
          <t>TORSBY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19253-2025</t>
        </is>
      </c>
      <c r="B1509" s="1" t="n">
        <v>45769</v>
      </c>
      <c r="C1509" s="1" t="n">
        <v>45976</v>
      </c>
      <c r="D1509" t="inlineStr">
        <is>
          <t>VÄRMLANDS LÄN</t>
        </is>
      </c>
      <c r="E1509" t="inlineStr">
        <is>
          <t>TORSBY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22320-2025</t>
        </is>
      </c>
      <c r="B1510" s="1" t="n">
        <v>45786.40542824074</v>
      </c>
      <c r="C1510" s="1" t="n">
        <v>45976</v>
      </c>
      <c r="D1510" t="inlineStr">
        <is>
          <t>VÄRMLANDS LÄN</t>
        </is>
      </c>
      <c r="E1510" t="inlineStr">
        <is>
          <t>TORSBY</t>
        </is>
      </c>
      <c r="F1510" t="inlineStr">
        <is>
          <t>Bergvik skog väst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22339-2025</t>
        </is>
      </c>
      <c r="B1511" s="1" t="n">
        <v>45786</v>
      </c>
      <c r="C1511" s="1" t="n">
        <v>45976</v>
      </c>
      <c r="D1511" t="inlineStr">
        <is>
          <t>VÄRMLANDS LÄN</t>
        </is>
      </c>
      <c r="E1511" t="inlineStr">
        <is>
          <t>TORSBY</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22760-2025</t>
        </is>
      </c>
      <c r="B1512" s="1" t="n">
        <v>45789</v>
      </c>
      <c r="C1512" s="1" t="n">
        <v>45976</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53113-2025</t>
        </is>
      </c>
      <c r="B1513" s="1" t="n">
        <v>45958.44431712963</v>
      </c>
      <c r="C1513" s="1" t="n">
        <v>45976</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53123-2025</t>
        </is>
      </c>
      <c r="B1514" s="1" t="n">
        <v>45958.45204861111</v>
      </c>
      <c r="C1514" s="1" t="n">
        <v>45976</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22331-2025</t>
        </is>
      </c>
      <c r="B1515" s="1" t="n">
        <v>45786</v>
      </c>
      <c r="C1515" s="1" t="n">
        <v>45976</v>
      </c>
      <c r="D1515" t="inlineStr">
        <is>
          <t>VÄRMLANDS LÄN</t>
        </is>
      </c>
      <c r="E1515" t="inlineStr">
        <is>
          <t>TORSBY</t>
        </is>
      </c>
      <c r="F1515" t="inlineStr">
        <is>
          <t>Bergvik skog väst AB</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53520-2025</t>
        </is>
      </c>
      <c r="B1516" s="1" t="n">
        <v>45960.35893518518</v>
      </c>
      <c r="C1516" s="1" t="n">
        <v>45976</v>
      </c>
      <c r="D1516" t="inlineStr">
        <is>
          <t>VÄRMLANDS LÄN</t>
        </is>
      </c>
      <c r="E1516" t="inlineStr">
        <is>
          <t>TORSBY</t>
        </is>
      </c>
      <c r="F1516" t="inlineStr">
        <is>
          <t>Bergvik skog väst AB</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22757-2025</t>
        </is>
      </c>
      <c r="B1517" s="1" t="n">
        <v>45789.61908564815</v>
      </c>
      <c r="C1517" s="1" t="n">
        <v>45976</v>
      </c>
      <c r="D1517" t="inlineStr">
        <is>
          <t>VÄRMLANDS LÄN</t>
        </is>
      </c>
      <c r="E1517" t="inlineStr">
        <is>
          <t>TORSBY</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42481-2025</t>
        </is>
      </c>
      <c r="B1518" s="1" t="n">
        <v>45904</v>
      </c>
      <c r="C1518" s="1" t="n">
        <v>45976</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30735-2025</t>
        </is>
      </c>
      <c r="B1519" s="1" t="n">
        <v>45831.57479166667</v>
      </c>
      <c r="C1519" s="1" t="n">
        <v>45976</v>
      </c>
      <c r="D1519" t="inlineStr">
        <is>
          <t>VÄRMLANDS LÄN</t>
        </is>
      </c>
      <c r="E1519" t="inlineStr">
        <is>
          <t>TORSBY</t>
        </is>
      </c>
      <c r="F1519" t="inlineStr">
        <is>
          <t>Bergvik skog väst AB</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60207-2024</t>
        </is>
      </c>
      <c r="B1520" s="1" t="n">
        <v>45642.67428240741</v>
      </c>
      <c r="C1520" s="1" t="n">
        <v>45976</v>
      </c>
      <c r="D1520" t="inlineStr">
        <is>
          <t>VÄRMLANDS LÄN</t>
        </is>
      </c>
      <c r="E1520" t="inlineStr">
        <is>
          <t>TORSBY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45245-2025</t>
        </is>
      </c>
      <c r="B1521" s="1" t="n">
        <v>45919.60621527778</v>
      </c>
      <c r="C1521" s="1" t="n">
        <v>45976</v>
      </c>
      <c r="D1521" t="inlineStr">
        <is>
          <t>VÄRMLANDS LÄN</t>
        </is>
      </c>
      <c r="E1521" t="inlineStr">
        <is>
          <t>TORSBY</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23367-2025</t>
        </is>
      </c>
      <c r="B1522" s="1" t="n">
        <v>45791.69582175926</v>
      </c>
      <c r="C1522" s="1" t="n">
        <v>45976</v>
      </c>
      <c r="D1522" t="inlineStr">
        <is>
          <t>VÄRMLANDS LÄN</t>
        </is>
      </c>
      <c r="E1522" t="inlineStr">
        <is>
          <t>TORSBY</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7101-2025</t>
        </is>
      </c>
      <c r="B1523" s="1" t="n">
        <v>45701</v>
      </c>
      <c r="C1523" s="1" t="n">
        <v>45976</v>
      </c>
      <c r="D1523" t="inlineStr">
        <is>
          <t>VÄRMLANDS LÄN</t>
        </is>
      </c>
      <c r="E1523" t="inlineStr">
        <is>
          <t>TORSBY</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23287-2025</t>
        </is>
      </c>
      <c r="B1524" s="1" t="n">
        <v>45791.5816087963</v>
      </c>
      <c r="C1524" s="1" t="n">
        <v>45976</v>
      </c>
      <c r="D1524" t="inlineStr">
        <is>
          <t>VÄRMLANDS LÄN</t>
        </is>
      </c>
      <c r="E1524" t="inlineStr">
        <is>
          <t>TORSBY</t>
        </is>
      </c>
      <c r="F1524" t="inlineStr">
        <is>
          <t>Bergvik skog väst AB</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44995-2025</t>
        </is>
      </c>
      <c r="B1525" s="1" t="n">
        <v>45918</v>
      </c>
      <c r="C1525" s="1" t="n">
        <v>45976</v>
      </c>
      <c r="D1525" t="inlineStr">
        <is>
          <t>VÄRMLANDS LÄN</t>
        </is>
      </c>
      <c r="E1525" t="inlineStr">
        <is>
          <t>TORSBY</t>
        </is>
      </c>
      <c r="F1525" t="inlineStr">
        <is>
          <t>Bergvik skog väst AB</t>
        </is>
      </c>
      <c r="G1525" t="n">
        <v>18.7</v>
      </c>
      <c r="H1525" t="n">
        <v>0</v>
      </c>
      <c r="I1525" t="n">
        <v>0</v>
      </c>
      <c r="J1525" t="n">
        <v>0</v>
      </c>
      <c r="K1525" t="n">
        <v>0</v>
      </c>
      <c r="L1525" t="n">
        <v>0</v>
      </c>
      <c r="M1525" t="n">
        <v>0</v>
      </c>
      <c r="N1525" t="n">
        <v>0</v>
      </c>
      <c r="O1525" t="n">
        <v>0</v>
      </c>
      <c r="P1525" t="n">
        <v>0</v>
      </c>
      <c r="Q1525" t="n">
        <v>0</v>
      </c>
      <c r="R1525" s="2" t="inlineStr"/>
      <c r="U1525">
        <f>HYPERLINK("https://klasma.github.io/Logging_1737/knärot/A 44995-2025 karta knärot.png", "A 44995-2025")</f>
        <v/>
      </c>
      <c r="V1525">
        <f>HYPERLINK("https://klasma.github.io/Logging_1737/klagomål/A 44995-2025 FSC-klagomål.docx", "A 44995-2025")</f>
        <v/>
      </c>
      <c r="W1525">
        <f>HYPERLINK("https://klasma.github.io/Logging_1737/klagomålsmail/A 44995-2025 FSC-klagomål mail.docx", "A 44995-2025")</f>
        <v/>
      </c>
      <c r="X1525">
        <f>HYPERLINK("https://klasma.github.io/Logging_1737/tillsyn/A 44995-2025 tillsynsbegäran.docx", "A 44995-2025")</f>
        <v/>
      </c>
      <c r="Y1525">
        <f>HYPERLINK("https://klasma.github.io/Logging_1737/tillsynsmail/A 44995-2025 tillsynsbegäran mail.docx", "A 44995-2025")</f>
        <v/>
      </c>
    </row>
    <row r="1526" ht="15" customHeight="1">
      <c r="A1526" t="inlineStr">
        <is>
          <t>A 45043-2025</t>
        </is>
      </c>
      <c r="B1526" s="1" t="n">
        <v>45918.92902777778</v>
      </c>
      <c r="C1526" s="1" t="n">
        <v>45976</v>
      </c>
      <c r="D1526" t="inlineStr">
        <is>
          <t>VÄRMLANDS LÄN</t>
        </is>
      </c>
      <c r="E1526" t="inlineStr">
        <is>
          <t>TORSBY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45268-2025</t>
        </is>
      </c>
      <c r="B1527" s="1" t="n">
        <v>45919.66782407407</v>
      </c>
      <c r="C1527" s="1" t="n">
        <v>45976</v>
      </c>
      <c r="D1527" t="inlineStr">
        <is>
          <t>VÄRMLANDS LÄN</t>
        </is>
      </c>
      <c r="E1527" t="inlineStr">
        <is>
          <t>TORSBY</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45269-2025</t>
        </is>
      </c>
      <c r="B1528" s="1" t="n">
        <v>45919.67443287037</v>
      </c>
      <c r="C1528" s="1" t="n">
        <v>45976</v>
      </c>
      <c r="D1528" t="inlineStr">
        <is>
          <t>VÄRMLANDS LÄN</t>
        </is>
      </c>
      <c r="E1528" t="inlineStr">
        <is>
          <t>TORSBY</t>
        </is>
      </c>
      <c r="F1528" t="inlineStr">
        <is>
          <t>Bergvik skog väst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44821-2025</t>
        </is>
      </c>
      <c r="B1529" s="1" t="n">
        <v>45918</v>
      </c>
      <c r="C1529" s="1" t="n">
        <v>45976</v>
      </c>
      <c r="D1529" t="inlineStr">
        <is>
          <t>VÄRMLANDS LÄN</t>
        </is>
      </c>
      <c r="E1529" t="inlineStr">
        <is>
          <t>TORSBY</t>
        </is>
      </c>
      <c r="F1529" t="inlineStr">
        <is>
          <t>Bergvik skog väst AB</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58259-2024</t>
        </is>
      </c>
      <c r="B1530" s="1" t="n">
        <v>45632.56155092592</v>
      </c>
      <c r="C1530" s="1" t="n">
        <v>45976</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45093-2025</t>
        </is>
      </c>
      <c r="B1531" s="1" t="n">
        <v>45919.38398148148</v>
      </c>
      <c r="C1531" s="1" t="n">
        <v>45976</v>
      </c>
      <c r="D1531" t="inlineStr">
        <is>
          <t>VÄRMLANDS LÄN</t>
        </is>
      </c>
      <c r="E1531" t="inlineStr">
        <is>
          <t>TORSBY</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22845-2025</t>
        </is>
      </c>
      <c r="B1532" s="1" t="n">
        <v>45790</v>
      </c>
      <c r="C1532" s="1" t="n">
        <v>45976</v>
      </c>
      <c r="D1532" t="inlineStr">
        <is>
          <t>VÄRMLANDS LÄN</t>
        </is>
      </c>
      <c r="E1532" t="inlineStr">
        <is>
          <t>TORSBY</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53677-2025</t>
        </is>
      </c>
      <c r="B1533" s="1" t="n">
        <v>45960.56180555555</v>
      </c>
      <c r="C1533" s="1" t="n">
        <v>45976</v>
      </c>
      <c r="D1533" t="inlineStr">
        <is>
          <t>VÄRMLANDS LÄN</t>
        </is>
      </c>
      <c r="E1533" t="inlineStr">
        <is>
          <t>TORSBY</t>
        </is>
      </c>
      <c r="F1533" t="inlineStr">
        <is>
          <t>Bergvik skog väst AB</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21825-2024</t>
        </is>
      </c>
      <c r="B1534" s="1" t="n">
        <v>45442</v>
      </c>
      <c r="C1534" s="1" t="n">
        <v>45976</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44808-2025</t>
        </is>
      </c>
      <c r="B1535" s="1" t="n">
        <v>45918</v>
      </c>
      <c r="C1535" s="1" t="n">
        <v>45976</v>
      </c>
      <c r="D1535" t="inlineStr">
        <is>
          <t>VÄRMLANDS LÄN</t>
        </is>
      </c>
      <c r="E1535" t="inlineStr">
        <is>
          <t>TORSBY</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45108-2025</t>
        </is>
      </c>
      <c r="B1536" s="1" t="n">
        <v>45919.41467592592</v>
      </c>
      <c r="C1536" s="1" t="n">
        <v>45976</v>
      </c>
      <c r="D1536" t="inlineStr">
        <is>
          <t>VÄRMLANDS LÄN</t>
        </is>
      </c>
      <c r="E1536" t="inlineStr">
        <is>
          <t>TORSBY</t>
        </is>
      </c>
      <c r="F1536" t="inlineStr">
        <is>
          <t>Bergvik skog väst AB</t>
        </is>
      </c>
      <c r="G1536" t="n">
        <v>24.4</v>
      </c>
      <c r="H1536" t="n">
        <v>0</v>
      </c>
      <c r="I1536" t="n">
        <v>0</v>
      </c>
      <c r="J1536" t="n">
        <v>0</v>
      </c>
      <c r="K1536" t="n">
        <v>0</v>
      </c>
      <c r="L1536" t="n">
        <v>0</v>
      </c>
      <c r="M1536" t="n">
        <v>0</v>
      </c>
      <c r="N1536" t="n">
        <v>0</v>
      </c>
      <c r="O1536" t="n">
        <v>0</v>
      </c>
      <c r="P1536" t="n">
        <v>0</v>
      </c>
      <c r="Q1536" t="n">
        <v>0</v>
      </c>
      <c r="R1536" s="2" t="inlineStr"/>
    </row>
    <row r="1537" ht="15" customHeight="1">
      <c r="A1537" t="inlineStr">
        <is>
          <t>A 45133-2025</t>
        </is>
      </c>
      <c r="B1537" s="1" t="n">
        <v>45919.4447337963</v>
      </c>
      <c r="C1537" s="1" t="n">
        <v>45976</v>
      </c>
      <c r="D1537" t="inlineStr">
        <is>
          <t>VÄRMLANDS LÄN</t>
        </is>
      </c>
      <c r="E1537" t="inlineStr">
        <is>
          <t>TORSBY</t>
        </is>
      </c>
      <c r="F1537" t="inlineStr">
        <is>
          <t>Bergvik skog väst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34906-2024</t>
        </is>
      </c>
      <c r="B1538" s="1" t="n">
        <v>45527</v>
      </c>
      <c r="C1538" s="1" t="n">
        <v>45976</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44794-2025</t>
        </is>
      </c>
      <c r="B1539" s="1" t="n">
        <v>45918.34465277778</v>
      </c>
      <c r="C1539" s="1" t="n">
        <v>45976</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44817-2025</t>
        </is>
      </c>
      <c r="B1540" s="1" t="n">
        <v>45918</v>
      </c>
      <c r="C1540" s="1" t="n">
        <v>45976</v>
      </c>
      <c r="D1540" t="inlineStr">
        <is>
          <t>VÄRMLANDS LÄN</t>
        </is>
      </c>
      <c r="E1540" t="inlineStr">
        <is>
          <t>TORSBY</t>
        </is>
      </c>
      <c r="F1540" t="inlineStr">
        <is>
          <t>Bergvik skog väst AB</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20721-2023</t>
        </is>
      </c>
      <c r="B1541" s="1" t="n">
        <v>45058</v>
      </c>
      <c r="C1541" s="1" t="n">
        <v>45976</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53605-2025</t>
        </is>
      </c>
      <c r="B1542" s="1" t="n">
        <v>45960.46434027778</v>
      </c>
      <c r="C1542" s="1" t="n">
        <v>45976</v>
      </c>
      <c r="D1542" t="inlineStr">
        <is>
          <t>VÄRMLANDS LÄN</t>
        </is>
      </c>
      <c r="E1542" t="inlineStr">
        <is>
          <t>TORSBY</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16369-2024</t>
        </is>
      </c>
      <c r="B1543" s="1" t="n">
        <v>45407</v>
      </c>
      <c r="C1543" s="1" t="n">
        <v>45976</v>
      </c>
      <c r="D1543" t="inlineStr">
        <is>
          <t>VÄRMLANDS LÄN</t>
        </is>
      </c>
      <c r="E1543" t="inlineStr">
        <is>
          <t>TORSBY</t>
        </is>
      </c>
      <c r="F1543" t="inlineStr">
        <is>
          <t>Kommuner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22954-2025</t>
        </is>
      </c>
      <c r="B1544" s="1" t="n">
        <v>45790.5184375</v>
      </c>
      <c r="C1544" s="1" t="n">
        <v>45976</v>
      </c>
      <c r="D1544" t="inlineStr">
        <is>
          <t>VÄRMLANDS LÄN</t>
        </is>
      </c>
      <c r="E1544" t="inlineStr">
        <is>
          <t>TORSBY</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44292-2025</t>
        </is>
      </c>
      <c r="B1545" s="1" t="n">
        <v>45915</v>
      </c>
      <c r="C1545" s="1" t="n">
        <v>45976</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53763-2025</t>
        </is>
      </c>
      <c r="B1546" s="1" t="n">
        <v>45960.67592592593</v>
      </c>
      <c r="C1546" s="1" t="n">
        <v>45976</v>
      </c>
      <c r="D1546" t="inlineStr">
        <is>
          <t>VÄRMLANDS LÄN</t>
        </is>
      </c>
      <c r="E1546" t="inlineStr">
        <is>
          <t>TORSBY</t>
        </is>
      </c>
      <c r="F1546" t="inlineStr">
        <is>
          <t>Bergvik skog väst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42403-2023</t>
        </is>
      </c>
      <c r="B1547" s="1" t="n">
        <v>45180.59174768518</v>
      </c>
      <c r="C1547" s="1" t="n">
        <v>45976</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42615-2021</t>
        </is>
      </c>
      <c r="B1548" s="1" t="n">
        <v>44428</v>
      </c>
      <c r="C1548" s="1" t="n">
        <v>45976</v>
      </c>
      <c r="D1548" t="inlineStr">
        <is>
          <t>VÄRMLANDS LÄN</t>
        </is>
      </c>
      <c r="E1548" t="inlineStr">
        <is>
          <t>TORSBY</t>
        </is>
      </c>
      <c r="F1548" t="inlineStr">
        <is>
          <t>Bergvik skog väst AB</t>
        </is>
      </c>
      <c r="G1548" t="n">
        <v>37.2</v>
      </c>
      <c r="H1548" t="n">
        <v>0</v>
      </c>
      <c r="I1548" t="n">
        <v>0</v>
      </c>
      <c r="J1548" t="n">
        <v>0</v>
      </c>
      <c r="K1548" t="n">
        <v>0</v>
      </c>
      <c r="L1548" t="n">
        <v>0</v>
      </c>
      <c r="M1548" t="n">
        <v>0</v>
      </c>
      <c r="N1548" t="n">
        <v>0</v>
      </c>
      <c r="O1548" t="n">
        <v>0</v>
      </c>
      <c r="P1548" t="n">
        <v>0</v>
      </c>
      <c r="Q1548" t="n">
        <v>0</v>
      </c>
      <c r="R1548" s="2" t="inlineStr"/>
    </row>
    <row r="1549" ht="15" customHeight="1">
      <c r="A1549" t="inlineStr">
        <is>
          <t>A 44901-2025</t>
        </is>
      </c>
      <c r="B1549" s="1" t="n">
        <v>45918</v>
      </c>
      <c r="C1549" s="1" t="n">
        <v>45976</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34568-2024</t>
        </is>
      </c>
      <c r="B1550" s="1" t="n">
        <v>45526</v>
      </c>
      <c r="C1550" s="1" t="n">
        <v>45976</v>
      </c>
      <c r="D1550" t="inlineStr">
        <is>
          <t>VÄRMLANDS LÄN</t>
        </is>
      </c>
      <c r="E1550" t="inlineStr">
        <is>
          <t>TORSBY</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53848-2025</t>
        </is>
      </c>
      <c r="B1551" s="1" t="n">
        <v>45961.36832175926</v>
      </c>
      <c r="C1551" s="1" t="n">
        <v>45976</v>
      </c>
      <c r="D1551" t="inlineStr">
        <is>
          <t>VÄRMLANDS LÄN</t>
        </is>
      </c>
      <c r="E1551" t="inlineStr">
        <is>
          <t>TORSBY</t>
        </is>
      </c>
      <c r="G1551" t="n">
        <v>19.1</v>
      </c>
      <c r="H1551" t="n">
        <v>0</v>
      </c>
      <c r="I1551" t="n">
        <v>0</v>
      </c>
      <c r="J1551" t="n">
        <v>0</v>
      </c>
      <c r="K1551" t="n">
        <v>0</v>
      </c>
      <c r="L1551" t="n">
        <v>0</v>
      </c>
      <c r="M1551" t="n">
        <v>0</v>
      </c>
      <c r="N1551" t="n">
        <v>0</v>
      </c>
      <c r="O1551" t="n">
        <v>0</v>
      </c>
      <c r="P1551" t="n">
        <v>0</v>
      </c>
      <c r="Q1551" t="n">
        <v>0</v>
      </c>
      <c r="R1551" s="2" t="inlineStr"/>
    </row>
    <row r="1552" ht="15" customHeight="1">
      <c r="A1552" t="inlineStr">
        <is>
          <t>A 18337-2024</t>
        </is>
      </c>
      <c r="B1552" s="1" t="n">
        <v>45422</v>
      </c>
      <c r="C1552" s="1" t="n">
        <v>45976</v>
      </c>
      <c r="D1552" t="inlineStr">
        <is>
          <t>VÄRMLANDS LÄN</t>
        </is>
      </c>
      <c r="E1552" t="inlineStr">
        <is>
          <t>TORSBY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43111-2022</t>
        </is>
      </c>
      <c r="B1553" s="1" t="n">
        <v>44833</v>
      </c>
      <c r="C1553" s="1" t="n">
        <v>45976</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54790-2024</t>
        </is>
      </c>
      <c r="B1554" s="1" t="n">
        <v>45618</v>
      </c>
      <c r="C1554" s="1" t="n">
        <v>45976</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14575-2025</t>
        </is>
      </c>
      <c r="B1555" s="1" t="n">
        <v>45742.29048611111</v>
      </c>
      <c r="C1555" s="1" t="n">
        <v>45976</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4070-2024</t>
        </is>
      </c>
      <c r="B1556" s="1" t="n">
        <v>45323</v>
      </c>
      <c r="C1556" s="1" t="n">
        <v>45976</v>
      </c>
      <c r="D1556" t="inlineStr">
        <is>
          <t>VÄRMLANDS LÄN</t>
        </is>
      </c>
      <c r="E1556" t="inlineStr">
        <is>
          <t>TORSBY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30370-2023</t>
        </is>
      </c>
      <c r="B1557" s="1" t="n">
        <v>45111</v>
      </c>
      <c r="C1557" s="1" t="n">
        <v>45976</v>
      </c>
      <c r="D1557" t="inlineStr">
        <is>
          <t>VÄRMLANDS LÄN</t>
        </is>
      </c>
      <c r="E1557" t="inlineStr">
        <is>
          <t>TORSBY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392-2025</t>
        </is>
      </c>
      <c r="B1558" s="1" t="n">
        <v>45663.35111111111</v>
      </c>
      <c r="C1558" s="1" t="n">
        <v>45976</v>
      </c>
      <c r="D1558" t="inlineStr">
        <is>
          <t>VÄRMLANDS LÄN</t>
        </is>
      </c>
      <c r="E1558" t="inlineStr">
        <is>
          <t>TORSBY</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19964-2025</t>
        </is>
      </c>
      <c r="B1559" s="1" t="n">
        <v>45771.67315972222</v>
      </c>
      <c r="C1559" s="1" t="n">
        <v>45976</v>
      </c>
      <c r="D1559" t="inlineStr">
        <is>
          <t>VÄRMLANDS LÄN</t>
        </is>
      </c>
      <c r="E1559" t="inlineStr">
        <is>
          <t>TORSBY</t>
        </is>
      </c>
      <c r="F1559" t="inlineStr">
        <is>
          <t>Bergvik skog väst AB</t>
        </is>
      </c>
      <c r="G1559" t="n">
        <v>23.8</v>
      </c>
      <c r="H1559" t="n">
        <v>0</v>
      </c>
      <c r="I1559" t="n">
        <v>0</v>
      </c>
      <c r="J1559" t="n">
        <v>0</v>
      </c>
      <c r="K1559" t="n">
        <v>0</v>
      </c>
      <c r="L1559" t="n">
        <v>0</v>
      </c>
      <c r="M1559" t="n">
        <v>0</v>
      </c>
      <c r="N1559" t="n">
        <v>0</v>
      </c>
      <c r="O1559" t="n">
        <v>0</v>
      </c>
      <c r="P1559" t="n">
        <v>0</v>
      </c>
      <c r="Q1559" t="n">
        <v>0</v>
      </c>
      <c r="R1559" s="2" t="inlineStr"/>
    </row>
    <row r="1560" ht="15" customHeight="1">
      <c r="A1560" t="inlineStr">
        <is>
          <t>A 27273-2024</t>
        </is>
      </c>
      <c r="B1560" s="1" t="n">
        <v>45471.84013888889</v>
      </c>
      <c r="C1560" s="1" t="n">
        <v>45976</v>
      </c>
      <c r="D1560" t="inlineStr">
        <is>
          <t>VÄRMLANDS LÄN</t>
        </is>
      </c>
      <c r="E1560" t="inlineStr">
        <is>
          <t>TORSBY</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27275-2024</t>
        </is>
      </c>
      <c r="B1561" s="1" t="n">
        <v>45471.85645833334</v>
      </c>
      <c r="C1561" s="1" t="n">
        <v>45976</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1947-2023</t>
        </is>
      </c>
      <c r="B1562" s="1" t="n">
        <v>44939</v>
      </c>
      <c r="C1562" s="1" t="n">
        <v>45976</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53596-2025</t>
        </is>
      </c>
      <c r="B1563" s="1" t="n">
        <v>45960.44909722222</v>
      </c>
      <c r="C1563" s="1" t="n">
        <v>45976</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44976-2025</t>
        </is>
      </c>
      <c r="B1564" s="1" t="n">
        <v>45918</v>
      </c>
      <c r="C1564" s="1" t="n">
        <v>45976</v>
      </c>
      <c r="D1564" t="inlineStr">
        <is>
          <t>VÄRMLANDS LÄN</t>
        </is>
      </c>
      <c r="E1564" t="inlineStr">
        <is>
          <t>TORSBY</t>
        </is>
      </c>
      <c r="F1564" t="inlineStr">
        <is>
          <t>Bergvik skog väst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60537-2024</t>
        </is>
      </c>
      <c r="B1565" s="1" t="n">
        <v>45643.77138888889</v>
      </c>
      <c r="C1565" s="1" t="n">
        <v>45976</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2471-2023</t>
        </is>
      </c>
      <c r="B1566" s="1" t="n">
        <v>44943.48373842592</v>
      </c>
      <c r="C1566" s="1" t="n">
        <v>45976</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23280-2025</t>
        </is>
      </c>
      <c r="B1567" s="1" t="n">
        <v>45791.57217592592</v>
      </c>
      <c r="C1567" s="1" t="n">
        <v>45976</v>
      </c>
      <c r="D1567" t="inlineStr">
        <is>
          <t>VÄRMLANDS LÄN</t>
        </is>
      </c>
      <c r="E1567" t="inlineStr">
        <is>
          <t>TORSBY</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31945-2024</t>
        </is>
      </c>
      <c r="B1568" s="1" t="n">
        <v>45510</v>
      </c>
      <c r="C1568" s="1" t="n">
        <v>45976</v>
      </c>
      <c r="D1568" t="inlineStr">
        <is>
          <t>VÄRMLANDS LÄN</t>
        </is>
      </c>
      <c r="E1568" t="inlineStr">
        <is>
          <t>TORSBY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53601-2025</t>
        </is>
      </c>
      <c r="B1569" s="1" t="n">
        <v>45960.45984953704</v>
      </c>
      <c r="C1569" s="1" t="n">
        <v>45976</v>
      </c>
      <c r="D1569" t="inlineStr">
        <is>
          <t>VÄRMLANDS LÄN</t>
        </is>
      </c>
      <c r="E1569" t="inlineStr">
        <is>
          <t>TORSBY</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44342-2024</t>
        </is>
      </c>
      <c r="B1570" s="1" t="n">
        <v>45573.61793981482</v>
      </c>
      <c r="C1570" s="1" t="n">
        <v>45976</v>
      </c>
      <c r="D1570" t="inlineStr">
        <is>
          <t>VÄRMLANDS LÄN</t>
        </is>
      </c>
      <c r="E1570" t="inlineStr">
        <is>
          <t>TORSBY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3397-2022</t>
        </is>
      </c>
      <c r="B1571" s="1" t="n">
        <v>44585</v>
      </c>
      <c r="C1571" s="1" t="n">
        <v>45976</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4522-2021</t>
        </is>
      </c>
      <c r="B1572" s="1" t="n">
        <v>44224</v>
      </c>
      <c r="C1572" s="1" t="n">
        <v>45976</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52809-2024</t>
        </is>
      </c>
      <c r="B1573" s="1" t="n">
        <v>45610</v>
      </c>
      <c r="C1573" s="1" t="n">
        <v>45976</v>
      </c>
      <c r="D1573" t="inlineStr">
        <is>
          <t>VÄRMLANDS LÄN</t>
        </is>
      </c>
      <c r="E1573" t="inlineStr">
        <is>
          <t>TORSBY</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23557-2025</t>
        </is>
      </c>
      <c r="B1574" s="1" t="n">
        <v>45792.58086805556</v>
      </c>
      <c r="C1574" s="1" t="n">
        <v>45976</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45380-2025</t>
        </is>
      </c>
      <c r="B1575" s="1" t="n">
        <v>45922</v>
      </c>
      <c r="C1575" s="1" t="n">
        <v>45976</v>
      </c>
      <c r="D1575" t="inlineStr">
        <is>
          <t>VÄRMLANDS LÄN</t>
        </is>
      </c>
      <c r="E1575" t="inlineStr">
        <is>
          <t>TORSBY</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42656-2023</t>
        </is>
      </c>
      <c r="B1576" s="1" t="n">
        <v>45181.53928240741</v>
      </c>
      <c r="C1576" s="1" t="n">
        <v>45976</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62957-2023</t>
        </is>
      </c>
      <c r="B1577" s="1" t="n">
        <v>45271</v>
      </c>
      <c r="C1577" s="1" t="n">
        <v>45976</v>
      </c>
      <c r="D1577" t="inlineStr">
        <is>
          <t>VÄRMLANDS LÄN</t>
        </is>
      </c>
      <c r="E1577" t="inlineStr">
        <is>
          <t>TORSBY</t>
        </is>
      </c>
      <c r="F1577" t="inlineStr">
        <is>
          <t>Övriga statliga verk och myndigheter</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53493-2025</t>
        </is>
      </c>
      <c r="B1578" s="1" t="n">
        <v>45960.32559027777</v>
      </c>
      <c r="C1578" s="1" t="n">
        <v>45976</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23677-2025</t>
        </is>
      </c>
      <c r="B1579" s="1" t="n">
        <v>45793.31969907408</v>
      </c>
      <c r="C1579" s="1" t="n">
        <v>45976</v>
      </c>
      <c r="D1579" t="inlineStr">
        <is>
          <t>VÄRMLANDS LÄN</t>
        </is>
      </c>
      <c r="E1579" t="inlineStr">
        <is>
          <t>TORSBY</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23741-2025</t>
        </is>
      </c>
      <c r="B1580" s="1" t="n">
        <v>45793</v>
      </c>
      <c r="C1580" s="1" t="n">
        <v>45976</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4078-2024</t>
        </is>
      </c>
      <c r="B1581" s="1" t="n">
        <v>45323</v>
      </c>
      <c r="C1581" s="1" t="n">
        <v>45976</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54144-2025</t>
        </is>
      </c>
      <c r="B1582" s="1" t="n">
        <v>45964.48305555555</v>
      </c>
      <c r="C1582" s="1" t="n">
        <v>45976</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54079-2025</t>
        </is>
      </c>
      <c r="B1583" s="1" t="n">
        <v>45964.36883101852</v>
      </c>
      <c r="C1583" s="1" t="n">
        <v>45976</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54091-2025</t>
        </is>
      </c>
      <c r="B1584" s="1" t="n">
        <v>45964.39363425926</v>
      </c>
      <c r="C1584" s="1" t="n">
        <v>45976</v>
      </c>
      <c r="D1584" t="inlineStr">
        <is>
          <t>VÄRMLANDS LÄN</t>
        </is>
      </c>
      <c r="E1584" t="inlineStr">
        <is>
          <t>TORSBY</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54101-2025</t>
        </is>
      </c>
      <c r="B1585" s="1" t="n">
        <v>45964.42424768519</v>
      </c>
      <c r="C1585" s="1" t="n">
        <v>45976</v>
      </c>
      <c r="D1585" t="inlineStr">
        <is>
          <t>VÄRMLANDS LÄN</t>
        </is>
      </c>
      <c r="E1585" t="inlineStr">
        <is>
          <t>TORSBY</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10979-2025</t>
        </is>
      </c>
      <c r="B1586" s="1" t="n">
        <v>45723.39988425926</v>
      </c>
      <c r="C1586" s="1" t="n">
        <v>45976</v>
      </c>
      <c r="D1586" t="inlineStr">
        <is>
          <t>VÄRMLANDS LÄN</t>
        </is>
      </c>
      <c r="E1586" t="inlineStr">
        <is>
          <t>TORSBY</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33069-2022</t>
        </is>
      </c>
      <c r="B1587" s="1" t="n">
        <v>44785</v>
      </c>
      <c r="C1587" s="1" t="n">
        <v>45976</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23455-2025</t>
        </is>
      </c>
      <c r="B1588" s="1" t="n">
        <v>45792.42520833333</v>
      </c>
      <c r="C1588" s="1" t="n">
        <v>45976</v>
      </c>
      <c r="D1588" t="inlineStr">
        <is>
          <t>VÄRMLANDS LÄN</t>
        </is>
      </c>
      <c r="E1588" t="inlineStr">
        <is>
          <t>TORSBY</t>
        </is>
      </c>
      <c r="F1588" t="inlineStr">
        <is>
          <t>Kyrkan</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27292-2024</t>
        </is>
      </c>
      <c r="B1589" s="1" t="n">
        <v>45471.93378472222</v>
      </c>
      <c r="C1589" s="1" t="n">
        <v>45976</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60533-2020</t>
        </is>
      </c>
      <c r="B1590" s="1" t="n">
        <v>44153</v>
      </c>
      <c r="C1590" s="1" t="n">
        <v>45976</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53570-2024</t>
        </is>
      </c>
      <c r="B1591" s="1" t="n">
        <v>45614.65956018519</v>
      </c>
      <c r="C1591" s="1" t="n">
        <v>45976</v>
      </c>
      <c r="D1591" t="inlineStr">
        <is>
          <t>VÄRMLANDS LÄN</t>
        </is>
      </c>
      <c r="E1591" t="inlineStr">
        <is>
          <t>TORSBY</t>
        </is>
      </c>
      <c r="G1591" t="n">
        <v>15.5</v>
      </c>
      <c r="H1591" t="n">
        <v>0</v>
      </c>
      <c r="I1591" t="n">
        <v>0</v>
      </c>
      <c r="J1591" t="n">
        <v>0</v>
      </c>
      <c r="K1591" t="n">
        <v>0</v>
      </c>
      <c r="L1591" t="n">
        <v>0</v>
      </c>
      <c r="M1591" t="n">
        <v>0</v>
      </c>
      <c r="N1591" t="n">
        <v>0</v>
      </c>
      <c r="O1591" t="n">
        <v>0</v>
      </c>
      <c r="P1591" t="n">
        <v>0</v>
      </c>
      <c r="Q1591" t="n">
        <v>0</v>
      </c>
      <c r="R1591" s="2" t="inlineStr"/>
    </row>
    <row r="1592" ht="15" customHeight="1">
      <c r="A1592" t="inlineStr">
        <is>
          <t>A 42473-2023</t>
        </is>
      </c>
      <c r="B1592" s="1" t="n">
        <v>45180</v>
      </c>
      <c r="C1592" s="1" t="n">
        <v>45976</v>
      </c>
      <c r="D1592" t="inlineStr">
        <is>
          <t>VÄRMLANDS LÄN</t>
        </is>
      </c>
      <c r="E1592" t="inlineStr">
        <is>
          <t>TORSBY</t>
        </is>
      </c>
      <c r="F1592" t="inlineStr">
        <is>
          <t>Bergvik skog väst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53044-2024</t>
        </is>
      </c>
      <c r="B1593" s="1" t="n">
        <v>45611.44701388889</v>
      </c>
      <c r="C1593" s="1" t="n">
        <v>45976</v>
      </c>
      <c r="D1593" t="inlineStr">
        <is>
          <t>VÄRMLANDS LÄN</t>
        </is>
      </c>
      <c r="E1593" t="inlineStr">
        <is>
          <t>TORSBY</t>
        </is>
      </c>
      <c r="F1593" t="inlineStr">
        <is>
          <t>Kyrkan</t>
        </is>
      </c>
      <c r="G1593" t="n">
        <v>25.8</v>
      </c>
      <c r="H1593" t="n">
        <v>0</v>
      </c>
      <c r="I1593" t="n">
        <v>0</v>
      </c>
      <c r="J1593" t="n">
        <v>0</v>
      </c>
      <c r="K1593" t="n">
        <v>0</v>
      </c>
      <c r="L1593" t="n">
        <v>0</v>
      </c>
      <c r="M1593" t="n">
        <v>0</v>
      </c>
      <c r="N1593" t="n">
        <v>0</v>
      </c>
      <c r="O1593" t="n">
        <v>0</v>
      </c>
      <c r="P1593" t="n">
        <v>0</v>
      </c>
      <c r="Q1593" t="n">
        <v>0</v>
      </c>
      <c r="R1593" s="2" t="inlineStr"/>
    </row>
    <row r="1594" ht="15" customHeight="1">
      <c r="A1594" t="inlineStr">
        <is>
          <t>A 17039-2025</t>
        </is>
      </c>
      <c r="B1594" s="1" t="n">
        <v>45754</v>
      </c>
      <c r="C1594" s="1" t="n">
        <v>45976</v>
      </c>
      <c r="D1594" t="inlineStr">
        <is>
          <t>VÄRMLANDS LÄN</t>
        </is>
      </c>
      <c r="E1594" t="inlineStr">
        <is>
          <t>TORSBY</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17062-2025</t>
        </is>
      </c>
      <c r="B1595" s="1" t="n">
        <v>45754</v>
      </c>
      <c r="C1595" s="1" t="n">
        <v>45976</v>
      </c>
      <c r="D1595" t="inlineStr">
        <is>
          <t>VÄRMLANDS LÄN</t>
        </is>
      </c>
      <c r="E1595" t="inlineStr">
        <is>
          <t>TORSBY</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45425-2025</t>
        </is>
      </c>
      <c r="B1596" s="1" t="n">
        <v>45922.45195601852</v>
      </c>
      <c r="C1596" s="1" t="n">
        <v>45976</v>
      </c>
      <c r="D1596" t="inlineStr">
        <is>
          <t>VÄRMLANDS LÄN</t>
        </is>
      </c>
      <c r="E1596" t="inlineStr">
        <is>
          <t>TORSBY</t>
        </is>
      </c>
      <c r="F1596" t="inlineStr">
        <is>
          <t>Bergvik skog väst AB</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11427-2025</t>
        </is>
      </c>
      <c r="B1597" s="1" t="n">
        <v>45726</v>
      </c>
      <c r="C1597" s="1" t="n">
        <v>45976</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45357-2025</t>
        </is>
      </c>
      <c r="B1598" s="1" t="n">
        <v>45922.36716435185</v>
      </c>
      <c r="C1598" s="1" t="n">
        <v>45976</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24069-2025</t>
        </is>
      </c>
      <c r="B1599" s="1" t="n">
        <v>45796.53997685185</v>
      </c>
      <c r="C1599" s="1" t="n">
        <v>45976</v>
      </c>
      <c r="D1599" t="inlineStr">
        <is>
          <t>VÄRMLANDS LÄN</t>
        </is>
      </c>
      <c r="E1599" t="inlineStr">
        <is>
          <t>TORSBY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54505-2025</t>
        </is>
      </c>
      <c r="B1600" s="1" t="n">
        <v>45965.6169212963</v>
      </c>
      <c r="C1600" s="1" t="n">
        <v>45976</v>
      </c>
      <c r="D1600" t="inlineStr">
        <is>
          <t>VÄRMLANDS LÄN</t>
        </is>
      </c>
      <c r="E1600" t="inlineStr">
        <is>
          <t>TORSBY</t>
        </is>
      </c>
      <c r="F1600" t="inlineStr">
        <is>
          <t>Bergvik skog väst AB</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11575-2024</t>
        </is>
      </c>
      <c r="B1601" s="1" t="n">
        <v>45373</v>
      </c>
      <c r="C1601" s="1" t="n">
        <v>45976</v>
      </c>
      <c r="D1601" t="inlineStr">
        <is>
          <t>VÄRMLANDS LÄN</t>
        </is>
      </c>
      <c r="E1601" t="inlineStr">
        <is>
          <t>TORSBY</t>
        </is>
      </c>
      <c r="G1601" t="n">
        <v>14.2</v>
      </c>
      <c r="H1601" t="n">
        <v>0</v>
      </c>
      <c r="I1601" t="n">
        <v>0</v>
      </c>
      <c r="J1601" t="n">
        <v>0</v>
      </c>
      <c r="K1601" t="n">
        <v>0</v>
      </c>
      <c r="L1601" t="n">
        <v>0</v>
      </c>
      <c r="M1601" t="n">
        <v>0</v>
      </c>
      <c r="N1601" t="n">
        <v>0</v>
      </c>
      <c r="O1601" t="n">
        <v>0</v>
      </c>
      <c r="P1601" t="n">
        <v>0</v>
      </c>
      <c r="Q1601" t="n">
        <v>0</v>
      </c>
      <c r="R1601" s="2" t="inlineStr"/>
    </row>
    <row r="1602" ht="15" customHeight="1">
      <c r="A1602" t="inlineStr">
        <is>
          <t>A 52843-2025</t>
        </is>
      </c>
      <c r="B1602" s="1" t="n">
        <v>45957</v>
      </c>
      <c r="C1602" s="1" t="n">
        <v>45976</v>
      </c>
      <c r="D1602" t="inlineStr">
        <is>
          <t>VÄRMLANDS LÄN</t>
        </is>
      </c>
      <c r="E1602" t="inlineStr">
        <is>
          <t>TORSBY</t>
        </is>
      </c>
      <c r="F1602" t="inlineStr">
        <is>
          <t>Bergvik skog väst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45360-2025</t>
        </is>
      </c>
      <c r="B1603" s="1" t="n">
        <v>45922.37266203704</v>
      </c>
      <c r="C1603" s="1" t="n">
        <v>45976</v>
      </c>
      <c r="D1603" t="inlineStr">
        <is>
          <t>VÄRMLANDS LÄN</t>
        </is>
      </c>
      <c r="E1603" t="inlineStr">
        <is>
          <t>TORSBY</t>
        </is>
      </c>
      <c r="F1603" t="inlineStr">
        <is>
          <t>Kommuner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14413-2025</t>
        </is>
      </c>
      <c r="B1604" s="1" t="n">
        <v>45741</v>
      </c>
      <c r="C1604" s="1" t="n">
        <v>45976</v>
      </c>
      <c r="D1604" t="inlineStr">
        <is>
          <t>VÄRMLANDS LÄN</t>
        </is>
      </c>
      <c r="E1604" t="inlineStr">
        <is>
          <t>TORSBY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52564-2025</t>
        </is>
      </c>
      <c r="B1605" s="1" t="n">
        <v>45954</v>
      </c>
      <c r="C1605" s="1" t="n">
        <v>45976</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39642-2021</t>
        </is>
      </c>
      <c r="B1606" s="1" t="n">
        <v>44417</v>
      </c>
      <c r="C1606" s="1" t="n">
        <v>45976</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14945-2023</t>
        </is>
      </c>
      <c r="B1607" s="1" t="n">
        <v>45014</v>
      </c>
      <c r="C1607" s="1" t="n">
        <v>45976</v>
      </c>
      <c r="D1607" t="inlineStr">
        <is>
          <t>VÄRMLANDS LÄN</t>
        </is>
      </c>
      <c r="E1607" t="inlineStr">
        <is>
          <t>TORSBY</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45615-2025</t>
        </is>
      </c>
      <c r="B1608" s="1" t="n">
        <v>45921</v>
      </c>
      <c r="C1608" s="1" t="n">
        <v>45976</v>
      </c>
      <c r="D1608" t="inlineStr">
        <is>
          <t>VÄRMLANDS LÄN</t>
        </is>
      </c>
      <c r="E1608" t="inlineStr">
        <is>
          <t>TORSBY</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55100-2023</t>
        </is>
      </c>
      <c r="B1609" s="1" t="n">
        <v>45237.45715277778</v>
      </c>
      <c r="C1609" s="1" t="n">
        <v>45976</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37985-2022</t>
        </is>
      </c>
      <c r="B1610" s="1" t="n">
        <v>44811</v>
      </c>
      <c r="C1610" s="1" t="n">
        <v>45976</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14624-2023</t>
        </is>
      </c>
      <c r="B1611" s="1" t="n">
        <v>45013</v>
      </c>
      <c r="C1611" s="1" t="n">
        <v>45976</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24204-2025</t>
        </is>
      </c>
      <c r="B1612" s="1" t="n">
        <v>45797.31824074074</v>
      </c>
      <c r="C1612" s="1" t="n">
        <v>45976</v>
      </c>
      <c r="D1612" t="inlineStr">
        <is>
          <t>VÄRMLANDS LÄN</t>
        </is>
      </c>
      <c r="E1612" t="inlineStr">
        <is>
          <t>TORSBY</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54071-2025</t>
        </is>
      </c>
      <c r="B1613" s="1" t="n">
        <v>45962</v>
      </c>
      <c r="C1613" s="1" t="n">
        <v>45976</v>
      </c>
      <c r="D1613" t="inlineStr">
        <is>
          <t>VÄRMLANDS LÄN</t>
        </is>
      </c>
      <c r="E1613" t="inlineStr">
        <is>
          <t>TORSBY</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24112-2025</t>
        </is>
      </c>
      <c r="B1614" s="1" t="n">
        <v>45796</v>
      </c>
      <c r="C1614" s="1" t="n">
        <v>45976</v>
      </c>
      <c r="D1614" t="inlineStr">
        <is>
          <t>VÄRMLANDS LÄN</t>
        </is>
      </c>
      <c r="E1614" t="inlineStr">
        <is>
          <t>TORSBY</t>
        </is>
      </c>
      <c r="F1614" t="inlineStr">
        <is>
          <t>Bergvik skog väst AB</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59423-2024</t>
        </is>
      </c>
      <c r="B1615" s="1" t="n">
        <v>45638</v>
      </c>
      <c r="C1615" s="1" t="n">
        <v>45976</v>
      </c>
      <c r="D1615" t="inlineStr">
        <is>
          <t>VÄRMLANDS LÄN</t>
        </is>
      </c>
      <c r="E1615" t="inlineStr">
        <is>
          <t>TORSBY</t>
        </is>
      </c>
      <c r="G1615" t="n">
        <v>23.7</v>
      </c>
      <c r="H1615" t="n">
        <v>0</v>
      </c>
      <c r="I1615" t="n">
        <v>0</v>
      </c>
      <c r="J1615" t="n">
        <v>0</v>
      </c>
      <c r="K1615" t="n">
        <v>0</v>
      </c>
      <c r="L1615" t="n">
        <v>0</v>
      </c>
      <c r="M1615" t="n">
        <v>0</v>
      </c>
      <c r="N1615" t="n">
        <v>0</v>
      </c>
      <c r="O1615" t="n">
        <v>0</v>
      </c>
      <c r="P1615" t="n">
        <v>0</v>
      </c>
      <c r="Q1615" t="n">
        <v>0</v>
      </c>
      <c r="R1615" s="2" t="inlineStr"/>
    </row>
    <row r="1616" ht="15" customHeight="1">
      <c r="A1616" t="inlineStr">
        <is>
          <t>A 45489-2025</t>
        </is>
      </c>
      <c r="B1616" s="1" t="n">
        <v>45921</v>
      </c>
      <c r="C1616" s="1" t="n">
        <v>45976</v>
      </c>
      <c r="D1616" t="inlineStr">
        <is>
          <t>VÄRMLANDS LÄN</t>
        </is>
      </c>
      <c r="E1616" t="inlineStr">
        <is>
          <t>TORSBY</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24260-2025</t>
        </is>
      </c>
      <c r="B1617" s="1" t="n">
        <v>45797</v>
      </c>
      <c r="C1617" s="1" t="n">
        <v>45976</v>
      </c>
      <c r="D1617" t="inlineStr">
        <is>
          <t>VÄRMLANDS LÄN</t>
        </is>
      </c>
      <c r="E1617" t="inlineStr">
        <is>
          <t>TORSBY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45490-2025</t>
        </is>
      </c>
      <c r="B1618" s="1" t="n">
        <v>45921</v>
      </c>
      <c r="C1618" s="1" t="n">
        <v>45976</v>
      </c>
      <c r="D1618" t="inlineStr">
        <is>
          <t>VÄRMLANDS LÄN</t>
        </is>
      </c>
      <c r="E1618" t="inlineStr">
        <is>
          <t>TORSBY</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45508-2025</t>
        </is>
      </c>
      <c r="B1619" s="1" t="n">
        <v>45922</v>
      </c>
      <c r="C1619" s="1" t="n">
        <v>45976</v>
      </c>
      <c r="D1619" t="inlineStr">
        <is>
          <t>VÄRMLANDS LÄN</t>
        </is>
      </c>
      <c r="E1619" t="inlineStr">
        <is>
          <t>TORSBY</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45679-2025</t>
        </is>
      </c>
      <c r="B1620" s="1" t="n">
        <v>45923.36864583333</v>
      </c>
      <c r="C1620" s="1" t="n">
        <v>45976</v>
      </c>
      <c r="D1620" t="inlineStr">
        <is>
          <t>VÄRMLANDS LÄN</t>
        </is>
      </c>
      <c r="E1620" t="inlineStr">
        <is>
          <t>TORSBY</t>
        </is>
      </c>
      <c r="F1620" t="inlineStr">
        <is>
          <t>Bergvik skog väst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24425-2025</t>
        </is>
      </c>
      <c r="B1621" s="1" t="n">
        <v>45797</v>
      </c>
      <c r="C1621" s="1" t="n">
        <v>45976</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45825-2025</t>
        </is>
      </c>
      <c r="B1622" s="1" t="n">
        <v>45923.59983796296</v>
      </c>
      <c r="C1622" s="1" t="n">
        <v>45976</v>
      </c>
      <c r="D1622" t="inlineStr">
        <is>
          <t>VÄRMLANDS LÄN</t>
        </is>
      </c>
      <c r="E1622" t="inlineStr">
        <is>
          <t>TORSBY</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24026-2025</t>
        </is>
      </c>
      <c r="B1623" s="1" t="n">
        <v>45796.46841435185</v>
      </c>
      <c r="C1623" s="1" t="n">
        <v>45976</v>
      </c>
      <c r="D1623" t="inlineStr">
        <is>
          <t>VÄRMLANDS LÄN</t>
        </is>
      </c>
      <c r="E1623" t="inlineStr">
        <is>
          <t>TORSBY</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24318-2025</t>
        </is>
      </c>
      <c r="B1624" s="1" t="n">
        <v>45797.54879629629</v>
      </c>
      <c r="C1624" s="1" t="n">
        <v>45976</v>
      </c>
      <c r="D1624" t="inlineStr">
        <is>
          <t>VÄRMLANDS LÄN</t>
        </is>
      </c>
      <c r="E1624" t="inlineStr">
        <is>
          <t>TORSBY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24251-2025</t>
        </is>
      </c>
      <c r="B1625" s="1" t="n">
        <v>45797</v>
      </c>
      <c r="C1625" s="1" t="n">
        <v>45976</v>
      </c>
      <c r="D1625" t="inlineStr">
        <is>
          <t>VÄRMLANDS LÄN</t>
        </is>
      </c>
      <c r="E1625" t="inlineStr">
        <is>
          <t>TORSBY</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54412-2025</t>
        </is>
      </c>
      <c r="B1626" s="1" t="n">
        <v>45965.46076388889</v>
      </c>
      <c r="C1626" s="1" t="n">
        <v>45976</v>
      </c>
      <c r="D1626" t="inlineStr">
        <is>
          <t>VÄRMLANDS LÄN</t>
        </is>
      </c>
      <c r="E1626" t="inlineStr">
        <is>
          <t>TORSBY</t>
        </is>
      </c>
      <c r="F1626" t="inlineStr">
        <is>
          <t>Bergvik skog väst AB</t>
        </is>
      </c>
      <c r="G1626" t="n">
        <v>37.8</v>
      </c>
      <c r="H1626" t="n">
        <v>0</v>
      </c>
      <c r="I1626" t="n">
        <v>0</v>
      </c>
      <c r="J1626" t="n">
        <v>0</v>
      </c>
      <c r="K1626" t="n">
        <v>0</v>
      </c>
      <c r="L1626" t="n">
        <v>0</v>
      </c>
      <c r="M1626" t="n">
        <v>0</v>
      </c>
      <c r="N1626" t="n">
        <v>0</v>
      </c>
      <c r="O1626" t="n">
        <v>0</v>
      </c>
      <c r="P1626" t="n">
        <v>0</v>
      </c>
      <c r="Q1626" t="n">
        <v>0</v>
      </c>
      <c r="R1626" s="2" t="inlineStr"/>
    </row>
    <row r="1627" ht="15" customHeight="1">
      <c r="A1627" t="inlineStr">
        <is>
          <t>A 54168-2025</t>
        </is>
      </c>
      <c r="B1627" s="1" t="n">
        <v>45964.52528935186</v>
      </c>
      <c r="C1627" s="1" t="n">
        <v>45976</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11868-2025</t>
        </is>
      </c>
      <c r="B1628" s="1" t="n">
        <v>45728.4225</v>
      </c>
      <c r="C1628" s="1" t="n">
        <v>45976</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24411-2025</t>
        </is>
      </c>
      <c r="B1629" s="1" t="n">
        <v>45797</v>
      </c>
      <c r="C1629" s="1" t="n">
        <v>45976</v>
      </c>
      <c r="D1629" t="inlineStr">
        <is>
          <t>VÄRMLANDS LÄN</t>
        </is>
      </c>
      <c r="E1629" t="inlineStr">
        <is>
          <t>TORSBY</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24726-2025</t>
        </is>
      </c>
      <c r="B1630" s="1" t="n">
        <v>45799.32805555555</v>
      </c>
      <c r="C1630" s="1" t="n">
        <v>45976</v>
      </c>
      <c r="D1630" t="inlineStr">
        <is>
          <t>VÄRMLANDS LÄN</t>
        </is>
      </c>
      <c r="E1630" t="inlineStr">
        <is>
          <t>TORSBY</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27086-2024</t>
        </is>
      </c>
      <c r="B1631" s="1" t="n">
        <v>45471</v>
      </c>
      <c r="C1631" s="1" t="n">
        <v>45976</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49453-2025</t>
        </is>
      </c>
      <c r="B1632" s="1" t="n">
        <v>45939</v>
      </c>
      <c r="C1632" s="1" t="n">
        <v>45976</v>
      </c>
      <c r="D1632" t="inlineStr">
        <is>
          <t>VÄRMLANDS LÄN</t>
        </is>
      </c>
      <c r="E1632" t="inlineStr">
        <is>
          <t>TORSBY</t>
        </is>
      </c>
      <c r="F1632" t="inlineStr">
        <is>
          <t>Bergvik skog väst AB</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15274-2024</t>
        </is>
      </c>
      <c r="B1633" s="1" t="n">
        <v>45400.58201388889</v>
      </c>
      <c r="C1633" s="1" t="n">
        <v>45976</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45967-2025</t>
        </is>
      </c>
      <c r="B1634" s="1" t="n">
        <v>45924</v>
      </c>
      <c r="C1634" s="1" t="n">
        <v>45976</v>
      </c>
      <c r="D1634" t="inlineStr">
        <is>
          <t>VÄRMLANDS LÄN</t>
        </is>
      </c>
      <c r="E1634" t="inlineStr">
        <is>
          <t>TORSBY</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24528-2025</t>
        </is>
      </c>
      <c r="B1635" s="1" t="n">
        <v>45798.42680555556</v>
      </c>
      <c r="C1635" s="1" t="n">
        <v>45976</v>
      </c>
      <c r="D1635" t="inlineStr">
        <is>
          <t>VÄRMLANDS LÄN</t>
        </is>
      </c>
      <c r="E1635" t="inlineStr">
        <is>
          <t>TORSBY</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24597-2025</t>
        </is>
      </c>
      <c r="B1636" s="1" t="n">
        <v>45798</v>
      </c>
      <c r="C1636" s="1" t="n">
        <v>45976</v>
      </c>
      <c r="D1636" t="inlineStr">
        <is>
          <t>VÄRMLANDS LÄN</t>
        </is>
      </c>
      <c r="E1636" t="inlineStr">
        <is>
          <t>TORSBY</t>
        </is>
      </c>
      <c r="F1636" t="inlineStr">
        <is>
          <t>Övriga statliga verk och myndigheter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54732-2025</t>
        </is>
      </c>
      <c r="B1637" s="1" t="n">
        <v>45966.56212962963</v>
      </c>
      <c r="C1637" s="1" t="n">
        <v>45976</v>
      </c>
      <c r="D1637" t="inlineStr">
        <is>
          <t>VÄRMLANDS LÄN</t>
        </is>
      </c>
      <c r="E1637" t="inlineStr">
        <is>
          <t>TORSBY</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54734-2025</t>
        </is>
      </c>
      <c r="B1638" s="1" t="n">
        <v>45966.56431712963</v>
      </c>
      <c r="C1638" s="1" t="n">
        <v>45976</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24599-2025</t>
        </is>
      </c>
      <c r="B1639" s="1" t="n">
        <v>45798.56230324074</v>
      </c>
      <c r="C1639" s="1" t="n">
        <v>45976</v>
      </c>
      <c r="D1639" t="inlineStr">
        <is>
          <t>VÄRMLANDS LÄN</t>
        </is>
      </c>
      <c r="E1639" t="inlineStr">
        <is>
          <t>TORSBY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24607-2025</t>
        </is>
      </c>
      <c r="B1640" s="1" t="n">
        <v>45798.57608796296</v>
      </c>
      <c r="C1640" s="1" t="n">
        <v>45976</v>
      </c>
      <c r="D1640" t="inlineStr">
        <is>
          <t>VÄRMLANDS LÄN</t>
        </is>
      </c>
      <c r="E1640" t="inlineStr">
        <is>
          <t>TORSBY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54762-2025</t>
        </is>
      </c>
      <c r="B1641" s="1" t="n">
        <v>45966.60082175926</v>
      </c>
      <c r="C1641" s="1" t="n">
        <v>45976</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46503-2025</t>
        </is>
      </c>
      <c r="B1642" s="1" t="n">
        <v>45925</v>
      </c>
      <c r="C1642" s="1" t="n">
        <v>45976</v>
      </c>
      <c r="D1642" t="inlineStr">
        <is>
          <t>VÄRMLANDS LÄN</t>
        </is>
      </c>
      <c r="E1642" t="inlineStr">
        <is>
          <t>TORSBY</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46293-2025</t>
        </is>
      </c>
      <c r="B1643" s="1" t="n">
        <v>45925.39297453704</v>
      </c>
      <c r="C1643" s="1" t="n">
        <v>45976</v>
      </c>
      <c r="D1643" t="inlineStr">
        <is>
          <t>VÄRMLANDS LÄN</t>
        </is>
      </c>
      <c r="E1643" t="inlineStr">
        <is>
          <t>TORSBY</t>
        </is>
      </c>
      <c r="G1643" t="n">
        <v>24.3</v>
      </c>
      <c r="H1643" t="n">
        <v>0</v>
      </c>
      <c r="I1643" t="n">
        <v>0</v>
      </c>
      <c r="J1643" t="n">
        <v>0</v>
      </c>
      <c r="K1643" t="n">
        <v>0</v>
      </c>
      <c r="L1643" t="n">
        <v>0</v>
      </c>
      <c r="M1643" t="n">
        <v>0</v>
      </c>
      <c r="N1643" t="n">
        <v>0</v>
      </c>
      <c r="O1643" t="n">
        <v>0</v>
      </c>
      <c r="P1643" t="n">
        <v>0</v>
      </c>
      <c r="Q1643" t="n">
        <v>0</v>
      </c>
      <c r="R1643" s="2" t="inlineStr"/>
    </row>
    <row r="1644" ht="15" customHeight="1">
      <c r="A1644" t="inlineStr">
        <is>
          <t>A 54780-2025</t>
        </is>
      </c>
      <c r="B1644" s="1" t="n">
        <v>45966</v>
      </c>
      <c r="C1644" s="1" t="n">
        <v>45976</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34966-2024</t>
        </is>
      </c>
      <c r="B1645" s="1" t="n">
        <v>45527.49600694444</v>
      </c>
      <c r="C1645" s="1" t="n">
        <v>45976</v>
      </c>
      <c r="D1645" t="inlineStr">
        <is>
          <t>VÄRMLANDS LÄN</t>
        </is>
      </c>
      <c r="E1645" t="inlineStr">
        <is>
          <t>TORSBY</t>
        </is>
      </c>
      <c r="F1645" t="inlineStr">
        <is>
          <t>Bergvik skog väst AB</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45966-2025</t>
        </is>
      </c>
      <c r="B1646" s="1" t="n">
        <v>45924</v>
      </c>
      <c r="C1646" s="1" t="n">
        <v>45976</v>
      </c>
      <c r="D1646" t="inlineStr">
        <is>
          <t>VÄRMLANDS LÄN</t>
        </is>
      </c>
      <c r="E1646" t="inlineStr">
        <is>
          <t>TORSBY</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44670-2023</t>
        </is>
      </c>
      <c r="B1647" s="1" t="n">
        <v>45189</v>
      </c>
      <c r="C1647" s="1" t="n">
        <v>45976</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44710-2023</t>
        </is>
      </c>
      <c r="B1648" s="1" t="n">
        <v>45190</v>
      </c>
      <c r="C1648" s="1" t="n">
        <v>45976</v>
      </c>
      <c r="D1648" t="inlineStr">
        <is>
          <t>VÄRMLANDS LÄN</t>
        </is>
      </c>
      <c r="E1648" t="inlineStr">
        <is>
          <t>TORSBY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16488-2024</t>
        </is>
      </c>
      <c r="B1649" s="1" t="n">
        <v>45408.34597222223</v>
      </c>
      <c r="C1649" s="1" t="n">
        <v>45976</v>
      </c>
      <c r="D1649" t="inlineStr">
        <is>
          <t>VÄRMLANDS LÄN</t>
        </is>
      </c>
      <c r="E1649" t="inlineStr">
        <is>
          <t>TORSBY</t>
        </is>
      </c>
      <c r="F1649" t="inlineStr">
        <is>
          <t>Bergvik skog väst AB</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16592-2024</t>
        </is>
      </c>
      <c r="B1650" s="1" t="n">
        <v>45408.49623842593</v>
      </c>
      <c r="C1650" s="1" t="n">
        <v>45976</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25050-2025</t>
        </is>
      </c>
      <c r="B1651" s="1" t="n">
        <v>45799</v>
      </c>
      <c r="C1651" s="1" t="n">
        <v>45976</v>
      </c>
      <c r="D1651" t="inlineStr">
        <is>
          <t>VÄRMLANDS LÄN</t>
        </is>
      </c>
      <c r="E1651" t="inlineStr">
        <is>
          <t>TORSBY</t>
        </is>
      </c>
      <c r="F1651" t="inlineStr">
        <is>
          <t>Bergvik skog väst AB</t>
        </is>
      </c>
      <c r="G1651" t="n">
        <v>39.7</v>
      </c>
      <c r="H1651" t="n">
        <v>0</v>
      </c>
      <c r="I1651" t="n">
        <v>0</v>
      </c>
      <c r="J1651" t="n">
        <v>0</v>
      </c>
      <c r="K1651" t="n">
        <v>0</v>
      </c>
      <c r="L1651" t="n">
        <v>0</v>
      </c>
      <c r="M1651" t="n">
        <v>0</v>
      </c>
      <c r="N1651" t="n">
        <v>0</v>
      </c>
      <c r="O1651" t="n">
        <v>0</v>
      </c>
      <c r="P1651" t="n">
        <v>0</v>
      </c>
      <c r="Q1651" t="n">
        <v>0</v>
      </c>
      <c r="R1651" s="2" t="inlineStr"/>
    </row>
    <row r="1652" ht="15" customHeight="1">
      <c r="A1652" t="inlineStr">
        <is>
          <t>A 46334-2025</t>
        </is>
      </c>
      <c r="B1652" s="1" t="n">
        <v>45925.45925925926</v>
      </c>
      <c r="C1652" s="1" t="n">
        <v>45976</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49636-2025</t>
        </is>
      </c>
      <c r="B1653" s="1" t="n">
        <v>45939</v>
      </c>
      <c r="C1653" s="1" t="n">
        <v>45976</v>
      </c>
      <c r="D1653" t="inlineStr">
        <is>
          <t>VÄRMLANDS LÄN</t>
        </is>
      </c>
      <c r="E1653" t="inlineStr">
        <is>
          <t>TORSBY</t>
        </is>
      </c>
      <c r="F1653" t="inlineStr">
        <is>
          <t>Bergvik skog väst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54014-2024</t>
        </is>
      </c>
      <c r="B1654" s="1" t="n">
        <v>45616.38003472222</v>
      </c>
      <c r="C1654" s="1" t="n">
        <v>45976</v>
      </c>
      <c r="D1654" t="inlineStr">
        <is>
          <t>VÄRMLANDS LÄN</t>
        </is>
      </c>
      <c r="E1654" t="inlineStr">
        <is>
          <t>TORSBY</t>
        </is>
      </c>
      <c r="F1654" t="inlineStr">
        <is>
          <t>Kommuner</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46493-2025</t>
        </is>
      </c>
      <c r="B1655" s="1" t="n">
        <v>45925</v>
      </c>
      <c r="C1655" s="1" t="n">
        <v>45976</v>
      </c>
      <c r="D1655" t="inlineStr">
        <is>
          <t>VÄRMLANDS LÄN</t>
        </is>
      </c>
      <c r="E1655" t="inlineStr">
        <is>
          <t>TORSBY</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53714-2025</t>
        </is>
      </c>
      <c r="B1656" s="1" t="n">
        <v>45960</v>
      </c>
      <c r="C1656" s="1" t="n">
        <v>45976</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44448-2024</t>
        </is>
      </c>
      <c r="B1657" s="1" t="n">
        <v>45574</v>
      </c>
      <c r="C1657" s="1" t="n">
        <v>45976</v>
      </c>
      <c r="D1657" t="inlineStr">
        <is>
          <t>VÄRMLANDS LÄN</t>
        </is>
      </c>
      <c r="E1657" t="inlineStr">
        <is>
          <t>TORSBY</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24757-2025</t>
        </is>
      </c>
      <c r="B1658" s="1" t="n">
        <v>45799</v>
      </c>
      <c r="C1658" s="1" t="n">
        <v>45976</v>
      </c>
      <c r="D1658" t="inlineStr">
        <is>
          <t>VÄRMLANDS LÄN</t>
        </is>
      </c>
      <c r="E1658" t="inlineStr">
        <is>
          <t>TORSBY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49854-2025</t>
        </is>
      </c>
      <c r="B1659" s="1" t="n">
        <v>45940.50342592593</v>
      </c>
      <c r="C1659" s="1" t="n">
        <v>45976</v>
      </c>
      <c r="D1659" t="inlineStr">
        <is>
          <t>VÄRMLANDS LÄN</t>
        </is>
      </c>
      <c r="E1659" t="inlineStr">
        <is>
          <t>TORSBY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739-2022</t>
        </is>
      </c>
      <c r="B1660" s="1" t="n">
        <v>44568</v>
      </c>
      <c r="C1660" s="1" t="n">
        <v>45976</v>
      </c>
      <c r="D1660" t="inlineStr">
        <is>
          <t>VÄRMLANDS LÄN</t>
        </is>
      </c>
      <c r="E1660" t="inlineStr">
        <is>
          <t>TORSBY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36318-2022</t>
        </is>
      </c>
      <c r="B1661" s="1" t="n">
        <v>44803</v>
      </c>
      <c r="C1661" s="1" t="n">
        <v>45976</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24967-2025</t>
        </is>
      </c>
      <c r="B1662" s="1" t="n">
        <v>45799.58332175926</v>
      </c>
      <c r="C1662" s="1" t="n">
        <v>45976</v>
      </c>
      <c r="D1662" t="inlineStr">
        <is>
          <t>VÄRMLANDS LÄN</t>
        </is>
      </c>
      <c r="E1662" t="inlineStr">
        <is>
          <t>TORSBY</t>
        </is>
      </c>
      <c r="F1662" t="inlineStr">
        <is>
          <t>Bergvik skog väst AB</t>
        </is>
      </c>
      <c r="G1662" t="n">
        <v>17.6</v>
      </c>
      <c r="H1662" t="n">
        <v>0</v>
      </c>
      <c r="I1662" t="n">
        <v>0</v>
      </c>
      <c r="J1662" t="n">
        <v>0</v>
      </c>
      <c r="K1662" t="n">
        <v>0</v>
      </c>
      <c r="L1662" t="n">
        <v>0</v>
      </c>
      <c r="M1662" t="n">
        <v>0</v>
      </c>
      <c r="N1662" t="n">
        <v>0</v>
      </c>
      <c r="O1662" t="n">
        <v>0</v>
      </c>
      <c r="P1662" t="n">
        <v>0</v>
      </c>
      <c r="Q1662" t="n">
        <v>0</v>
      </c>
      <c r="R1662" s="2" t="inlineStr"/>
    </row>
    <row r="1663" ht="15" customHeight="1">
      <c r="A1663" t="inlineStr">
        <is>
          <t>A 54692-2025</t>
        </is>
      </c>
      <c r="B1663" s="1" t="n">
        <v>45966</v>
      </c>
      <c r="C1663" s="1" t="n">
        <v>45976</v>
      </c>
      <c r="D1663" t="inlineStr">
        <is>
          <t>VÄRMLANDS LÄN</t>
        </is>
      </c>
      <c r="E1663" t="inlineStr">
        <is>
          <t>TORSBY</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54729-2025</t>
        </is>
      </c>
      <c r="B1664" s="1" t="n">
        <v>45966.55791666666</v>
      </c>
      <c r="C1664" s="1" t="n">
        <v>45976</v>
      </c>
      <c r="D1664" t="inlineStr">
        <is>
          <t>VÄRMLANDS LÄN</t>
        </is>
      </c>
      <c r="E1664" t="inlineStr">
        <is>
          <t>TORSBY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54817-2025</t>
        </is>
      </c>
      <c r="B1665" s="1" t="n">
        <v>45966.65671296296</v>
      </c>
      <c r="C1665" s="1" t="n">
        <v>45976</v>
      </c>
      <c r="D1665" t="inlineStr">
        <is>
          <t>VÄRMLANDS LÄN</t>
        </is>
      </c>
      <c r="E1665" t="inlineStr">
        <is>
          <t>TORSBY</t>
        </is>
      </c>
      <c r="F1665" t="inlineStr">
        <is>
          <t>Bergvik skog väst AB</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46326-2025</t>
        </is>
      </c>
      <c r="B1666" s="1" t="n">
        <v>45925.45237268518</v>
      </c>
      <c r="C1666" s="1" t="n">
        <v>45976</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50400-2025</t>
        </is>
      </c>
      <c r="B1667" s="1" t="n">
        <v>45944.63516203704</v>
      </c>
      <c r="C1667" s="1" t="n">
        <v>45976</v>
      </c>
      <c r="D1667" t="inlineStr">
        <is>
          <t>VÄRMLANDS LÄN</t>
        </is>
      </c>
      <c r="E1667" t="inlineStr">
        <is>
          <t>TORSBY</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25653-2025</t>
        </is>
      </c>
      <c r="B1668" s="1" t="n">
        <v>45803.61072916666</v>
      </c>
      <c r="C1668" s="1" t="n">
        <v>45976</v>
      </c>
      <c r="D1668" t="inlineStr">
        <is>
          <t>VÄRMLANDS LÄN</t>
        </is>
      </c>
      <c r="E1668" t="inlineStr">
        <is>
          <t>TORSBY</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25508-2025</t>
        </is>
      </c>
      <c r="B1669" s="1" t="n">
        <v>45803.35520833333</v>
      </c>
      <c r="C1669" s="1" t="n">
        <v>45976</v>
      </c>
      <c r="D1669" t="inlineStr">
        <is>
          <t>VÄRMLANDS LÄN</t>
        </is>
      </c>
      <c r="E1669" t="inlineStr">
        <is>
          <t>TORSBY</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46243-2025</t>
        </is>
      </c>
      <c r="B1670" s="1" t="n">
        <v>45925.32122685185</v>
      </c>
      <c r="C1670" s="1" t="n">
        <v>45976</v>
      </c>
      <c r="D1670" t="inlineStr">
        <is>
          <t>VÄRMLANDS LÄN</t>
        </is>
      </c>
      <c r="E1670" t="inlineStr">
        <is>
          <t>TORSBY</t>
        </is>
      </c>
      <c r="F1670" t="inlineStr">
        <is>
          <t>Bergvik skog väst AB</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46102-2025</t>
        </is>
      </c>
      <c r="B1671" s="1" t="n">
        <v>45924</v>
      </c>
      <c r="C1671" s="1" t="n">
        <v>45976</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46110-2025</t>
        </is>
      </c>
      <c r="B1672" s="1" t="n">
        <v>45924</v>
      </c>
      <c r="C1672" s="1" t="n">
        <v>45976</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50380-2024</t>
        </is>
      </c>
      <c r="B1673" s="1" t="n">
        <v>45601.30582175926</v>
      </c>
      <c r="C1673" s="1" t="n">
        <v>45976</v>
      </c>
      <c r="D1673" t="inlineStr">
        <is>
          <t>VÄRMLANDS LÄN</t>
        </is>
      </c>
      <c r="E1673" t="inlineStr">
        <is>
          <t>TORSBY</t>
        </is>
      </c>
      <c r="F1673" t="inlineStr">
        <is>
          <t>Bergvik skog väst AB</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32444-2022</t>
        </is>
      </c>
      <c r="B1674" s="1" t="n">
        <v>44782</v>
      </c>
      <c r="C1674" s="1" t="n">
        <v>45976</v>
      </c>
      <c r="D1674" t="inlineStr">
        <is>
          <t>VÄRMLANDS LÄN</t>
        </is>
      </c>
      <c r="E1674" t="inlineStr">
        <is>
          <t>TORSBY</t>
        </is>
      </c>
      <c r="F1674" t="inlineStr">
        <is>
          <t>Bergvik skog väst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38699-2022</t>
        </is>
      </c>
      <c r="B1675" s="1" t="n">
        <v>44814.53259259259</v>
      </c>
      <c r="C1675" s="1" t="n">
        <v>45976</v>
      </c>
      <c r="D1675" t="inlineStr">
        <is>
          <t>VÄRMLANDS LÄN</t>
        </is>
      </c>
      <c r="E1675" t="inlineStr">
        <is>
          <t>TORSBY</t>
        </is>
      </c>
      <c r="F1675" t="inlineStr">
        <is>
          <t>Bergvik skog väst AB</t>
        </is>
      </c>
      <c r="G1675" t="n">
        <v>22.6</v>
      </c>
      <c r="H1675" t="n">
        <v>0</v>
      </c>
      <c r="I1675" t="n">
        <v>0</v>
      </c>
      <c r="J1675" t="n">
        <v>0</v>
      </c>
      <c r="K1675" t="n">
        <v>0</v>
      </c>
      <c r="L1675" t="n">
        <v>0</v>
      </c>
      <c r="M1675" t="n">
        <v>0</v>
      </c>
      <c r="N1675" t="n">
        <v>0</v>
      </c>
      <c r="O1675" t="n">
        <v>0</v>
      </c>
      <c r="P1675" t="n">
        <v>0</v>
      </c>
      <c r="Q1675" t="n">
        <v>0</v>
      </c>
      <c r="R1675" s="2" t="inlineStr"/>
    </row>
    <row r="1676" ht="15" customHeight="1">
      <c r="A1676" t="inlineStr">
        <is>
          <t>A 54784-2025</t>
        </is>
      </c>
      <c r="B1676" s="1" t="n">
        <v>45966.62114583333</v>
      </c>
      <c r="C1676" s="1" t="n">
        <v>45976</v>
      </c>
      <c r="D1676" t="inlineStr">
        <is>
          <t>VÄRMLANDS LÄN</t>
        </is>
      </c>
      <c r="E1676" t="inlineStr">
        <is>
          <t>TORSBY</t>
        </is>
      </c>
      <c r="F1676" t="inlineStr">
        <is>
          <t>Bergvik skog väst AB</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25464-2025</t>
        </is>
      </c>
      <c r="B1677" s="1" t="n">
        <v>45802.46032407408</v>
      </c>
      <c r="C1677" s="1" t="n">
        <v>45976</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25465-2025</t>
        </is>
      </c>
      <c r="B1678" s="1" t="n">
        <v>45802.48196759259</v>
      </c>
      <c r="C1678" s="1" t="n">
        <v>45976</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25218-2025</t>
        </is>
      </c>
      <c r="B1679" s="1" t="n">
        <v>45800.4766087963</v>
      </c>
      <c r="C1679" s="1" t="n">
        <v>45976</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55177-2025</t>
        </is>
      </c>
      <c r="B1680" s="1" t="n">
        <v>45968.51857638889</v>
      </c>
      <c r="C1680" s="1" t="n">
        <v>45976</v>
      </c>
      <c r="D1680" t="inlineStr">
        <is>
          <t>VÄRMLANDS LÄN</t>
        </is>
      </c>
      <c r="E1680" t="inlineStr">
        <is>
          <t>TORSBY</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54996-2025</t>
        </is>
      </c>
      <c r="B1681" s="1" t="n">
        <v>45967</v>
      </c>
      <c r="C1681" s="1" t="n">
        <v>45976</v>
      </c>
      <c r="D1681" t="inlineStr">
        <is>
          <t>VÄRMLANDS LÄN</t>
        </is>
      </c>
      <c r="E1681" t="inlineStr">
        <is>
          <t>TORSBY</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25186-2025</t>
        </is>
      </c>
      <c r="B1682" s="1" t="n">
        <v>45800.45247685185</v>
      </c>
      <c r="C1682" s="1" t="n">
        <v>45976</v>
      </c>
      <c r="D1682" t="inlineStr">
        <is>
          <t>VÄRMLANDS LÄN</t>
        </is>
      </c>
      <c r="E1682" t="inlineStr">
        <is>
          <t>TORSBY</t>
        </is>
      </c>
      <c r="F1682" t="inlineStr">
        <is>
          <t>Kyrkan</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15773-2023</t>
        </is>
      </c>
      <c r="B1683" s="1" t="n">
        <v>45021</v>
      </c>
      <c r="C1683" s="1" t="n">
        <v>45976</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46921-2025</t>
        </is>
      </c>
      <c r="B1684" s="1" t="n">
        <v>45929.43655092592</v>
      </c>
      <c r="C1684" s="1" t="n">
        <v>45976</v>
      </c>
      <c r="D1684" t="inlineStr">
        <is>
          <t>VÄRMLANDS LÄN</t>
        </is>
      </c>
      <c r="E1684" t="inlineStr">
        <is>
          <t>TORSBY</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25353-2025</t>
        </is>
      </c>
      <c r="B1685" s="1" t="n">
        <v>45800.61553240741</v>
      </c>
      <c r="C1685" s="1" t="n">
        <v>45976</v>
      </c>
      <c r="D1685" t="inlineStr">
        <is>
          <t>VÄRMLANDS LÄN</t>
        </is>
      </c>
      <c r="E1685" t="inlineStr">
        <is>
          <t>TORSBY</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46865-2025</t>
        </is>
      </c>
      <c r="B1686" s="1" t="n">
        <v>45929</v>
      </c>
      <c r="C1686" s="1" t="n">
        <v>45976</v>
      </c>
      <c r="D1686" t="inlineStr">
        <is>
          <t>VÄRMLANDS LÄN</t>
        </is>
      </c>
      <c r="E1686" t="inlineStr">
        <is>
          <t>TORSBY</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25428-2025</t>
        </is>
      </c>
      <c r="B1687" s="1" t="n">
        <v>45800.71540509259</v>
      </c>
      <c r="C1687" s="1" t="n">
        <v>45976</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46695-2025</t>
        </is>
      </c>
      <c r="B1688" s="1" t="n">
        <v>45926</v>
      </c>
      <c r="C1688" s="1" t="n">
        <v>45976</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25328-2025</t>
        </is>
      </c>
      <c r="B1689" s="1" t="n">
        <v>45800</v>
      </c>
      <c r="C1689" s="1" t="n">
        <v>45976</v>
      </c>
      <c r="D1689" t="inlineStr">
        <is>
          <t>VÄRMLANDS LÄN</t>
        </is>
      </c>
      <c r="E1689" t="inlineStr">
        <is>
          <t>TORSBY</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46658-2025</t>
        </is>
      </c>
      <c r="B1690" s="1" t="n">
        <v>45926.49914351852</v>
      </c>
      <c r="C1690" s="1" t="n">
        <v>45976</v>
      </c>
      <c r="D1690" t="inlineStr">
        <is>
          <t>VÄRMLANDS LÄN</t>
        </is>
      </c>
      <c r="E1690" t="inlineStr">
        <is>
          <t>TORSBY</t>
        </is>
      </c>
      <c r="F1690" t="inlineStr">
        <is>
          <t>Bergvik skog väst AB</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25443-2025</t>
        </is>
      </c>
      <c r="B1691" s="1" t="n">
        <v>45801.49258101852</v>
      </c>
      <c r="C1691" s="1" t="n">
        <v>45976</v>
      </c>
      <c r="D1691" t="inlineStr">
        <is>
          <t>VÄRMLANDS LÄN</t>
        </is>
      </c>
      <c r="E1691" t="inlineStr">
        <is>
          <t>TORSBY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46578-2025</t>
        </is>
      </c>
      <c r="B1692" s="1" t="n">
        <v>45926.37353009259</v>
      </c>
      <c r="C1692" s="1" t="n">
        <v>45976</v>
      </c>
      <c r="D1692" t="inlineStr">
        <is>
          <t>VÄRMLANDS LÄN</t>
        </is>
      </c>
      <c r="E1692" t="inlineStr">
        <is>
          <t>TORSBY</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25369-2025</t>
        </is>
      </c>
      <c r="B1693" s="1" t="n">
        <v>45800.63046296296</v>
      </c>
      <c r="C1693" s="1" t="n">
        <v>45976</v>
      </c>
      <c r="D1693" t="inlineStr">
        <is>
          <t>VÄRMLANDS LÄN</t>
        </is>
      </c>
      <c r="E1693" t="inlineStr">
        <is>
          <t>TORSBY</t>
        </is>
      </c>
      <c r="F1693" t="inlineStr">
        <is>
          <t>Bergvik skog väst AB</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25545-2025</t>
        </is>
      </c>
      <c r="B1694" s="1" t="n">
        <v>45803.43763888889</v>
      </c>
      <c r="C1694" s="1" t="n">
        <v>45976</v>
      </c>
      <c r="D1694" t="inlineStr">
        <is>
          <t>VÄRMLANDS LÄN</t>
        </is>
      </c>
      <c r="E1694" t="inlineStr">
        <is>
          <t>TORSBY</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15992-2023</t>
        </is>
      </c>
      <c r="B1695" s="1" t="n">
        <v>45023.5066087963</v>
      </c>
      <c r="C1695" s="1" t="n">
        <v>45976</v>
      </c>
      <c r="D1695" t="inlineStr">
        <is>
          <t>VÄRMLANDS LÄN</t>
        </is>
      </c>
      <c r="E1695" t="inlineStr">
        <is>
          <t>TORSBY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16044-2023</t>
        </is>
      </c>
      <c r="B1696" s="1" t="n">
        <v>45027</v>
      </c>
      <c r="C1696" s="1" t="n">
        <v>45976</v>
      </c>
      <c r="D1696" t="inlineStr">
        <is>
          <t>VÄRMLANDS LÄN</t>
        </is>
      </c>
      <c r="E1696" t="inlineStr">
        <is>
          <t>TORSBY</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10288-2025</t>
        </is>
      </c>
      <c r="B1697" s="1" t="n">
        <v>45720.41396990741</v>
      </c>
      <c r="C1697" s="1" t="n">
        <v>45976</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47047-2025</t>
        </is>
      </c>
      <c r="B1698" s="1" t="n">
        <v>45929</v>
      </c>
      <c r="C1698" s="1" t="n">
        <v>45976</v>
      </c>
      <c r="D1698" t="inlineStr">
        <is>
          <t>VÄRMLANDS LÄN</t>
        </is>
      </c>
      <c r="E1698" t="inlineStr">
        <is>
          <t>TORSBY</t>
        </is>
      </c>
      <c r="F1698" t="inlineStr">
        <is>
          <t>Kyrkan</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26231-2025</t>
        </is>
      </c>
      <c r="B1699" s="1" t="n">
        <v>45805</v>
      </c>
      <c r="C1699" s="1" t="n">
        <v>45976</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49159-2025</t>
        </is>
      </c>
      <c r="B1700" s="1" t="n">
        <v>45938.35060185185</v>
      </c>
      <c r="C1700" s="1" t="n">
        <v>45976</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14367-2025</t>
        </is>
      </c>
      <c r="B1701" s="1" t="n">
        <v>45741.38988425926</v>
      </c>
      <c r="C1701" s="1" t="n">
        <v>45976</v>
      </c>
      <c r="D1701" t="inlineStr">
        <is>
          <t>VÄRMLANDS LÄN</t>
        </is>
      </c>
      <c r="E1701" t="inlineStr">
        <is>
          <t>TORSBY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46702-2025</t>
        </is>
      </c>
      <c r="B1702" s="1" t="n">
        <v>45926</v>
      </c>
      <c r="C1702" s="1" t="n">
        <v>45976</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14419-2025</t>
        </is>
      </c>
      <c r="B1703" s="1" t="n">
        <v>45741</v>
      </c>
      <c r="C1703" s="1" t="n">
        <v>45976</v>
      </c>
      <c r="D1703" t="inlineStr">
        <is>
          <t>VÄRMLANDS LÄN</t>
        </is>
      </c>
      <c r="E1703" t="inlineStr">
        <is>
          <t>TORSBY</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36050-2023</t>
        </is>
      </c>
      <c r="B1704" s="1" t="n">
        <v>45149</v>
      </c>
      <c r="C1704" s="1" t="n">
        <v>45976</v>
      </c>
      <c r="D1704" t="inlineStr">
        <is>
          <t>VÄRMLANDS LÄN</t>
        </is>
      </c>
      <c r="E1704" t="inlineStr">
        <is>
          <t>TORSBY</t>
        </is>
      </c>
      <c r="F1704" t="inlineStr">
        <is>
          <t>Kommuner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55071-2025</t>
        </is>
      </c>
      <c r="B1705" s="1" t="n">
        <v>45967</v>
      </c>
      <c r="C1705" s="1" t="n">
        <v>45976</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11187-2024</t>
        </is>
      </c>
      <c r="B1706" s="1" t="n">
        <v>45371</v>
      </c>
      <c r="C1706" s="1" t="n">
        <v>45976</v>
      </c>
      <c r="D1706" t="inlineStr">
        <is>
          <t>VÄRMLANDS LÄN</t>
        </is>
      </c>
      <c r="E1706" t="inlineStr">
        <is>
          <t>TORSBY</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25807-2025</t>
        </is>
      </c>
      <c r="B1707" s="1" t="n">
        <v>45804.41055555556</v>
      </c>
      <c r="C1707" s="1" t="n">
        <v>45976</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25959-2025</t>
        </is>
      </c>
      <c r="B1708" s="1" t="n">
        <v>45804.60914351852</v>
      </c>
      <c r="C1708" s="1" t="n">
        <v>45976</v>
      </c>
      <c r="D1708" t="inlineStr">
        <is>
          <t>VÄRMLANDS LÄN</t>
        </is>
      </c>
      <c r="E1708" t="inlineStr">
        <is>
          <t>TORSBY</t>
        </is>
      </c>
      <c r="F1708" t="inlineStr">
        <is>
          <t>Bergvik skog väst AB</t>
        </is>
      </c>
      <c r="G1708" t="n">
        <v>17.6</v>
      </c>
      <c r="H1708" t="n">
        <v>0</v>
      </c>
      <c r="I1708" t="n">
        <v>0</v>
      </c>
      <c r="J1708" t="n">
        <v>0</v>
      </c>
      <c r="K1708" t="n">
        <v>0</v>
      </c>
      <c r="L1708" t="n">
        <v>0</v>
      </c>
      <c r="M1708" t="n">
        <v>0</v>
      </c>
      <c r="N1708" t="n">
        <v>0</v>
      </c>
      <c r="O1708" t="n">
        <v>0</v>
      </c>
      <c r="P1708" t="n">
        <v>0</v>
      </c>
      <c r="Q1708" t="n">
        <v>0</v>
      </c>
      <c r="R1708" s="2" t="inlineStr"/>
    </row>
    <row r="1709" ht="15" customHeight="1">
      <c r="A1709" t="inlineStr">
        <is>
          <t>A 67457-2021</t>
        </is>
      </c>
      <c r="B1709" s="1" t="n">
        <v>44524</v>
      </c>
      <c r="C1709" s="1" t="n">
        <v>45976</v>
      </c>
      <c r="D1709" t="inlineStr">
        <is>
          <t>VÄRMLANDS LÄN</t>
        </is>
      </c>
      <c r="E1709" t="inlineStr">
        <is>
          <t>TORSBY</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21308-2024</t>
        </is>
      </c>
      <c r="B1710" s="1" t="n">
        <v>45440</v>
      </c>
      <c r="C1710" s="1" t="n">
        <v>45976</v>
      </c>
      <c r="D1710" t="inlineStr">
        <is>
          <t>VÄRMLANDS LÄN</t>
        </is>
      </c>
      <c r="E1710" t="inlineStr">
        <is>
          <t>TORSBY</t>
        </is>
      </c>
      <c r="G1710" t="n">
        <v>18.9</v>
      </c>
      <c r="H1710" t="n">
        <v>0</v>
      </c>
      <c r="I1710" t="n">
        <v>0</v>
      </c>
      <c r="J1710" t="n">
        <v>0</v>
      </c>
      <c r="K1710" t="n">
        <v>0</v>
      </c>
      <c r="L1710" t="n">
        <v>0</v>
      </c>
      <c r="M1710" t="n">
        <v>0</v>
      </c>
      <c r="N1710" t="n">
        <v>0</v>
      </c>
      <c r="O1710" t="n">
        <v>0</v>
      </c>
      <c r="P1710" t="n">
        <v>0</v>
      </c>
      <c r="Q1710" t="n">
        <v>0</v>
      </c>
      <c r="R1710" s="2" t="inlineStr"/>
    </row>
    <row r="1711" ht="15" customHeight="1">
      <c r="A1711" t="inlineStr">
        <is>
          <t>A 25917-2025</t>
        </is>
      </c>
      <c r="B1711" s="1" t="n">
        <v>45804.56704861111</v>
      </c>
      <c r="C1711" s="1" t="n">
        <v>45976</v>
      </c>
      <c r="D1711" t="inlineStr">
        <is>
          <t>VÄRMLANDS LÄN</t>
        </is>
      </c>
      <c r="E1711" t="inlineStr">
        <is>
          <t>TORSBY</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26061-2025</t>
        </is>
      </c>
      <c r="B1712" s="1" t="n">
        <v>45805.24886574074</v>
      </c>
      <c r="C1712" s="1" t="n">
        <v>45976</v>
      </c>
      <c r="D1712" t="inlineStr">
        <is>
          <t>VÄRMLANDS LÄN</t>
        </is>
      </c>
      <c r="E1712" t="inlineStr">
        <is>
          <t>TORSBY</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55296-2025</t>
        </is>
      </c>
      <c r="B1713" s="1" t="n">
        <v>45969.53423611111</v>
      </c>
      <c r="C1713" s="1" t="n">
        <v>45976</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26158-2025</t>
        </is>
      </c>
      <c r="B1714" s="1" t="n">
        <v>45805</v>
      </c>
      <c r="C1714" s="1" t="n">
        <v>45976</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9067-2023</t>
        </is>
      </c>
      <c r="B1715" s="1" t="n">
        <v>44979</v>
      </c>
      <c r="C1715" s="1" t="n">
        <v>45976</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19887-2024</t>
        </is>
      </c>
      <c r="B1716" s="1" t="n">
        <v>45433</v>
      </c>
      <c r="C1716" s="1" t="n">
        <v>45976</v>
      </c>
      <c r="D1716" t="inlineStr">
        <is>
          <t>VÄRMLANDS LÄN</t>
        </is>
      </c>
      <c r="E1716" t="inlineStr">
        <is>
          <t>TORSBY</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25881-2025</t>
        </is>
      </c>
      <c r="B1717" s="1" t="n">
        <v>45804.49729166667</v>
      </c>
      <c r="C1717" s="1" t="n">
        <v>45976</v>
      </c>
      <c r="D1717" t="inlineStr">
        <is>
          <t>VÄRMLANDS LÄN</t>
        </is>
      </c>
      <c r="E1717" t="inlineStr">
        <is>
          <t>TORSBY</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25803-2025</t>
        </is>
      </c>
      <c r="B1718" s="1" t="n">
        <v>45804.40886574074</v>
      </c>
      <c r="C1718" s="1" t="n">
        <v>45976</v>
      </c>
      <c r="D1718" t="inlineStr">
        <is>
          <t>VÄRMLANDS LÄN</t>
        </is>
      </c>
      <c r="E1718" t="inlineStr">
        <is>
          <t>TORSBY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55178-2025</t>
        </is>
      </c>
      <c r="B1719" s="1" t="n">
        <v>45968.52921296296</v>
      </c>
      <c r="C1719" s="1" t="n">
        <v>45976</v>
      </c>
      <c r="D1719" t="inlineStr">
        <is>
          <t>VÄRMLANDS LÄN</t>
        </is>
      </c>
      <c r="E1719" t="inlineStr">
        <is>
          <t>TORSBY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26342-2025</t>
        </is>
      </c>
      <c r="B1720" s="1" t="n">
        <v>45805.70604166666</v>
      </c>
      <c r="C1720" s="1" t="n">
        <v>45976</v>
      </c>
      <c r="D1720" t="inlineStr">
        <is>
          <t>VÄRMLANDS LÄN</t>
        </is>
      </c>
      <c r="E1720" t="inlineStr">
        <is>
          <t>TORSBY</t>
        </is>
      </c>
      <c r="F1720" t="inlineStr">
        <is>
          <t>Bergvik skog väst AB</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26108-2025</t>
        </is>
      </c>
      <c r="B1721" s="1" t="n">
        <v>45805</v>
      </c>
      <c r="C1721" s="1" t="n">
        <v>45976</v>
      </c>
      <c r="D1721" t="inlineStr">
        <is>
          <t>VÄRMLANDS LÄN</t>
        </is>
      </c>
      <c r="E1721" t="inlineStr">
        <is>
          <t>TORSBY</t>
        </is>
      </c>
      <c r="F1721" t="inlineStr">
        <is>
          <t>Bergvik skog väst AB</t>
        </is>
      </c>
      <c r="G1721" t="n">
        <v>22.8</v>
      </c>
      <c r="H1721" t="n">
        <v>0</v>
      </c>
      <c r="I1721" t="n">
        <v>0</v>
      </c>
      <c r="J1721" t="n">
        <v>0</v>
      </c>
      <c r="K1721" t="n">
        <v>0</v>
      </c>
      <c r="L1721" t="n">
        <v>0</v>
      </c>
      <c r="M1721" t="n">
        <v>0</v>
      </c>
      <c r="N1721" t="n">
        <v>0</v>
      </c>
      <c r="O1721" t="n">
        <v>0</v>
      </c>
      <c r="P1721" t="n">
        <v>0</v>
      </c>
      <c r="Q1721" t="n">
        <v>0</v>
      </c>
      <c r="R1721" s="2" t="inlineStr"/>
    </row>
    <row r="1722" ht="15" customHeight="1">
      <c r="A1722" t="inlineStr">
        <is>
          <t>A 46550-2025</t>
        </is>
      </c>
      <c r="B1722" s="1" t="n">
        <v>45926</v>
      </c>
      <c r="C1722" s="1" t="n">
        <v>45976</v>
      </c>
      <c r="D1722" t="inlineStr">
        <is>
          <t>VÄRMLANDS LÄN</t>
        </is>
      </c>
      <c r="E1722" t="inlineStr">
        <is>
          <t>TORSBY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25859-2025</t>
        </is>
      </c>
      <c r="B1723" s="1" t="n">
        <v>45804.47244212963</v>
      </c>
      <c r="C1723" s="1" t="n">
        <v>45976</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25915-2025</t>
        </is>
      </c>
      <c r="B1724" s="1" t="n">
        <v>45804.56549768519</v>
      </c>
      <c r="C1724" s="1" t="n">
        <v>45976</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25808-2025</t>
        </is>
      </c>
      <c r="B1725" s="1" t="n">
        <v>45804.41528935185</v>
      </c>
      <c r="C1725" s="1" t="n">
        <v>45976</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24965-2023</t>
        </is>
      </c>
      <c r="B1726" s="1" t="n">
        <v>45085</v>
      </c>
      <c r="C1726" s="1" t="n">
        <v>45976</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24969-2023</t>
        </is>
      </c>
      <c r="B1727" s="1" t="n">
        <v>45085.61429398148</v>
      </c>
      <c r="C1727" s="1" t="n">
        <v>45976</v>
      </c>
      <c r="D1727" t="inlineStr">
        <is>
          <t>VÄRMLANDS LÄN</t>
        </is>
      </c>
      <c r="E1727" t="inlineStr">
        <is>
          <t>TORSBY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55386-2025</t>
        </is>
      </c>
      <c r="B1728" s="1" t="n">
        <v>45971.43717592592</v>
      </c>
      <c r="C1728" s="1" t="n">
        <v>45976</v>
      </c>
      <c r="D1728" t="inlineStr">
        <is>
          <t>VÄRMLANDS LÄN</t>
        </is>
      </c>
      <c r="E1728" t="inlineStr">
        <is>
          <t>TORSBY</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26563-2025</t>
        </is>
      </c>
      <c r="B1729" s="1" t="n">
        <v>45807.65767361111</v>
      </c>
      <c r="C1729" s="1" t="n">
        <v>45976</v>
      </c>
      <c r="D1729" t="inlineStr">
        <is>
          <t>VÄRMLANDS LÄN</t>
        </is>
      </c>
      <c r="E1729" t="inlineStr">
        <is>
          <t>TORSBY</t>
        </is>
      </c>
      <c r="F1729" t="inlineStr">
        <is>
          <t>Bergvik skog väst AB</t>
        </is>
      </c>
      <c r="G1729" t="n">
        <v>19.5</v>
      </c>
      <c r="H1729" t="n">
        <v>0</v>
      </c>
      <c r="I1729" t="n">
        <v>0</v>
      </c>
      <c r="J1729" t="n">
        <v>0</v>
      </c>
      <c r="K1729" t="n">
        <v>0</v>
      </c>
      <c r="L1729" t="n">
        <v>0</v>
      </c>
      <c r="M1729" t="n">
        <v>0</v>
      </c>
      <c r="N1729" t="n">
        <v>0</v>
      </c>
      <c r="O1729" t="n">
        <v>0</v>
      </c>
      <c r="P1729" t="n">
        <v>0</v>
      </c>
      <c r="Q1729" t="n">
        <v>0</v>
      </c>
      <c r="R1729" s="2" t="inlineStr"/>
    </row>
    <row r="1730" ht="15" customHeight="1">
      <c r="A1730" t="inlineStr">
        <is>
          <t>A 26504-2025</t>
        </is>
      </c>
      <c r="B1730" s="1" t="n">
        <v>45807.519375</v>
      </c>
      <c r="C1730" s="1" t="n">
        <v>45976</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26505-2025</t>
        </is>
      </c>
      <c r="B1731" s="1" t="n">
        <v>45807.52231481481</v>
      </c>
      <c r="C1731" s="1" t="n">
        <v>45976</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26511-2025</t>
        </is>
      </c>
      <c r="B1732" s="1" t="n">
        <v>45807.54571759259</v>
      </c>
      <c r="C1732" s="1" t="n">
        <v>45976</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26539-2025</t>
        </is>
      </c>
      <c r="B1733" s="1" t="n">
        <v>45807.58127314815</v>
      </c>
      <c r="C1733" s="1" t="n">
        <v>45976</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26418-2025</t>
        </is>
      </c>
      <c r="B1734" s="1" t="n">
        <v>45807.36436342593</v>
      </c>
      <c r="C1734" s="1" t="n">
        <v>45976</v>
      </c>
      <c r="D1734" t="inlineStr">
        <is>
          <t>VÄRMLANDS LÄN</t>
        </is>
      </c>
      <c r="E1734" t="inlineStr">
        <is>
          <t>TORSBY</t>
        </is>
      </c>
      <c r="F1734" t="inlineStr">
        <is>
          <t>Bergvik skog väst AB</t>
        </is>
      </c>
      <c r="G1734" t="n">
        <v>13.4</v>
      </c>
      <c r="H1734" t="n">
        <v>0</v>
      </c>
      <c r="I1734" t="n">
        <v>0</v>
      </c>
      <c r="J1734" t="n">
        <v>0</v>
      </c>
      <c r="K1734" t="n">
        <v>0</v>
      </c>
      <c r="L1734" t="n">
        <v>0</v>
      </c>
      <c r="M1734" t="n">
        <v>0</v>
      </c>
      <c r="N1734" t="n">
        <v>0</v>
      </c>
      <c r="O1734" t="n">
        <v>0</v>
      </c>
      <c r="P1734" t="n">
        <v>0</v>
      </c>
      <c r="Q1734" t="n">
        <v>0</v>
      </c>
      <c r="R1734" s="2" t="inlineStr"/>
    </row>
    <row r="1735" ht="15" customHeight="1">
      <c r="A1735" t="inlineStr">
        <is>
          <t>A 26507-2025</t>
        </is>
      </c>
      <c r="B1735" s="1" t="n">
        <v>45807.52539351852</v>
      </c>
      <c r="C1735" s="1" t="n">
        <v>45976</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26564-2025</t>
        </is>
      </c>
      <c r="B1736" s="1" t="n">
        <v>45807.66306712963</v>
      </c>
      <c r="C1736" s="1" t="n">
        <v>45976</v>
      </c>
      <c r="D1736" t="inlineStr">
        <is>
          <t>VÄRMLANDS LÄN</t>
        </is>
      </c>
      <c r="E1736" t="inlineStr">
        <is>
          <t>TORSBY</t>
        </is>
      </c>
      <c r="F1736" t="inlineStr">
        <is>
          <t>Bergvik skog väst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43137-2024</t>
        </is>
      </c>
      <c r="B1737" s="1" t="n">
        <v>45567</v>
      </c>
      <c r="C1737" s="1" t="n">
        <v>45976</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26479-2025</t>
        </is>
      </c>
      <c r="B1738" s="1" t="n">
        <v>45807.47021990741</v>
      </c>
      <c r="C1738" s="1" t="n">
        <v>45976</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26491-2025</t>
        </is>
      </c>
      <c r="B1739" s="1" t="n">
        <v>45807.48939814815</v>
      </c>
      <c r="C1739" s="1" t="n">
        <v>45976</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26533-2025</t>
        </is>
      </c>
      <c r="B1740" s="1" t="n">
        <v>45807.57259259259</v>
      </c>
      <c r="C1740" s="1" t="n">
        <v>45976</v>
      </c>
      <c r="D1740" t="inlineStr">
        <is>
          <t>VÄRMLANDS LÄN</t>
        </is>
      </c>
      <c r="E1740" t="inlineStr">
        <is>
          <t>TORSBY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17554-2023</t>
        </is>
      </c>
      <c r="B1741" s="1" t="n">
        <v>45034</v>
      </c>
      <c r="C1741" s="1" t="n">
        <v>45976</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44150-2023</t>
        </is>
      </c>
      <c r="B1742" s="1" t="n">
        <v>45188.47791666666</v>
      </c>
      <c r="C1742" s="1" t="n">
        <v>45976</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26487-2025</t>
        </is>
      </c>
      <c r="B1743" s="1" t="n">
        <v>45807.47644675926</v>
      </c>
      <c r="C1743" s="1" t="n">
        <v>45976</v>
      </c>
      <c r="D1743" t="inlineStr">
        <is>
          <t>VÄRMLANDS LÄN</t>
        </is>
      </c>
      <c r="E1743" t="inlineStr">
        <is>
          <t>TORSBY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49167-2025</t>
        </is>
      </c>
      <c r="B1744" s="1" t="n">
        <v>45938</v>
      </c>
      <c r="C1744" s="1" t="n">
        <v>45976</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56724-2023</t>
        </is>
      </c>
      <c r="B1745" s="1" t="n">
        <v>45244.3393287037</v>
      </c>
      <c r="C1745" s="1" t="n">
        <v>45976</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28545-2024</t>
        </is>
      </c>
      <c r="B1746" s="1" t="n">
        <v>45478.3559375</v>
      </c>
      <c r="C1746" s="1" t="n">
        <v>45976</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16380-2025</t>
        </is>
      </c>
      <c r="B1747" s="1" t="n">
        <v>45751</v>
      </c>
      <c r="C1747" s="1" t="n">
        <v>45976</v>
      </c>
      <c r="D1747" t="inlineStr">
        <is>
          <t>VÄRMLANDS LÄN</t>
        </is>
      </c>
      <c r="E1747" t="inlineStr">
        <is>
          <t>TORSBY</t>
        </is>
      </c>
      <c r="F1747" t="inlineStr">
        <is>
          <t>Bergvik skog väst AB</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37081-2023</t>
        </is>
      </c>
      <c r="B1748" s="1" t="n">
        <v>45155</v>
      </c>
      <c r="C1748" s="1" t="n">
        <v>45976</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27056-2025</t>
        </is>
      </c>
      <c r="B1749" s="1" t="n">
        <v>45811.63118055555</v>
      </c>
      <c r="C1749" s="1" t="n">
        <v>45976</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55139-2025</t>
        </is>
      </c>
      <c r="B1750" s="1" t="n">
        <v>45968.42827546296</v>
      </c>
      <c r="C1750" s="1" t="n">
        <v>45976</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27116-2025</t>
        </is>
      </c>
      <c r="B1751" s="1" t="n">
        <v>45811.74233796296</v>
      </c>
      <c r="C1751" s="1" t="n">
        <v>45976</v>
      </c>
      <c r="D1751" t="inlineStr">
        <is>
          <t>VÄRMLANDS LÄN</t>
        </is>
      </c>
      <c r="E1751" t="inlineStr">
        <is>
          <t>TORSBY</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55320-2025</t>
        </is>
      </c>
      <c r="B1752" s="1" t="n">
        <v>45971.31269675926</v>
      </c>
      <c r="C1752" s="1" t="n">
        <v>45976</v>
      </c>
      <c r="D1752" t="inlineStr">
        <is>
          <t>VÄRMLANDS LÄN</t>
        </is>
      </c>
      <c r="E1752" t="inlineStr">
        <is>
          <t>TORSBY</t>
        </is>
      </c>
      <c r="F1752" t="inlineStr">
        <is>
          <t>Bergvik skog väst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43144-2024</t>
        </is>
      </c>
      <c r="B1753" s="1" t="n">
        <v>45567</v>
      </c>
      <c r="C1753" s="1" t="n">
        <v>45976</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47049-2025</t>
        </is>
      </c>
      <c r="B1754" s="1" t="n">
        <v>45929.6130324074</v>
      </c>
      <c r="C1754" s="1" t="n">
        <v>45976</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27043-2025</t>
        </is>
      </c>
      <c r="B1755" s="1" t="n">
        <v>45811.61342592593</v>
      </c>
      <c r="C1755" s="1" t="n">
        <v>45976</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47545-2025</t>
        </is>
      </c>
      <c r="B1756" s="1" t="n">
        <v>45931</v>
      </c>
      <c r="C1756" s="1" t="n">
        <v>45976</v>
      </c>
      <c r="D1756" t="inlineStr">
        <is>
          <t>VÄRMLANDS LÄN</t>
        </is>
      </c>
      <c r="E1756" t="inlineStr">
        <is>
          <t>TORSBY</t>
        </is>
      </c>
      <c r="F1756" t="inlineStr">
        <is>
          <t>Bergvik skog väst AB</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26898-2025</t>
        </is>
      </c>
      <c r="B1757" s="1" t="n">
        <v>45811</v>
      </c>
      <c r="C1757" s="1" t="n">
        <v>45976</v>
      </c>
      <c r="D1757" t="inlineStr">
        <is>
          <t>VÄRMLANDS LÄN</t>
        </is>
      </c>
      <c r="E1757" t="inlineStr">
        <is>
          <t>TORSBY</t>
        </is>
      </c>
      <c r="F1757" t="inlineStr">
        <is>
          <t>Övriga Aktiebolag</t>
        </is>
      </c>
      <c r="G1757" t="n">
        <v>37.8</v>
      </c>
      <c r="H1757" t="n">
        <v>0</v>
      </c>
      <c r="I1757" t="n">
        <v>0</v>
      </c>
      <c r="J1757" t="n">
        <v>0</v>
      </c>
      <c r="K1757" t="n">
        <v>0</v>
      </c>
      <c r="L1757" t="n">
        <v>0</v>
      </c>
      <c r="M1757" t="n">
        <v>0</v>
      </c>
      <c r="N1757" t="n">
        <v>0</v>
      </c>
      <c r="O1757" t="n">
        <v>0</v>
      </c>
      <c r="P1757" t="n">
        <v>0</v>
      </c>
      <c r="Q1757" t="n">
        <v>0</v>
      </c>
      <c r="R1757" s="2" t="inlineStr"/>
    </row>
    <row r="1758" ht="15" customHeight="1">
      <c r="A1758" t="inlineStr">
        <is>
          <t>A 47624-2025</t>
        </is>
      </c>
      <c r="B1758" s="1" t="n">
        <v>45931.48381944445</v>
      </c>
      <c r="C1758" s="1" t="n">
        <v>45976</v>
      </c>
      <c r="D1758" t="inlineStr">
        <is>
          <t>VÄRMLANDS LÄN</t>
        </is>
      </c>
      <c r="E1758" t="inlineStr">
        <is>
          <t>TORSBY</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62507-2023</t>
        </is>
      </c>
      <c r="B1759" s="1" t="n">
        <v>45267</v>
      </c>
      <c r="C1759" s="1" t="n">
        <v>45976</v>
      </c>
      <c r="D1759" t="inlineStr">
        <is>
          <t>VÄRMLANDS LÄN</t>
        </is>
      </c>
      <c r="E1759" t="inlineStr">
        <is>
          <t>TORSBY</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11222-2024</t>
        </is>
      </c>
      <c r="B1760" s="1" t="n">
        <v>45371</v>
      </c>
      <c r="C1760" s="1" t="n">
        <v>45976</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754-2025</t>
        </is>
      </c>
      <c r="B1761" s="1" t="n">
        <v>45665</v>
      </c>
      <c r="C1761" s="1" t="n">
        <v>45976</v>
      </c>
      <c r="D1761" t="inlineStr">
        <is>
          <t>VÄRMLANDS LÄN</t>
        </is>
      </c>
      <c r="E1761" t="inlineStr">
        <is>
          <t>TORSBY</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47621-2025</t>
        </is>
      </c>
      <c r="B1762" s="1" t="n">
        <v>45931.48322916667</v>
      </c>
      <c r="C1762" s="1" t="n">
        <v>45976</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26892-2025</t>
        </is>
      </c>
      <c r="B1763" s="1" t="n">
        <v>45811.3334837963</v>
      </c>
      <c r="C1763" s="1" t="n">
        <v>45976</v>
      </c>
      <c r="D1763" t="inlineStr">
        <is>
          <t>VÄRMLANDS LÄN</t>
        </is>
      </c>
      <c r="E1763" t="inlineStr">
        <is>
          <t>TORSBY</t>
        </is>
      </c>
      <c r="F1763" t="inlineStr">
        <is>
          <t>Bergvik skog väst AB</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27094-2025</t>
        </is>
      </c>
      <c r="B1764" s="1" t="n">
        <v>45811.6766087963</v>
      </c>
      <c r="C1764" s="1" t="n">
        <v>45976</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26822-2025</t>
        </is>
      </c>
      <c r="B1765" s="1" t="n">
        <v>45810</v>
      </c>
      <c r="C1765" s="1" t="n">
        <v>45976</v>
      </c>
      <c r="D1765" t="inlineStr">
        <is>
          <t>VÄRMLANDS LÄN</t>
        </is>
      </c>
      <c r="E1765" t="inlineStr">
        <is>
          <t>TORSBY</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26890-2025</t>
        </is>
      </c>
      <c r="B1766" s="1" t="n">
        <v>45811</v>
      </c>
      <c r="C1766" s="1" t="n">
        <v>45976</v>
      </c>
      <c r="D1766" t="inlineStr">
        <is>
          <t>VÄRMLANDS LÄN</t>
        </is>
      </c>
      <c r="E1766" t="inlineStr">
        <is>
          <t>TORSBY</t>
        </is>
      </c>
      <c r="F1766" t="inlineStr">
        <is>
          <t>Bergvik skog väst AB</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25956-2025</t>
        </is>
      </c>
      <c r="B1767" s="1" t="n">
        <v>45804</v>
      </c>
      <c r="C1767" s="1" t="n">
        <v>45976</v>
      </c>
      <c r="D1767" t="inlineStr">
        <is>
          <t>VÄRMLANDS LÄN</t>
        </is>
      </c>
      <c r="E1767" t="inlineStr">
        <is>
          <t>TORSBY</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15087-2023</t>
        </is>
      </c>
      <c r="B1768" s="1" t="n">
        <v>45016</v>
      </c>
      <c r="C1768" s="1" t="n">
        <v>45976</v>
      </c>
      <c r="D1768" t="inlineStr">
        <is>
          <t>VÄRMLANDS LÄN</t>
        </is>
      </c>
      <c r="E1768" t="inlineStr">
        <is>
          <t>TORSBY</t>
        </is>
      </c>
      <c r="F1768" t="inlineStr">
        <is>
          <t>Bergvik skog väst AB</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44262-2023</t>
        </is>
      </c>
      <c r="B1769" s="1" t="n">
        <v>45188.59809027778</v>
      </c>
      <c r="C1769" s="1" t="n">
        <v>45976</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20647-2024</t>
        </is>
      </c>
      <c r="B1770" s="1" t="n">
        <v>45436</v>
      </c>
      <c r="C1770" s="1" t="n">
        <v>45976</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17898-2023</t>
        </is>
      </c>
      <c r="B1771" s="1" t="n">
        <v>45039.72086805556</v>
      </c>
      <c r="C1771" s="1" t="n">
        <v>45976</v>
      </c>
      <c r="D1771" t="inlineStr">
        <is>
          <t>VÄRMLANDS LÄN</t>
        </is>
      </c>
      <c r="E1771" t="inlineStr">
        <is>
          <t>TORSBY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13785-2023</t>
        </is>
      </c>
      <c r="B1772" s="1" t="n">
        <v>45007</v>
      </c>
      <c r="C1772" s="1" t="n">
        <v>45976</v>
      </c>
      <c r="D1772" t="inlineStr">
        <is>
          <t>VÄRMLANDS LÄN</t>
        </is>
      </c>
      <c r="E1772" t="inlineStr">
        <is>
          <t>TORSBY</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26607-2025</t>
        </is>
      </c>
      <c r="B1773" s="1" t="n">
        <v>45809.92239583333</v>
      </c>
      <c r="C1773" s="1" t="n">
        <v>45976</v>
      </c>
      <c r="D1773" t="inlineStr">
        <is>
          <t>VÄRMLANDS LÄN</t>
        </is>
      </c>
      <c r="E1773" t="inlineStr">
        <is>
          <t>TORSBY</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55953-2025</t>
        </is>
      </c>
      <c r="B1774" s="1" t="n">
        <v>45973.47258101852</v>
      </c>
      <c r="C1774" s="1" t="n">
        <v>45976</v>
      </c>
      <c r="D1774" t="inlineStr">
        <is>
          <t>VÄRMLANDS LÄN</t>
        </is>
      </c>
      <c r="E1774" t="inlineStr">
        <is>
          <t>TORSBY</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47366-2025</t>
        </is>
      </c>
      <c r="B1775" s="1" t="n">
        <v>45930</v>
      </c>
      <c r="C1775" s="1" t="n">
        <v>45976</v>
      </c>
      <c r="D1775" t="inlineStr">
        <is>
          <t>VÄRMLANDS LÄN</t>
        </is>
      </c>
      <c r="E1775" t="inlineStr">
        <is>
          <t>TORSBY</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55863-2025</t>
        </is>
      </c>
      <c r="B1776" s="1" t="n">
        <v>45973.3465162037</v>
      </c>
      <c r="C1776" s="1" t="n">
        <v>45976</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26960-2025</t>
        </is>
      </c>
      <c r="B1777" s="1" t="n">
        <v>45811.46167824074</v>
      </c>
      <c r="C1777" s="1" t="n">
        <v>45976</v>
      </c>
      <c r="D1777" t="inlineStr">
        <is>
          <t>VÄRMLANDS LÄN</t>
        </is>
      </c>
      <c r="E1777" t="inlineStr">
        <is>
          <t>TORSBY</t>
        </is>
      </c>
      <c r="F1777" t="inlineStr">
        <is>
          <t>Kyrkan</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27093-2025</t>
        </is>
      </c>
      <c r="B1778" s="1" t="n">
        <v>45811.67347222222</v>
      </c>
      <c r="C1778" s="1" t="n">
        <v>45976</v>
      </c>
      <c r="D1778" t="inlineStr">
        <is>
          <t>VÄRMLANDS LÄN</t>
        </is>
      </c>
      <c r="E1778" t="inlineStr">
        <is>
          <t>TORSBY</t>
        </is>
      </c>
      <c r="F1778" t="inlineStr">
        <is>
          <t>Bergvik skog väst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35134-2022</t>
        </is>
      </c>
      <c r="B1779" s="1" t="n">
        <v>44797</v>
      </c>
      <c r="C1779" s="1" t="n">
        <v>45976</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26897-2025</t>
        </is>
      </c>
      <c r="B1780" s="1" t="n">
        <v>45811.34108796297</v>
      </c>
      <c r="C1780" s="1" t="n">
        <v>45976</v>
      </c>
      <c r="D1780" t="inlineStr">
        <is>
          <t>VÄRMLANDS LÄN</t>
        </is>
      </c>
      <c r="E1780" t="inlineStr">
        <is>
          <t>TORSBY</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8048-2022</t>
        </is>
      </c>
      <c r="B1781" s="1" t="n">
        <v>44609</v>
      </c>
      <c r="C1781" s="1" t="n">
        <v>45976</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55675-2025</t>
        </is>
      </c>
      <c r="B1782" s="1" t="n">
        <v>45972.4175</v>
      </c>
      <c r="C1782" s="1" t="n">
        <v>45976</v>
      </c>
      <c r="D1782" t="inlineStr">
        <is>
          <t>VÄRMLANDS LÄN</t>
        </is>
      </c>
      <c r="E1782" t="inlineStr">
        <is>
          <t>TORSBY</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55794-2021</t>
        </is>
      </c>
      <c r="B1783" s="1" t="n">
        <v>44476</v>
      </c>
      <c r="C1783" s="1" t="n">
        <v>45976</v>
      </c>
      <c r="D1783" t="inlineStr">
        <is>
          <t>VÄRMLANDS LÄN</t>
        </is>
      </c>
      <c r="E1783" t="inlineStr">
        <is>
          <t>TORSBY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26876-2024</t>
        </is>
      </c>
      <c r="B1784" s="1" t="n">
        <v>45470.62181712963</v>
      </c>
      <c r="C1784" s="1" t="n">
        <v>45976</v>
      </c>
      <c r="D1784" t="inlineStr">
        <is>
          <t>VÄRMLANDS LÄN</t>
        </is>
      </c>
      <c r="E1784" t="inlineStr">
        <is>
          <t>TORSBY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64602-2023</t>
        </is>
      </c>
      <c r="B1785" s="1" t="n">
        <v>45281.50085648148</v>
      </c>
      <c r="C1785" s="1" t="n">
        <v>45976</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41631-2024</t>
        </is>
      </c>
      <c r="B1786" s="1" t="n">
        <v>45560</v>
      </c>
      <c r="C1786" s="1" t="n">
        <v>45976</v>
      </c>
      <c r="D1786" t="inlineStr">
        <is>
          <t>VÄRMLANDS LÄN</t>
        </is>
      </c>
      <c r="E1786" t="inlineStr">
        <is>
          <t>TORSBY</t>
        </is>
      </c>
      <c r="F1786" t="inlineStr">
        <is>
          <t>Bergvik skog väst AB</t>
        </is>
      </c>
      <c r="G1786" t="n">
        <v>16.3</v>
      </c>
      <c r="H1786" t="n">
        <v>0</v>
      </c>
      <c r="I1786" t="n">
        <v>0</v>
      </c>
      <c r="J1786" t="n">
        <v>0</v>
      </c>
      <c r="K1786" t="n">
        <v>0</v>
      </c>
      <c r="L1786" t="n">
        <v>0</v>
      </c>
      <c r="M1786" t="n">
        <v>0</v>
      </c>
      <c r="N1786" t="n">
        <v>0</v>
      </c>
      <c r="O1786" t="n">
        <v>0</v>
      </c>
      <c r="P1786" t="n">
        <v>0</v>
      </c>
      <c r="Q1786" t="n">
        <v>0</v>
      </c>
      <c r="R1786" s="2" t="inlineStr"/>
    </row>
    <row r="1787" ht="15" customHeight="1">
      <c r="A1787" t="inlineStr">
        <is>
          <t>A 24087-2024</t>
        </is>
      </c>
      <c r="B1787" s="1" t="n">
        <v>45456</v>
      </c>
      <c r="C1787" s="1" t="n">
        <v>45976</v>
      </c>
      <c r="D1787" t="inlineStr">
        <is>
          <t>VÄRMLANDS LÄN</t>
        </is>
      </c>
      <c r="E1787" t="inlineStr">
        <is>
          <t>TORSBY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30002-2024</t>
        </is>
      </c>
      <c r="B1788" s="1" t="n">
        <v>45488</v>
      </c>
      <c r="C1788" s="1" t="n">
        <v>45976</v>
      </c>
      <c r="D1788" t="inlineStr">
        <is>
          <t>VÄRMLANDS LÄN</t>
        </is>
      </c>
      <c r="E1788" t="inlineStr">
        <is>
          <t>TORSBY</t>
        </is>
      </c>
      <c r="F1788" t="inlineStr">
        <is>
          <t>Kommuner</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70658-2021</t>
        </is>
      </c>
      <c r="B1789" s="1" t="n">
        <v>44537.52368055555</v>
      </c>
      <c r="C1789" s="1" t="n">
        <v>45976</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1979-2023</t>
        </is>
      </c>
      <c r="B1790" s="1" t="n">
        <v>44939</v>
      </c>
      <c r="C1790" s="1" t="n">
        <v>45976</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27149-2025</t>
        </is>
      </c>
      <c r="B1791" s="1" t="n">
        <v>45812.31924768518</v>
      </c>
      <c r="C1791" s="1" t="n">
        <v>45976</v>
      </c>
      <c r="D1791" t="inlineStr">
        <is>
          <t>VÄRMLANDS LÄN</t>
        </is>
      </c>
      <c r="E1791" t="inlineStr">
        <is>
          <t>TORSBY</t>
        </is>
      </c>
      <c r="F1791" t="inlineStr">
        <is>
          <t>Bergvik skog väst AB</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46909-2024</t>
        </is>
      </c>
      <c r="B1792" s="1" t="n">
        <v>45583</v>
      </c>
      <c r="C1792" s="1" t="n">
        <v>45976</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52577-2025</t>
        </is>
      </c>
      <c r="B1793" s="1" t="n">
        <v>45954.61509259259</v>
      </c>
      <c r="C1793" s="1" t="n">
        <v>45976</v>
      </c>
      <c r="D1793" t="inlineStr">
        <is>
          <t>VÄRMLANDS LÄN</t>
        </is>
      </c>
      <c r="E1793" t="inlineStr">
        <is>
          <t>TORSBY</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27667-2025</t>
        </is>
      </c>
      <c r="B1794" s="1" t="n">
        <v>45813.62092592593</v>
      </c>
      <c r="C1794" s="1" t="n">
        <v>45976</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27674-2025</t>
        </is>
      </c>
      <c r="B1795" s="1" t="n">
        <v>45813.62936342593</v>
      </c>
      <c r="C1795" s="1" t="n">
        <v>45976</v>
      </c>
      <c r="D1795" t="inlineStr">
        <is>
          <t>VÄRMLANDS LÄN</t>
        </is>
      </c>
      <c r="E1795" t="inlineStr">
        <is>
          <t>TORSBY</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56052-2025</t>
        </is>
      </c>
      <c r="B1796" s="1" t="n">
        <v>45973.63180555555</v>
      </c>
      <c r="C1796" s="1" t="n">
        <v>45976</v>
      </c>
      <c r="D1796" t="inlineStr">
        <is>
          <t>VÄRMLANDS LÄN</t>
        </is>
      </c>
      <c r="E1796" t="inlineStr">
        <is>
          <t>TORSBY</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26887-2024</t>
        </is>
      </c>
      <c r="B1797" s="1" t="n">
        <v>45470.64864583333</v>
      </c>
      <c r="C1797" s="1" t="n">
        <v>45976</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55269-2025</t>
        </is>
      </c>
      <c r="B1798" s="1" t="n">
        <v>45968</v>
      </c>
      <c r="C1798" s="1" t="n">
        <v>45976</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55958-2025</t>
        </is>
      </c>
      <c r="B1799" s="1" t="n">
        <v>45973.47708333333</v>
      </c>
      <c r="C1799" s="1" t="n">
        <v>45976</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54076-2025</t>
        </is>
      </c>
      <c r="B1800" s="1" t="n">
        <v>45964</v>
      </c>
      <c r="C1800" s="1" t="n">
        <v>45976</v>
      </c>
      <c r="D1800" t="inlineStr">
        <is>
          <t>VÄRMLANDS LÄN</t>
        </is>
      </c>
      <c r="E1800" t="inlineStr">
        <is>
          <t>TORSBY</t>
        </is>
      </c>
      <c r="F1800" t="inlineStr">
        <is>
          <t>Övriga statliga verk och myndigheter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58727-2021</t>
        </is>
      </c>
      <c r="B1801" s="1" t="n">
        <v>44489.49052083334</v>
      </c>
      <c r="C1801" s="1" t="n">
        <v>45976</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27467-2025</t>
        </is>
      </c>
      <c r="B1802" s="1" t="n">
        <v>45813.35497685185</v>
      </c>
      <c r="C1802" s="1" t="n">
        <v>45976</v>
      </c>
      <c r="D1802" t="inlineStr">
        <is>
          <t>VÄRMLANDS LÄN</t>
        </is>
      </c>
      <c r="E1802" t="inlineStr">
        <is>
          <t>TORSBY</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55938-2025</t>
        </is>
      </c>
      <c r="B1803" s="1" t="n">
        <v>45973.44658564815</v>
      </c>
      <c r="C1803" s="1" t="n">
        <v>45976</v>
      </c>
      <c r="D1803" t="inlineStr">
        <is>
          <t>VÄRMLANDS LÄN</t>
        </is>
      </c>
      <c r="E1803" t="inlineStr">
        <is>
          <t>TORSBY</t>
        </is>
      </c>
      <c r="F1803" t="inlineStr">
        <is>
          <t>Bergvik skog väst AB</t>
        </is>
      </c>
      <c r="G1803" t="n">
        <v>21.2</v>
      </c>
      <c r="H1803" t="n">
        <v>0</v>
      </c>
      <c r="I1803" t="n">
        <v>0</v>
      </c>
      <c r="J1803" t="n">
        <v>0</v>
      </c>
      <c r="K1803" t="n">
        <v>0</v>
      </c>
      <c r="L1803" t="n">
        <v>0</v>
      </c>
      <c r="M1803" t="n">
        <v>0</v>
      </c>
      <c r="N1803" t="n">
        <v>0</v>
      </c>
      <c r="O1803" t="n">
        <v>0</v>
      </c>
      <c r="P1803" t="n">
        <v>0</v>
      </c>
      <c r="Q1803" t="n">
        <v>0</v>
      </c>
      <c r="R1803" s="2" t="inlineStr"/>
    </row>
    <row r="1804" ht="15" customHeight="1">
      <c r="A1804" t="inlineStr">
        <is>
          <t>A 27450-2025</t>
        </is>
      </c>
      <c r="B1804" s="1" t="n">
        <v>45813.33738425926</v>
      </c>
      <c r="C1804" s="1" t="n">
        <v>45976</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27470-2025</t>
        </is>
      </c>
      <c r="B1805" s="1" t="n">
        <v>45813.36284722222</v>
      </c>
      <c r="C1805" s="1" t="n">
        <v>45976</v>
      </c>
      <c r="D1805" t="inlineStr">
        <is>
          <t>VÄRMLANDS LÄN</t>
        </is>
      </c>
      <c r="E1805" t="inlineStr">
        <is>
          <t>TORSBY</t>
        </is>
      </c>
      <c r="G1805" t="n">
        <v>17.9</v>
      </c>
      <c r="H1805" t="n">
        <v>0</v>
      </c>
      <c r="I1805" t="n">
        <v>0</v>
      </c>
      <c r="J1805" t="n">
        <v>0</v>
      </c>
      <c r="K1805" t="n">
        <v>0</v>
      </c>
      <c r="L1805" t="n">
        <v>0</v>
      </c>
      <c r="M1805" t="n">
        <v>0</v>
      </c>
      <c r="N1805" t="n">
        <v>0</v>
      </c>
      <c r="O1805" t="n">
        <v>0</v>
      </c>
      <c r="P1805" t="n">
        <v>0</v>
      </c>
      <c r="Q1805" t="n">
        <v>0</v>
      </c>
      <c r="R1805" s="2" t="inlineStr"/>
    </row>
    <row r="1806" ht="15" customHeight="1">
      <c r="A1806" t="inlineStr">
        <is>
          <t>A 27291-2025</t>
        </is>
      </c>
      <c r="B1806" s="1" t="n">
        <v>45812.55769675926</v>
      </c>
      <c r="C1806" s="1" t="n">
        <v>45976</v>
      </c>
      <c r="D1806" t="inlineStr">
        <is>
          <t>VÄRMLANDS LÄN</t>
        </is>
      </c>
      <c r="E1806" t="inlineStr">
        <is>
          <t>TORSBY</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54462-2025</t>
        </is>
      </c>
      <c r="B1807" s="1" t="n">
        <v>45964</v>
      </c>
      <c r="C1807" s="1" t="n">
        <v>45976</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36700-2021</t>
        </is>
      </c>
      <c r="B1808" s="1" t="n">
        <v>44392</v>
      </c>
      <c r="C1808" s="1" t="n">
        <v>45976</v>
      </c>
      <c r="D1808" t="inlineStr">
        <is>
          <t>VÄRMLANDS LÄN</t>
        </is>
      </c>
      <c r="E1808" t="inlineStr">
        <is>
          <t>TORSBY</t>
        </is>
      </c>
      <c r="F1808" t="inlineStr">
        <is>
          <t>Bergvik skog väst AB</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56033-2025</t>
        </is>
      </c>
      <c r="B1809" s="1" t="n">
        <v>45973.6066087963</v>
      </c>
      <c r="C1809" s="1" t="n">
        <v>45976</v>
      </c>
      <c r="D1809" t="inlineStr">
        <is>
          <t>VÄRMLANDS LÄN</t>
        </is>
      </c>
      <c r="E1809" t="inlineStr">
        <is>
          <t>TORSBY</t>
        </is>
      </c>
      <c r="F1809" t="inlineStr">
        <is>
          <t>Bergvik skog väst AB</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47494-2025</t>
        </is>
      </c>
      <c r="B1810" s="1" t="n">
        <v>45930.78428240741</v>
      </c>
      <c r="C1810" s="1" t="n">
        <v>45976</v>
      </c>
      <c r="D1810" t="inlineStr">
        <is>
          <t>VÄRMLANDS LÄN</t>
        </is>
      </c>
      <c r="E1810" t="inlineStr">
        <is>
          <t>TORSBY</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47495-2025</t>
        </is>
      </c>
      <c r="B1811" s="1" t="n">
        <v>45930.79185185185</v>
      </c>
      <c r="C1811" s="1" t="n">
        <v>45976</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27174-2025</t>
        </is>
      </c>
      <c r="B1812" s="1" t="n">
        <v>45812.34997685185</v>
      </c>
      <c r="C1812" s="1" t="n">
        <v>45976</v>
      </c>
      <c r="D1812" t="inlineStr">
        <is>
          <t>VÄRMLANDS LÄN</t>
        </is>
      </c>
      <c r="E1812" t="inlineStr">
        <is>
          <t>TORSBY</t>
        </is>
      </c>
      <c r="F1812" t="inlineStr">
        <is>
          <t>Kyrkan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25163-2023</t>
        </is>
      </c>
      <c r="B1813" s="1" t="n">
        <v>45086</v>
      </c>
      <c r="C1813" s="1" t="n">
        <v>45976</v>
      </c>
      <c r="D1813" t="inlineStr">
        <is>
          <t>VÄRMLANDS LÄN</t>
        </is>
      </c>
      <c r="E1813" t="inlineStr">
        <is>
          <t>TORSBY</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27759-2025</t>
        </is>
      </c>
      <c r="B1814" s="1" t="n">
        <v>45816.48986111111</v>
      </c>
      <c r="C1814" s="1" t="n">
        <v>45976</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47651-2024</t>
        </is>
      </c>
      <c r="B1815" s="1" t="n">
        <v>45588</v>
      </c>
      <c r="C1815" s="1" t="n">
        <v>45976</v>
      </c>
      <c r="D1815" t="inlineStr">
        <is>
          <t>VÄRMLANDS LÄN</t>
        </is>
      </c>
      <c r="E1815" t="inlineStr">
        <is>
          <t>TORSBY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61367-2022</t>
        </is>
      </c>
      <c r="B1816" s="1" t="n">
        <v>44915.82997685186</v>
      </c>
      <c r="C1816" s="1" t="n">
        <v>45976</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27863-2025</t>
        </is>
      </c>
      <c r="B1817" s="1" t="n">
        <v>45817.42118055555</v>
      </c>
      <c r="C1817" s="1" t="n">
        <v>45976</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55664-2025</t>
        </is>
      </c>
      <c r="B1818" s="1" t="n">
        <v>45972.39621527777</v>
      </c>
      <c r="C1818" s="1" t="n">
        <v>45976</v>
      </c>
      <c r="D1818" t="inlineStr">
        <is>
          <t>VÄRMLANDS LÄN</t>
        </is>
      </c>
      <c r="E1818" t="inlineStr">
        <is>
          <t>TORSBY</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27730-2025</t>
        </is>
      </c>
      <c r="B1819" s="1" t="n">
        <v>45814</v>
      </c>
      <c r="C1819" s="1" t="n">
        <v>45976</v>
      </c>
      <c r="D1819" t="inlineStr">
        <is>
          <t>VÄRMLANDS LÄN</t>
        </is>
      </c>
      <c r="E1819" t="inlineStr">
        <is>
          <t>TORSBY</t>
        </is>
      </c>
      <c r="F1819" t="inlineStr">
        <is>
          <t>Bergvik skog väst AB</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30110-2023</t>
        </is>
      </c>
      <c r="B1820" s="1" t="n">
        <v>45110</v>
      </c>
      <c r="C1820" s="1" t="n">
        <v>45976</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44340-2022</t>
        </is>
      </c>
      <c r="B1821" s="1" t="n">
        <v>44838</v>
      </c>
      <c r="C1821" s="1" t="n">
        <v>45976</v>
      </c>
      <c r="D1821" t="inlineStr">
        <is>
          <t>VÄRMLANDS LÄN</t>
        </is>
      </c>
      <c r="E1821" t="inlineStr">
        <is>
          <t>TORSBY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27968-2025</t>
        </is>
      </c>
      <c r="B1822" s="1" t="n">
        <v>45817.55846064815</v>
      </c>
      <c r="C1822" s="1" t="n">
        <v>45976</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27856-2025</t>
        </is>
      </c>
      <c r="B1823" s="1" t="n">
        <v>45817.41006944444</v>
      </c>
      <c r="C1823" s="1" t="n">
        <v>45976</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47736-2025</t>
        </is>
      </c>
      <c r="B1824" s="1" t="n">
        <v>45931.63822916667</v>
      </c>
      <c r="C1824" s="1" t="n">
        <v>45976</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24493-2024</t>
        </is>
      </c>
      <c r="B1825" s="1" t="n">
        <v>45459.72136574074</v>
      </c>
      <c r="C1825" s="1" t="n">
        <v>45976</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49206-2022</t>
        </is>
      </c>
      <c r="B1826" s="1" t="n">
        <v>44860.95984953704</v>
      </c>
      <c r="C1826" s="1" t="n">
        <v>45976</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27906-2025</t>
        </is>
      </c>
      <c r="B1827" s="1" t="n">
        <v>45817.47108796296</v>
      </c>
      <c r="C1827" s="1" t="n">
        <v>45976</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27962-2025</t>
        </is>
      </c>
      <c r="B1828" s="1" t="n">
        <v>45817.54878472222</v>
      </c>
      <c r="C1828" s="1" t="n">
        <v>45976</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20255-2025</t>
        </is>
      </c>
      <c r="B1829" s="1" t="n">
        <v>45772.9009375</v>
      </c>
      <c r="C1829" s="1" t="n">
        <v>45976</v>
      </c>
      <c r="D1829" t="inlineStr">
        <is>
          <t>VÄRMLANDS LÄN</t>
        </is>
      </c>
      <c r="E1829" t="inlineStr">
        <is>
          <t>TORSBY</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18101-2022</t>
        </is>
      </c>
      <c r="B1830" s="1" t="n">
        <v>44684</v>
      </c>
      <c r="C1830" s="1" t="n">
        <v>45976</v>
      </c>
      <c r="D1830" t="inlineStr">
        <is>
          <t>VÄRMLANDS LÄN</t>
        </is>
      </c>
      <c r="E1830" t="inlineStr">
        <is>
          <t>TORSBY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56263-2025</t>
        </is>
      </c>
      <c r="B1831" s="1" t="n">
        <v>45974.57358796296</v>
      </c>
      <c r="C1831" s="1" t="n">
        <v>45976</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27758-2025</t>
        </is>
      </c>
      <c r="B1832" s="1" t="n">
        <v>45816</v>
      </c>
      <c r="C1832" s="1" t="n">
        <v>45976</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48020-2025</t>
        </is>
      </c>
      <c r="B1833" s="1" t="n">
        <v>45932</v>
      </c>
      <c r="C1833" s="1" t="n">
        <v>45976</v>
      </c>
      <c r="D1833" t="inlineStr">
        <is>
          <t>VÄRMLANDS LÄN</t>
        </is>
      </c>
      <c r="E1833" t="inlineStr">
        <is>
          <t>TORSBY</t>
        </is>
      </c>
      <c r="F1833" t="inlineStr">
        <is>
          <t>Bergvik skog väst AB</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27728-2025</t>
        </is>
      </c>
      <c r="B1834" s="1" t="n">
        <v>45814</v>
      </c>
      <c r="C1834" s="1" t="n">
        <v>45976</v>
      </c>
      <c r="D1834" t="inlineStr">
        <is>
          <t>VÄRMLANDS LÄN</t>
        </is>
      </c>
      <c r="E1834" t="inlineStr">
        <is>
          <t>TORSBY</t>
        </is>
      </c>
      <c r="F1834" t="inlineStr">
        <is>
          <t>Bergvik skog väst AB</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28214-2025</t>
        </is>
      </c>
      <c r="B1835" s="1" t="n">
        <v>45818</v>
      </c>
      <c r="C1835" s="1" t="n">
        <v>45976</v>
      </c>
      <c r="D1835" t="inlineStr">
        <is>
          <t>VÄRMLANDS LÄN</t>
        </is>
      </c>
      <c r="E1835" t="inlineStr">
        <is>
          <t>TORSBY</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48375-2025</t>
        </is>
      </c>
      <c r="B1836" s="1" t="n">
        <v>45933.71201388889</v>
      </c>
      <c r="C1836" s="1" t="n">
        <v>45976</v>
      </c>
      <c r="D1836" t="inlineStr">
        <is>
          <t>VÄRMLANDS LÄN</t>
        </is>
      </c>
      <c r="E1836" t="inlineStr">
        <is>
          <t>TORSBY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21076-2023</t>
        </is>
      </c>
      <c r="B1837" s="1" t="n">
        <v>45061</v>
      </c>
      <c r="C1837" s="1" t="n">
        <v>45976</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56130-2025</t>
        </is>
      </c>
      <c r="B1838" s="1" t="n">
        <v>45973</v>
      </c>
      <c r="C1838" s="1" t="n">
        <v>45976</v>
      </c>
      <c r="D1838" t="inlineStr">
        <is>
          <t>VÄRMLANDS LÄN</t>
        </is>
      </c>
      <c r="E1838" t="inlineStr">
        <is>
          <t>TORSBY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48202-2025</t>
        </is>
      </c>
      <c r="B1839" s="1" t="n">
        <v>45933.48121527778</v>
      </c>
      <c r="C1839" s="1" t="n">
        <v>45976</v>
      </c>
      <c r="D1839" t="inlineStr">
        <is>
          <t>VÄRMLANDS LÄN</t>
        </is>
      </c>
      <c r="E1839" t="inlineStr">
        <is>
          <t>TORSBY</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55622-2025</t>
        </is>
      </c>
      <c r="B1840" s="1" t="n">
        <v>45971</v>
      </c>
      <c r="C1840" s="1" t="n">
        <v>45976</v>
      </c>
      <c r="D1840" t="inlineStr">
        <is>
          <t>VÄRMLANDS LÄN</t>
        </is>
      </c>
      <c r="E1840" t="inlineStr">
        <is>
          <t>TORSBY</t>
        </is>
      </c>
      <c r="F1840" t="inlineStr">
        <is>
          <t>Kyrkan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18244-2023</t>
        </is>
      </c>
      <c r="B1841" s="1" t="n">
        <v>45041</v>
      </c>
      <c r="C1841" s="1" t="n">
        <v>45976</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28116-2025</t>
        </is>
      </c>
      <c r="B1842" s="1" t="n">
        <v>45818.28697916667</v>
      </c>
      <c r="C1842" s="1" t="n">
        <v>45976</v>
      </c>
      <c r="D1842" t="inlineStr">
        <is>
          <t>VÄRMLANDS LÄN</t>
        </is>
      </c>
      <c r="E1842" t="inlineStr">
        <is>
          <t>TORSBY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28117-2025</t>
        </is>
      </c>
      <c r="B1843" s="1" t="n">
        <v>45818</v>
      </c>
      <c r="C1843" s="1" t="n">
        <v>45976</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28118-2025</t>
        </is>
      </c>
      <c r="B1844" s="1" t="n">
        <v>45818</v>
      </c>
      <c r="C1844" s="1" t="n">
        <v>45976</v>
      </c>
      <c r="D1844" t="inlineStr">
        <is>
          <t>VÄRMLANDS LÄN</t>
        </is>
      </c>
      <c r="E1844" t="inlineStr">
        <is>
          <t>TORSBY</t>
        </is>
      </c>
      <c r="F1844" t="inlineStr">
        <is>
          <t>Bergvik skog väst AB</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56258-2025</t>
        </is>
      </c>
      <c r="B1845" s="1" t="n">
        <v>45974.56655092593</v>
      </c>
      <c r="C1845" s="1" t="n">
        <v>45976</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28612-2025</t>
        </is>
      </c>
      <c r="B1846" s="1" t="n">
        <v>45819</v>
      </c>
      <c r="C1846" s="1" t="n">
        <v>45976</v>
      </c>
      <c r="D1846" t="inlineStr">
        <is>
          <t>VÄRMLANDS LÄN</t>
        </is>
      </c>
      <c r="E1846" t="inlineStr">
        <is>
          <t>TORSBY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28511-2025</t>
        </is>
      </c>
      <c r="B1847" s="1" t="n">
        <v>45819</v>
      </c>
      <c r="C1847" s="1" t="n">
        <v>45976</v>
      </c>
      <c r="D1847" t="inlineStr">
        <is>
          <t>VÄRMLANDS LÄN</t>
        </is>
      </c>
      <c r="E1847" t="inlineStr">
        <is>
          <t>TORSBY</t>
        </is>
      </c>
      <c r="F1847" t="inlineStr">
        <is>
          <t>Bergvik skog väst AB</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28380-2025</t>
        </is>
      </c>
      <c r="B1848" s="1" t="n">
        <v>45819.30581018519</v>
      </c>
      <c r="C1848" s="1" t="n">
        <v>45976</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28765-2025</t>
        </is>
      </c>
      <c r="B1849" s="1" t="n">
        <v>45820.41982638889</v>
      </c>
      <c r="C1849" s="1" t="n">
        <v>45976</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28791-2025</t>
        </is>
      </c>
      <c r="B1850" s="1" t="n">
        <v>45820</v>
      </c>
      <c r="C1850" s="1" t="n">
        <v>45976</v>
      </c>
      <c r="D1850" t="inlineStr">
        <is>
          <t>VÄRMLANDS LÄN</t>
        </is>
      </c>
      <c r="E1850" t="inlineStr">
        <is>
          <t>TORSBY</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20968-2024</t>
        </is>
      </c>
      <c r="B1851" s="1" t="n">
        <v>45439</v>
      </c>
      <c r="C1851" s="1" t="n">
        <v>45976</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28774-2025</t>
        </is>
      </c>
      <c r="B1852" s="1" t="n">
        <v>45820.4434375</v>
      </c>
      <c r="C1852" s="1" t="n">
        <v>45976</v>
      </c>
      <c r="D1852" t="inlineStr">
        <is>
          <t>VÄRMLANDS LÄN</t>
        </is>
      </c>
      <c r="E1852" t="inlineStr">
        <is>
          <t>TORSBY</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19148-2025</t>
        </is>
      </c>
      <c r="B1853" s="1" t="n">
        <v>45769</v>
      </c>
      <c r="C1853" s="1" t="n">
        <v>45976</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28898-2025</t>
        </is>
      </c>
      <c r="B1854" s="1" t="n">
        <v>45820.63644675926</v>
      </c>
      <c r="C1854" s="1" t="n">
        <v>45976</v>
      </c>
      <c r="D1854" t="inlineStr">
        <is>
          <t>VÄRMLANDS LÄN</t>
        </is>
      </c>
      <c r="E1854" t="inlineStr">
        <is>
          <t>TORSBY</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29071-2025</t>
        </is>
      </c>
      <c r="B1855" s="1" t="n">
        <v>45821</v>
      </c>
      <c r="C1855" s="1" t="n">
        <v>45976</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28761-2025</t>
        </is>
      </c>
      <c r="B1856" s="1" t="n">
        <v>45820.41648148148</v>
      </c>
      <c r="C1856" s="1" t="n">
        <v>45976</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28939-2025</t>
        </is>
      </c>
      <c r="B1857" s="1" t="n">
        <v>45820.71350694444</v>
      </c>
      <c r="C1857" s="1" t="n">
        <v>45976</v>
      </c>
      <c r="D1857" t="inlineStr">
        <is>
          <t>VÄRMLANDS LÄN</t>
        </is>
      </c>
      <c r="E1857" t="inlineStr">
        <is>
          <t>TORSBY</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29063-2025</t>
        </is>
      </c>
      <c r="B1858" s="1" t="n">
        <v>45821</v>
      </c>
      <c r="C1858" s="1" t="n">
        <v>45976</v>
      </c>
      <c r="D1858" t="inlineStr">
        <is>
          <t>VÄRMLANDS LÄN</t>
        </is>
      </c>
      <c r="E1858" t="inlineStr">
        <is>
          <t>TORSBY</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28784-2025</t>
        </is>
      </c>
      <c r="B1859" s="1" t="n">
        <v>45820</v>
      </c>
      <c r="C1859" s="1" t="n">
        <v>45976</v>
      </c>
      <c r="D1859" t="inlineStr">
        <is>
          <t>VÄRMLANDS LÄN</t>
        </is>
      </c>
      <c r="E1859" t="inlineStr">
        <is>
          <t>TORSBY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56129-2025</t>
        </is>
      </c>
      <c r="B1860" s="1" t="n">
        <v>45973</v>
      </c>
      <c r="C1860" s="1" t="n">
        <v>45976</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54452-2022</t>
        </is>
      </c>
      <c r="B1861" s="1" t="n">
        <v>44880</v>
      </c>
      <c r="C1861" s="1" t="n">
        <v>45976</v>
      </c>
      <c r="D1861" t="inlineStr">
        <is>
          <t>VÄRMLANDS LÄN</t>
        </is>
      </c>
      <c r="E1861" t="inlineStr">
        <is>
          <t>TORSBY</t>
        </is>
      </c>
      <c r="F1861" t="inlineStr">
        <is>
          <t>Kyrkan</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29512-2025</t>
        </is>
      </c>
      <c r="B1862" s="1" t="n">
        <v>45825.31002314815</v>
      </c>
      <c r="C1862" s="1" t="n">
        <v>45976</v>
      </c>
      <c r="D1862" t="inlineStr">
        <is>
          <t>VÄRMLANDS LÄN</t>
        </is>
      </c>
      <c r="E1862" t="inlineStr">
        <is>
          <t>TORSBY</t>
        </is>
      </c>
      <c r="F1862" t="inlineStr">
        <is>
          <t>Bergvik skog väst AB</t>
        </is>
      </c>
      <c r="G1862" t="n">
        <v>17.9</v>
      </c>
      <c r="H1862" t="n">
        <v>0</v>
      </c>
      <c r="I1862" t="n">
        <v>0</v>
      </c>
      <c r="J1862" t="n">
        <v>0</v>
      </c>
      <c r="K1862" t="n">
        <v>0</v>
      </c>
      <c r="L1862" t="n">
        <v>0</v>
      </c>
      <c r="M1862" t="n">
        <v>0</v>
      </c>
      <c r="N1862" t="n">
        <v>0</v>
      </c>
      <c r="O1862" t="n">
        <v>0</v>
      </c>
      <c r="P1862" t="n">
        <v>0</v>
      </c>
      <c r="Q1862" t="n">
        <v>0</v>
      </c>
      <c r="R1862" s="2" t="inlineStr"/>
    </row>
    <row r="1863" ht="15" customHeight="1">
      <c r="A1863" t="inlineStr">
        <is>
          <t>A 41843-2023</t>
        </is>
      </c>
      <c r="B1863" s="1" t="n">
        <v>45176.60533564815</v>
      </c>
      <c r="C1863" s="1" t="n">
        <v>45976</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47927-2025</t>
        </is>
      </c>
      <c r="B1864" s="1" t="n">
        <v>45932.54604166667</v>
      </c>
      <c r="C1864" s="1" t="n">
        <v>45976</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56299-2025</t>
        </is>
      </c>
      <c r="B1865" s="1" t="n">
        <v>45974.60555555556</v>
      </c>
      <c r="C1865" s="1" t="n">
        <v>45976</v>
      </c>
      <c r="D1865" t="inlineStr">
        <is>
          <t>VÄRMLANDS LÄN</t>
        </is>
      </c>
      <c r="E1865" t="inlineStr">
        <is>
          <t>TORSBY</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41264-2022</t>
        </is>
      </c>
      <c r="B1866" s="1" t="n">
        <v>44823</v>
      </c>
      <c r="C1866" s="1" t="n">
        <v>45976</v>
      </c>
      <c r="D1866" t="inlineStr">
        <is>
          <t>VÄRMLANDS LÄN</t>
        </is>
      </c>
      <c r="E1866" t="inlineStr">
        <is>
          <t>TORSBY</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29312-2025</t>
        </is>
      </c>
      <c r="B1867" s="1" t="n">
        <v>45824</v>
      </c>
      <c r="C1867" s="1" t="n">
        <v>45976</v>
      </c>
      <c r="D1867" t="inlineStr">
        <is>
          <t>VÄRMLANDS LÄN</t>
        </is>
      </c>
      <c r="E1867" t="inlineStr">
        <is>
          <t>TORSBY</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64902-2021</t>
        </is>
      </c>
      <c r="B1868" s="1" t="n">
        <v>44512.64336805556</v>
      </c>
      <c r="C1868" s="1" t="n">
        <v>45976</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48214-2025</t>
        </is>
      </c>
      <c r="B1869" s="1" t="n">
        <v>45933.49465277778</v>
      </c>
      <c r="C1869" s="1" t="n">
        <v>45976</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29251-2025</t>
        </is>
      </c>
      <c r="B1870" s="1" t="n">
        <v>45824</v>
      </c>
      <c r="C1870" s="1" t="n">
        <v>45976</v>
      </c>
      <c r="D1870" t="inlineStr">
        <is>
          <t>VÄRMLANDS LÄN</t>
        </is>
      </c>
      <c r="E1870" t="inlineStr">
        <is>
          <t>TORSBY</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61546-2024</t>
        </is>
      </c>
      <c r="B1871" s="1" t="n">
        <v>45645</v>
      </c>
      <c r="C1871" s="1" t="n">
        <v>45976</v>
      </c>
      <c r="D1871" t="inlineStr">
        <is>
          <t>VÄRMLANDS LÄN</t>
        </is>
      </c>
      <c r="E1871" t="inlineStr">
        <is>
          <t>TORSBY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29587-2025</t>
        </is>
      </c>
      <c r="B1872" s="1" t="n">
        <v>45825.39394675926</v>
      </c>
      <c r="C1872" s="1" t="n">
        <v>45976</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276-2024</t>
        </is>
      </c>
      <c r="B1873" s="1" t="n">
        <v>45295</v>
      </c>
      <c r="C1873" s="1" t="n">
        <v>45976</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29650-2025</t>
        </is>
      </c>
      <c r="B1874" s="1" t="n">
        <v>45825.47546296296</v>
      </c>
      <c r="C1874" s="1" t="n">
        <v>45976</v>
      </c>
      <c r="D1874" t="inlineStr">
        <is>
          <t>VÄRMLANDS LÄN</t>
        </is>
      </c>
      <c r="E1874" t="inlineStr">
        <is>
          <t>TORSBY</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28757-2025</t>
        </is>
      </c>
      <c r="B1875" s="1" t="n">
        <v>45820</v>
      </c>
      <c r="C1875" s="1" t="n">
        <v>45976</v>
      </c>
      <c r="D1875" t="inlineStr">
        <is>
          <t>VÄRMLANDS LÄN</t>
        </is>
      </c>
      <c r="E1875" t="inlineStr">
        <is>
          <t>TORSBY</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29641-2025</t>
        </is>
      </c>
      <c r="B1876" s="1" t="n">
        <v>45825.46285879629</v>
      </c>
      <c r="C1876" s="1" t="n">
        <v>45976</v>
      </c>
      <c r="D1876" t="inlineStr">
        <is>
          <t>VÄRMLANDS LÄN</t>
        </is>
      </c>
      <c r="E1876" t="inlineStr">
        <is>
          <t>TORSBY</t>
        </is>
      </c>
      <c r="G1876" t="n">
        <v>23.4</v>
      </c>
      <c r="H1876" t="n">
        <v>0</v>
      </c>
      <c r="I1876" t="n">
        <v>0</v>
      </c>
      <c r="J1876" t="n">
        <v>0</v>
      </c>
      <c r="K1876" t="n">
        <v>0</v>
      </c>
      <c r="L1876" t="n">
        <v>0</v>
      </c>
      <c r="M1876" t="n">
        <v>0</v>
      </c>
      <c r="N1876" t="n">
        <v>0</v>
      </c>
      <c r="O1876" t="n">
        <v>0</v>
      </c>
      <c r="P1876" t="n">
        <v>0</v>
      </c>
      <c r="Q1876" t="n">
        <v>0</v>
      </c>
      <c r="R1876" s="2" t="inlineStr"/>
    </row>
    <row r="1877" ht="15" customHeight="1">
      <c r="A1877" t="inlineStr">
        <is>
          <t>A 57071-2022</t>
        </is>
      </c>
      <c r="B1877" s="1" t="n">
        <v>44895.42334490741</v>
      </c>
      <c r="C1877" s="1" t="n">
        <v>45976</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29307-2025</t>
        </is>
      </c>
      <c r="B1878" s="1" t="n">
        <v>45824</v>
      </c>
      <c r="C1878" s="1" t="n">
        <v>45976</v>
      </c>
      <c r="D1878" t="inlineStr">
        <is>
          <t>VÄRMLANDS LÄN</t>
        </is>
      </c>
      <c r="E1878" t="inlineStr">
        <is>
          <t>TORSBY</t>
        </is>
      </c>
      <c r="F1878" t="inlineStr">
        <is>
          <t>Övriga Aktiebolag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29403-2025</t>
        </is>
      </c>
      <c r="B1879" s="1" t="n">
        <v>45824.61469907407</v>
      </c>
      <c r="C1879" s="1" t="n">
        <v>45976</v>
      </c>
      <c r="D1879" t="inlineStr">
        <is>
          <t>VÄRMLANDS LÄN</t>
        </is>
      </c>
      <c r="E1879" t="inlineStr">
        <is>
          <t>TORSBY</t>
        </is>
      </c>
      <c r="F1879" t="inlineStr">
        <is>
          <t>Bergvik skog väst AB</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29702-2025</t>
        </is>
      </c>
      <c r="B1880" s="1" t="n">
        <v>45825.55667824074</v>
      </c>
      <c r="C1880" s="1" t="n">
        <v>45976</v>
      </c>
      <c r="D1880" t="inlineStr">
        <is>
          <t>VÄRMLANDS LÄN</t>
        </is>
      </c>
      <c r="E1880" t="inlineStr">
        <is>
          <t>TORSBY</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56575-2025</t>
        </is>
      </c>
      <c r="B1881" s="1" t="n">
        <v>45975.52796296297</v>
      </c>
      <c r="C1881" s="1" t="n">
        <v>45976</v>
      </c>
      <c r="D1881" t="inlineStr">
        <is>
          <t>VÄRMLANDS LÄN</t>
        </is>
      </c>
      <c r="E1881" t="inlineStr">
        <is>
          <t>TORSBY</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11135-2024</t>
        </is>
      </c>
      <c r="B1882" s="1" t="n">
        <v>45371</v>
      </c>
      <c r="C1882" s="1" t="n">
        <v>45976</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48180-2025</t>
        </is>
      </c>
      <c r="B1883" s="1" t="n">
        <v>45933.45245370371</v>
      </c>
      <c r="C1883" s="1" t="n">
        <v>45976</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21258-2023</t>
        </is>
      </c>
      <c r="B1884" s="1" t="n">
        <v>45058</v>
      </c>
      <c r="C1884" s="1" t="n">
        <v>45976</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30078-2025</t>
        </is>
      </c>
      <c r="B1885" s="1" t="n">
        <v>45826.64291666666</v>
      </c>
      <c r="C1885" s="1" t="n">
        <v>45976</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53988-2022</t>
        </is>
      </c>
      <c r="B1886" s="1" t="n">
        <v>44876</v>
      </c>
      <c r="C1886" s="1" t="n">
        <v>45976</v>
      </c>
      <c r="D1886" t="inlineStr">
        <is>
          <t>VÄRMLANDS LÄN</t>
        </is>
      </c>
      <c r="E1886" t="inlineStr">
        <is>
          <t>TORSBY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30433-2025</t>
        </is>
      </c>
      <c r="B1887" s="1" t="n">
        <v>45827</v>
      </c>
      <c r="C1887" s="1" t="n">
        <v>45976</v>
      </c>
      <c r="D1887" t="inlineStr">
        <is>
          <t>VÄRMLANDS LÄN</t>
        </is>
      </c>
      <c r="E1887" t="inlineStr">
        <is>
          <t>TORSBY</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56098-2025</t>
        </is>
      </c>
      <c r="B1888" s="1" t="n">
        <v>45973</v>
      </c>
      <c r="C1888" s="1" t="n">
        <v>45976</v>
      </c>
      <c r="D1888" t="inlineStr">
        <is>
          <t>VÄRMLANDS LÄN</t>
        </is>
      </c>
      <c r="E1888" t="inlineStr">
        <is>
          <t>TORSBY</t>
        </is>
      </c>
      <c r="F1888" t="inlineStr">
        <is>
          <t>Kyrkan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61128-2022</t>
        </is>
      </c>
      <c r="B1889" s="1" t="n">
        <v>44915.4455787037</v>
      </c>
      <c r="C1889" s="1" t="n">
        <v>45976</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30074-2025</t>
        </is>
      </c>
      <c r="B1890" s="1" t="n">
        <v>45826.63672453703</v>
      </c>
      <c r="C1890" s="1" t="n">
        <v>45976</v>
      </c>
      <c r="D1890" t="inlineStr">
        <is>
          <t>VÄRMLANDS LÄN</t>
        </is>
      </c>
      <c r="E1890" t="inlineStr">
        <is>
          <t>TORSBY</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56187-2025</t>
        </is>
      </c>
      <c r="B1891" s="1" t="n">
        <v>45974.42451388889</v>
      </c>
      <c r="C1891" s="1" t="n">
        <v>45976</v>
      </c>
      <c r="D1891" t="inlineStr">
        <is>
          <t>VÄRMLANDS LÄN</t>
        </is>
      </c>
      <c r="E1891" t="inlineStr">
        <is>
          <t>TORSBY</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30380-2025</t>
        </is>
      </c>
      <c r="B1892" s="1" t="n">
        <v>45827</v>
      </c>
      <c r="C1892" s="1" t="n">
        <v>45976</v>
      </c>
      <c r="D1892" t="inlineStr">
        <is>
          <t>VÄRMLANDS LÄN</t>
        </is>
      </c>
      <c r="E1892" t="inlineStr">
        <is>
          <t>TORSBY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30199-2025</t>
        </is>
      </c>
      <c r="B1893" s="1" t="n">
        <v>45827</v>
      </c>
      <c r="C1893" s="1" t="n">
        <v>45976</v>
      </c>
      <c r="D1893" t="inlineStr">
        <is>
          <t>VÄRMLANDS LÄN</t>
        </is>
      </c>
      <c r="E1893" t="inlineStr">
        <is>
          <t>TORSBY</t>
        </is>
      </c>
      <c r="F1893" t="inlineStr">
        <is>
          <t>Bergvik skog väst AB</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21390-2023</t>
        </is>
      </c>
      <c r="B1894" s="1" t="n">
        <v>45063</v>
      </c>
      <c r="C1894" s="1" t="n">
        <v>45976</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30377-2025</t>
        </is>
      </c>
      <c r="B1895" s="1" t="n">
        <v>45827</v>
      </c>
      <c r="C1895" s="1" t="n">
        <v>45976</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30388-2025</t>
        </is>
      </c>
      <c r="B1896" s="1" t="n">
        <v>45827.5734837963</v>
      </c>
      <c r="C1896" s="1" t="n">
        <v>45976</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30153-2025</t>
        </is>
      </c>
      <c r="B1897" s="1" t="n">
        <v>45827.31736111111</v>
      </c>
      <c r="C1897" s="1" t="n">
        <v>45976</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7215-2025</t>
        </is>
      </c>
      <c r="B1898" s="1" t="n">
        <v>45702</v>
      </c>
      <c r="C1898" s="1" t="n">
        <v>45976</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69628-2020</t>
        </is>
      </c>
      <c r="B1899" s="1" t="n">
        <v>44195</v>
      </c>
      <c r="C1899" s="1" t="n">
        <v>45976</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30026-2025</t>
        </is>
      </c>
      <c r="B1900" s="1" t="n">
        <v>45826.5637037037</v>
      </c>
      <c r="C1900" s="1" t="n">
        <v>45976</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56101-2024</t>
        </is>
      </c>
      <c r="B1901" s="1" t="n">
        <v>45624</v>
      </c>
      <c r="C1901" s="1" t="n">
        <v>45976</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6121-2021</t>
        </is>
      </c>
      <c r="B1902" s="1" t="n">
        <v>44232</v>
      </c>
      <c r="C1902" s="1" t="n">
        <v>45976</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30151-2025</t>
        </is>
      </c>
      <c r="B1903" s="1" t="n">
        <v>45827</v>
      </c>
      <c r="C1903" s="1" t="n">
        <v>45976</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30214-2025</t>
        </is>
      </c>
      <c r="B1904" s="1" t="n">
        <v>45827</v>
      </c>
      <c r="C1904" s="1" t="n">
        <v>45976</v>
      </c>
      <c r="D1904" t="inlineStr">
        <is>
          <t>VÄRMLANDS LÄN</t>
        </is>
      </c>
      <c r="E1904" t="inlineStr">
        <is>
          <t>TORSBY</t>
        </is>
      </c>
      <c r="F1904" t="inlineStr">
        <is>
          <t>Bergvik skog väst AB</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45849-2024</t>
        </is>
      </c>
      <c r="B1905" s="1" t="n">
        <v>45580</v>
      </c>
      <c r="C1905" s="1" t="n">
        <v>45976</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41781-2022</t>
        </is>
      </c>
      <c r="B1906" s="1" t="n">
        <v>44827.70537037037</v>
      </c>
      <c r="C1906" s="1" t="n">
        <v>45976</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30333-2025</t>
        </is>
      </c>
      <c r="B1907" s="1" t="n">
        <v>45827</v>
      </c>
      <c r="C1907" s="1" t="n">
        <v>45976</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30607-2025</t>
        </is>
      </c>
      <c r="B1908" s="1" t="n">
        <v>45831.4584375</v>
      </c>
      <c r="C1908" s="1" t="n">
        <v>45976</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3387-2025</t>
        </is>
      </c>
      <c r="B1909" s="1" t="n">
        <v>45680</v>
      </c>
      <c r="C1909" s="1" t="n">
        <v>45976</v>
      </c>
      <c r="D1909" t="inlineStr">
        <is>
          <t>VÄRMLANDS LÄN</t>
        </is>
      </c>
      <c r="E1909" t="inlineStr">
        <is>
          <t>TORSBY</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30717-2025</t>
        </is>
      </c>
      <c r="B1910" s="1" t="n">
        <v>45831.56103009259</v>
      </c>
      <c r="C1910" s="1" t="n">
        <v>45976</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45976</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44659-2024</t>
        </is>
      </c>
      <c r="B1912" s="1" t="n">
        <v>45574</v>
      </c>
      <c r="C1912" s="1" t="n">
        <v>45976</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26166-2024</t>
        </is>
      </c>
      <c r="B1913" s="1" t="n">
        <v>45468.55357638889</v>
      </c>
      <c r="C1913" s="1" t="n">
        <v>45976</v>
      </c>
      <c r="D1913" t="inlineStr">
        <is>
          <t>VÄRMLANDS LÄN</t>
        </is>
      </c>
      <c r="E1913" t="inlineStr">
        <is>
          <t>TORSBY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61956-2020</t>
        </is>
      </c>
      <c r="B1914" s="1" t="n">
        <v>44159</v>
      </c>
      <c r="C1914" s="1" t="n">
        <v>45976</v>
      </c>
      <c r="D1914" t="inlineStr">
        <is>
          <t>VÄRMLANDS LÄN</t>
        </is>
      </c>
      <c r="E1914" t="inlineStr">
        <is>
          <t>TORSBY</t>
        </is>
      </c>
      <c r="F1914" t="inlineStr">
        <is>
          <t>Kommuner</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30560-2025</t>
        </is>
      </c>
      <c r="B1915" s="1" t="n">
        <v>45831.39497685185</v>
      </c>
      <c r="C1915" s="1" t="n">
        <v>45976</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30738-2025</t>
        </is>
      </c>
      <c r="B1916" s="1" t="n">
        <v>45831.57583333334</v>
      </c>
      <c r="C1916" s="1" t="n">
        <v>45976</v>
      </c>
      <c r="D1916" t="inlineStr">
        <is>
          <t>VÄRMLANDS LÄN</t>
        </is>
      </c>
      <c r="E1916" t="inlineStr">
        <is>
          <t>TORSBY</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6828-2024</t>
        </is>
      </c>
      <c r="B1917" s="1" t="n">
        <v>45342</v>
      </c>
      <c r="C1917" s="1" t="n">
        <v>45976</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33268-2023</t>
        </is>
      </c>
      <c r="B1918" s="1" t="n">
        <v>45127.58094907407</v>
      </c>
      <c r="C1918" s="1" t="n">
        <v>45976</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50445-2023</t>
        </is>
      </c>
      <c r="B1919" s="1" t="n">
        <v>45216</v>
      </c>
      <c r="C1919" s="1" t="n">
        <v>45976</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31101-2025</t>
        </is>
      </c>
      <c r="B1920" s="1" t="n">
        <v>45832</v>
      </c>
      <c r="C1920" s="1" t="n">
        <v>45976</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22426-2024</t>
        </is>
      </c>
      <c r="B1921" s="1" t="n">
        <v>45446</v>
      </c>
      <c r="C1921" s="1" t="n">
        <v>45976</v>
      </c>
      <c r="D1921" t="inlineStr">
        <is>
          <t>VÄRMLANDS LÄN</t>
        </is>
      </c>
      <c r="E1921" t="inlineStr">
        <is>
          <t>TORSBY</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31547-2025</t>
        </is>
      </c>
      <c r="B1922" s="1" t="n">
        <v>45833.63733796297</v>
      </c>
      <c r="C1922" s="1" t="n">
        <v>45976</v>
      </c>
      <c r="D1922" t="inlineStr">
        <is>
          <t>VÄRMLANDS LÄN</t>
        </is>
      </c>
      <c r="E1922" t="inlineStr">
        <is>
          <t>TORSBY</t>
        </is>
      </c>
      <c r="F1922" t="inlineStr">
        <is>
          <t>Bergvik skog väst AB</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60454-2024</t>
        </is>
      </c>
      <c r="B1923" s="1" t="n">
        <v>45643</v>
      </c>
      <c r="C1923" s="1" t="n">
        <v>45976</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60458-2024</t>
        </is>
      </c>
      <c r="B1924" s="1" t="n">
        <v>45643</v>
      </c>
      <c r="C1924" s="1" t="n">
        <v>45976</v>
      </c>
      <c r="D1924" t="inlineStr">
        <is>
          <t>VÄRMLANDS LÄN</t>
        </is>
      </c>
      <c r="E1924" t="inlineStr">
        <is>
          <t>TORSBY</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31335-2025</t>
        </is>
      </c>
      <c r="B1925" s="1" t="n">
        <v>45833.42608796297</v>
      </c>
      <c r="C1925" s="1" t="n">
        <v>45976</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30974-2025</t>
        </is>
      </c>
      <c r="B1926" s="1" t="n">
        <v>45832.46305555556</v>
      </c>
      <c r="C1926" s="1" t="n">
        <v>45976</v>
      </c>
      <c r="D1926" t="inlineStr">
        <is>
          <t>VÄRMLANDS LÄN</t>
        </is>
      </c>
      <c r="E1926" t="inlineStr">
        <is>
          <t>TORSBY</t>
        </is>
      </c>
      <c r="G1926" t="n">
        <v>29.2</v>
      </c>
      <c r="H1926" t="n">
        <v>0</v>
      </c>
      <c r="I1926" t="n">
        <v>0</v>
      </c>
      <c r="J1926" t="n">
        <v>0</v>
      </c>
      <c r="K1926" t="n">
        <v>0</v>
      </c>
      <c r="L1926" t="n">
        <v>0</v>
      </c>
      <c r="M1926" t="n">
        <v>0</v>
      </c>
      <c r="N1926" t="n">
        <v>0</v>
      </c>
      <c r="O1926" t="n">
        <v>0</v>
      </c>
      <c r="P1926" t="n">
        <v>0</v>
      </c>
      <c r="Q1926" t="n">
        <v>0</v>
      </c>
      <c r="R1926" s="2" t="inlineStr"/>
    </row>
    <row r="1927" ht="15" customHeight="1">
      <c r="A1927" t="inlineStr">
        <is>
          <t>A 31416-2025</t>
        </is>
      </c>
      <c r="B1927" s="1" t="n">
        <v>45833.48278935185</v>
      </c>
      <c r="C1927" s="1" t="n">
        <v>45976</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10587-2024</t>
        </is>
      </c>
      <c r="B1928" s="1" t="n">
        <v>45366</v>
      </c>
      <c r="C1928" s="1" t="n">
        <v>45976</v>
      </c>
      <c r="D1928" t="inlineStr">
        <is>
          <t>VÄRMLANDS LÄN</t>
        </is>
      </c>
      <c r="E1928" t="inlineStr">
        <is>
          <t>TORSBY</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1095-2025</t>
        </is>
      </c>
      <c r="B1929" s="1" t="n">
        <v>45666.63681712963</v>
      </c>
      <c r="C1929" s="1" t="n">
        <v>45976</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53705-2021</t>
        </is>
      </c>
      <c r="B1930" s="1" t="n">
        <v>44469</v>
      </c>
      <c r="C1930" s="1" t="n">
        <v>45976</v>
      </c>
      <c r="D1930" t="inlineStr">
        <is>
          <t>VÄRMLANDS LÄN</t>
        </is>
      </c>
      <c r="E1930" t="inlineStr">
        <is>
          <t>TORSBY</t>
        </is>
      </c>
      <c r="F1930" t="inlineStr">
        <is>
          <t>Kyrkan</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53396-2024</t>
        </is>
      </c>
      <c r="B1931" s="1" t="n">
        <v>45614</v>
      </c>
      <c r="C1931" s="1" t="n">
        <v>45976</v>
      </c>
      <c r="D1931" t="inlineStr">
        <is>
          <t>VÄRMLANDS LÄN</t>
        </is>
      </c>
      <c r="E1931" t="inlineStr">
        <is>
          <t>TORSBY</t>
        </is>
      </c>
      <c r="F1931" t="inlineStr">
        <is>
          <t>Bergvik skog väst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60781-2024</t>
        </is>
      </c>
      <c r="B1932" s="1" t="n">
        <v>45642</v>
      </c>
      <c r="C1932" s="1" t="n">
        <v>45976</v>
      </c>
      <c r="D1932" t="inlineStr">
        <is>
          <t>VÄRMLANDS LÄN</t>
        </is>
      </c>
      <c r="E1932" t="inlineStr">
        <is>
          <t>TORSBY</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32298-2025</t>
        </is>
      </c>
      <c r="B1933" s="1" t="n">
        <v>45835.7144675926</v>
      </c>
      <c r="C1933" s="1" t="n">
        <v>45976</v>
      </c>
      <c r="D1933" t="inlineStr">
        <is>
          <t>VÄRMLANDS LÄN</t>
        </is>
      </c>
      <c r="E1933" t="inlineStr">
        <is>
          <t>TORSBY</t>
        </is>
      </c>
      <c r="G1933" t="n">
        <v>19.2</v>
      </c>
      <c r="H1933" t="n">
        <v>0</v>
      </c>
      <c r="I1933" t="n">
        <v>0</v>
      </c>
      <c r="J1933" t="n">
        <v>0</v>
      </c>
      <c r="K1933" t="n">
        <v>0</v>
      </c>
      <c r="L1933" t="n">
        <v>0</v>
      </c>
      <c r="M1933" t="n">
        <v>0</v>
      </c>
      <c r="N1933" t="n">
        <v>0</v>
      </c>
      <c r="O1933" t="n">
        <v>0</v>
      </c>
      <c r="P1933" t="n">
        <v>0</v>
      </c>
      <c r="Q1933" t="n">
        <v>0</v>
      </c>
      <c r="R1933" s="2" t="inlineStr"/>
    </row>
    <row r="1934" ht="15" customHeight="1">
      <c r="A1934" t="inlineStr">
        <is>
          <t>A 21280-2024</t>
        </is>
      </c>
      <c r="B1934" s="1" t="n">
        <v>45440</v>
      </c>
      <c r="C1934" s="1" t="n">
        <v>45976</v>
      </c>
      <c r="D1934" t="inlineStr">
        <is>
          <t>VÄRMLANDS LÄN</t>
        </is>
      </c>
      <c r="E1934" t="inlineStr">
        <is>
          <t>TORSBY</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36327-2021</t>
        </is>
      </c>
      <c r="B1935" s="1" t="n">
        <v>44390</v>
      </c>
      <c r="C1935" s="1" t="n">
        <v>45976</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27346-2024</t>
        </is>
      </c>
      <c r="B1936" s="1" t="n">
        <v>45473.58984953703</v>
      </c>
      <c r="C1936" s="1" t="n">
        <v>45976</v>
      </c>
      <c r="D1936" t="inlineStr">
        <is>
          <t>VÄRMLANDS LÄN</t>
        </is>
      </c>
      <c r="E1936" t="inlineStr">
        <is>
          <t>TORSBY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27349-2024</t>
        </is>
      </c>
      <c r="B1937" s="1" t="n">
        <v>45473.65679398148</v>
      </c>
      <c r="C1937" s="1" t="n">
        <v>45976</v>
      </c>
      <c r="D1937" t="inlineStr">
        <is>
          <t>VÄRMLANDS LÄN</t>
        </is>
      </c>
      <c r="E1937" t="inlineStr">
        <is>
          <t>TORSBY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31850-2025</t>
        </is>
      </c>
      <c r="B1938" s="1" t="n">
        <v>45834</v>
      </c>
      <c r="C1938" s="1" t="n">
        <v>45976</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44532-2022</t>
        </is>
      </c>
      <c r="B1939" s="1" t="n">
        <v>44840</v>
      </c>
      <c r="C1939" s="1" t="n">
        <v>45976</v>
      </c>
      <c r="D1939" t="inlineStr">
        <is>
          <t>VÄRMLANDS LÄN</t>
        </is>
      </c>
      <c r="E1939" t="inlineStr">
        <is>
          <t>TORSBY</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32084-2025</t>
        </is>
      </c>
      <c r="B1940" s="1" t="n">
        <v>45835.45379629629</v>
      </c>
      <c r="C1940" s="1" t="n">
        <v>45976</v>
      </c>
      <c r="D1940" t="inlineStr">
        <is>
          <t>VÄRMLANDS LÄN</t>
        </is>
      </c>
      <c r="E1940" t="inlineStr">
        <is>
          <t>TORSBY</t>
        </is>
      </c>
      <c r="F1940" t="inlineStr">
        <is>
          <t>Bergvik skog väst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16073-2024</t>
        </is>
      </c>
      <c r="B1941" s="1" t="n">
        <v>45406</v>
      </c>
      <c r="C1941" s="1" t="n">
        <v>45976</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1042-2024</t>
        </is>
      </c>
      <c r="B1942" s="1" t="n">
        <v>45301</v>
      </c>
      <c r="C1942" s="1" t="n">
        <v>45976</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31906-2025</t>
        </is>
      </c>
      <c r="B1943" s="1" t="n">
        <v>45834.69046296296</v>
      </c>
      <c r="C1943" s="1" t="n">
        <v>45976</v>
      </c>
      <c r="D1943" t="inlineStr">
        <is>
          <t>VÄRMLANDS LÄN</t>
        </is>
      </c>
      <c r="E1943" t="inlineStr">
        <is>
          <t>TORSBY</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48540-2024</t>
        </is>
      </c>
      <c r="B1944" s="1" t="n">
        <v>45593</v>
      </c>
      <c r="C1944" s="1" t="n">
        <v>45976</v>
      </c>
      <c r="D1944" t="inlineStr">
        <is>
          <t>VÄRMLANDS LÄN</t>
        </is>
      </c>
      <c r="E1944" t="inlineStr">
        <is>
          <t>TORSBY</t>
        </is>
      </c>
      <c r="G1944" t="n">
        <v>16.5</v>
      </c>
      <c r="H1944" t="n">
        <v>0</v>
      </c>
      <c r="I1944" t="n">
        <v>0</v>
      </c>
      <c r="J1944" t="n">
        <v>0</v>
      </c>
      <c r="K1944" t="n">
        <v>0</v>
      </c>
      <c r="L1944" t="n">
        <v>0</v>
      </c>
      <c r="M1944" t="n">
        <v>0</v>
      </c>
      <c r="N1944" t="n">
        <v>0</v>
      </c>
      <c r="O1944" t="n">
        <v>0</v>
      </c>
      <c r="P1944" t="n">
        <v>0</v>
      </c>
      <c r="Q1944" t="n">
        <v>0</v>
      </c>
      <c r="R1944" s="2" t="inlineStr"/>
    </row>
    <row r="1945" ht="15" customHeight="1">
      <c r="A1945" t="inlineStr">
        <is>
          <t>A 32054-2025</t>
        </is>
      </c>
      <c r="B1945" s="1" t="n">
        <v>45835</v>
      </c>
      <c r="C1945" s="1" t="n">
        <v>45976</v>
      </c>
      <c r="D1945" t="inlineStr">
        <is>
          <t>VÄRMLANDS LÄN</t>
        </is>
      </c>
      <c r="E1945" t="inlineStr">
        <is>
          <t>TORSBY</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43060-2021</t>
        </is>
      </c>
      <c r="B1946" s="1" t="n">
        <v>44431</v>
      </c>
      <c r="C1946" s="1" t="n">
        <v>45976</v>
      </c>
      <c r="D1946" t="inlineStr">
        <is>
          <t>VÄRMLANDS LÄN</t>
        </is>
      </c>
      <c r="E1946" t="inlineStr">
        <is>
          <t>TORSBY</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31672-2025</t>
        </is>
      </c>
      <c r="B1947" s="1" t="n">
        <v>45834.36979166666</v>
      </c>
      <c r="C1947" s="1" t="n">
        <v>45976</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31902-2025</t>
        </is>
      </c>
      <c r="B1948" s="1" t="n">
        <v>45834.68592592593</v>
      </c>
      <c r="C1948" s="1" t="n">
        <v>45976</v>
      </c>
      <c r="D1948" t="inlineStr">
        <is>
          <t>VÄRMLANDS LÄN</t>
        </is>
      </c>
      <c r="E1948" t="inlineStr">
        <is>
          <t>TORSBY</t>
        </is>
      </c>
      <c r="G1948" t="n">
        <v>27.1</v>
      </c>
      <c r="H1948" t="n">
        <v>0</v>
      </c>
      <c r="I1948" t="n">
        <v>0</v>
      </c>
      <c r="J1948" t="n">
        <v>0</v>
      </c>
      <c r="K1948" t="n">
        <v>0</v>
      </c>
      <c r="L1948" t="n">
        <v>0</v>
      </c>
      <c r="M1948" t="n">
        <v>0</v>
      </c>
      <c r="N1948" t="n">
        <v>0</v>
      </c>
      <c r="O1948" t="n">
        <v>0</v>
      </c>
      <c r="P1948" t="n">
        <v>0</v>
      </c>
      <c r="Q1948" t="n">
        <v>0</v>
      </c>
      <c r="R1948" s="2" t="inlineStr"/>
    </row>
    <row r="1949" ht="15" customHeight="1">
      <c r="A1949" t="inlineStr">
        <is>
          <t>A 32134-2025</t>
        </is>
      </c>
      <c r="B1949" s="1" t="n">
        <v>45835.5102662037</v>
      </c>
      <c r="C1949" s="1" t="n">
        <v>45976</v>
      </c>
      <c r="D1949" t="inlineStr">
        <is>
          <t>VÄRMLANDS LÄN</t>
        </is>
      </c>
      <c r="E1949" t="inlineStr">
        <is>
          <t>TORSBY</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58948-2024</t>
        </is>
      </c>
      <c r="B1950" s="1" t="n">
        <v>45636</v>
      </c>
      <c r="C1950" s="1" t="n">
        <v>45976</v>
      </c>
      <c r="D1950" t="inlineStr">
        <is>
          <t>VÄRMLANDS LÄN</t>
        </is>
      </c>
      <c r="E1950" t="inlineStr">
        <is>
          <t>TORSBY</t>
        </is>
      </c>
      <c r="F1950" t="inlineStr">
        <is>
          <t>Bergvik skog väst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18676-2025</t>
        </is>
      </c>
      <c r="B1951" s="1" t="n">
        <v>45763</v>
      </c>
      <c r="C1951" s="1" t="n">
        <v>45976</v>
      </c>
      <c r="D1951" t="inlineStr">
        <is>
          <t>VÄRMLANDS LÄN</t>
        </is>
      </c>
      <c r="E1951" t="inlineStr">
        <is>
          <t>TORSBY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32191-2025</t>
        </is>
      </c>
      <c r="B1952" s="1" t="n">
        <v>45835.57099537037</v>
      </c>
      <c r="C1952" s="1" t="n">
        <v>45976</v>
      </c>
      <c r="D1952" t="inlineStr">
        <is>
          <t>VÄRMLANDS LÄN</t>
        </is>
      </c>
      <c r="E1952" t="inlineStr">
        <is>
          <t>TORSBY</t>
        </is>
      </c>
      <c r="F1952" t="inlineStr">
        <is>
          <t>Bergvik skog väst AB</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31630-2025</t>
        </is>
      </c>
      <c r="B1953" s="1" t="n">
        <v>45834.32670138889</v>
      </c>
      <c r="C1953" s="1" t="n">
        <v>45976</v>
      </c>
      <c r="D1953" t="inlineStr">
        <is>
          <t>VÄRMLANDS LÄN</t>
        </is>
      </c>
      <c r="E1953" t="inlineStr">
        <is>
          <t>TORSBY</t>
        </is>
      </c>
      <c r="F1953" t="inlineStr">
        <is>
          <t>Bergvik skog väst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45976</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55836-2024</t>
        </is>
      </c>
      <c r="B1955" s="1" t="n">
        <v>45623.49150462963</v>
      </c>
      <c r="C1955" s="1" t="n">
        <v>45976</v>
      </c>
      <c r="D1955" t="inlineStr">
        <is>
          <t>VÄRMLANDS LÄN</t>
        </is>
      </c>
      <c r="E1955" t="inlineStr">
        <is>
          <t>TORSBY</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32618-2025</t>
        </is>
      </c>
      <c r="B1956" s="1" t="n">
        <v>45838.6435300926</v>
      </c>
      <c r="C1956" s="1" t="n">
        <v>45976</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32995-2025</t>
        </is>
      </c>
      <c r="B1957" s="1" t="n">
        <v>45839</v>
      </c>
      <c r="C1957" s="1" t="n">
        <v>45976</v>
      </c>
      <c r="D1957" t="inlineStr">
        <is>
          <t>VÄRMLANDS LÄN</t>
        </is>
      </c>
      <c r="E1957" t="inlineStr">
        <is>
          <t>TORSBY</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32348-2025</t>
        </is>
      </c>
      <c r="B1958" s="1" t="n">
        <v>45837.47078703704</v>
      </c>
      <c r="C1958" s="1" t="n">
        <v>45976</v>
      </c>
      <c r="D1958" t="inlineStr">
        <is>
          <t>VÄRMLANDS LÄN</t>
        </is>
      </c>
      <c r="E1958" t="inlineStr">
        <is>
          <t>TORSBY</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12574-2025</t>
        </is>
      </c>
      <c r="B1959" s="1" t="n">
        <v>45732</v>
      </c>
      <c r="C1959" s="1" t="n">
        <v>45976</v>
      </c>
      <c r="D1959" t="inlineStr">
        <is>
          <t>VÄRMLANDS LÄN</t>
        </is>
      </c>
      <c r="E1959" t="inlineStr">
        <is>
          <t>TORSBY</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32331-2025</t>
        </is>
      </c>
      <c r="B1960" s="1" t="n">
        <v>45836.50674768518</v>
      </c>
      <c r="C1960" s="1" t="n">
        <v>45976</v>
      </c>
      <c r="D1960" t="inlineStr">
        <is>
          <t>VÄRMLANDS LÄN</t>
        </is>
      </c>
      <c r="E1960" t="inlineStr">
        <is>
          <t>TORSBY</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32342-2025</t>
        </is>
      </c>
      <c r="B1961" s="1" t="n">
        <v>45837.34560185186</v>
      </c>
      <c r="C1961" s="1" t="n">
        <v>45976</v>
      </c>
      <c r="D1961" t="inlineStr">
        <is>
          <t>VÄRMLANDS LÄN</t>
        </is>
      </c>
      <c r="E1961" t="inlineStr">
        <is>
          <t>TORSBY</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32433-2025</t>
        </is>
      </c>
      <c r="B1962" s="1" t="n">
        <v>45838.37252314815</v>
      </c>
      <c r="C1962" s="1" t="n">
        <v>45976</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32710-2025</t>
        </is>
      </c>
      <c r="B1963" s="1" t="n">
        <v>45839.36722222222</v>
      </c>
      <c r="C1963" s="1" t="n">
        <v>45976</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32622-2025</t>
        </is>
      </c>
      <c r="B1964" s="1" t="n">
        <v>45838</v>
      </c>
      <c r="C1964" s="1" t="n">
        <v>45976</v>
      </c>
      <c r="D1964" t="inlineStr">
        <is>
          <t>VÄRMLANDS LÄN</t>
        </is>
      </c>
      <c r="E1964" t="inlineStr">
        <is>
          <t>TORSBY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32555-2025</t>
        </is>
      </c>
      <c r="B1965" s="1" t="n">
        <v>45838.56084490741</v>
      </c>
      <c r="C1965" s="1" t="n">
        <v>45976</v>
      </c>
      <c r="D1965" t="inlineStr">
        <is>
          <t>VÄRMLANDS LÄN</t>
        </is>
      </c>
      <c r="E1965" t="inlineStr">
        <is>
          <t>TORSBY</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32343-2025</t>
        </is>
      </c>
      <c r="B1966" s="1" t="n">
        <v>45837.37171296297</v>
      </c>
      <c r="C1966" s="1" t="n">
        <v>45976</v>
      </c>
      <c r="D1966" t="inlineStr">
        <is>
          <t>VÄRMLANDS LÄN</t>
        </is>
      </c>
      <c r="E1966" t="inlineStr">
        <is>
          <t>TORSBY</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32345-2025</t>
        </is>
      </c>
      <c r="B1967" s="1" t="n">
        <v>45837.44293981481</v>
      </c>
      <c r="C1967" s="1" t="n">
        <v>45976</v>
      </c>
      <c r="D1967" t="inlineStr">
        <is>
          <t>VÄRMLANDS LÄN</t>
        </is>
      </c>
      <c r="E1967" t="inlineStr">
        <is>
          <t>TORSBY</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37357-2023</t>
        </is>
      </c>
      <c r="B1968" s="1" t="n">
        <v>45156.48006944444</v>
      </c>
      <c r="C1968" s="1" t="n">
        <v>45976</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32339-2025</t>
        </is>
      </c>
      <c r="B1969" s="1" t="n">
        <v>45836.68836805555</v>
      </c>
      <c r="C1969" s="1" t="n">
        <v>45976</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5763-2023</t>
        </is>
      </c>
      <c r="B1970" s="1" t="n">
        <v>44963.36383101852</v>
      </c>
      <c r="C1970" s="1" t="n">
        <v>45976</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38467-2021</t>
        </is>
      </c>
      <c r="B1971" s="1" t="n">
        <v>44405</v>
      </c>
      <c r="C1971" s="1" t="n">
        <v>45976</v>
      </c>
      <c r="D1971" t="inlineStr">
        <is>
          <t>VÄRMLANDS LÄN</t>
        </is>
      </c>
      <c r="E1971" t="inlineStr">
        <is>
          <t>TORSBY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33196-2025</t>
        </is>
      </c>
      <c r="B1972" s="1" t="n">
        <v>45840.60381944444</v>
      </c>
      <c r="C1972" s="1" t="n">
        <v>45976</v>
      </c>
      <c r="D1972" t="inlineStr">
        <is>
          <t>VÄRMLANDS LÄN</t>
        </is>
      </c>
      <c r="E1972" t="inlineStr">
        <is>
          <t>TORSBY</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63177-2023</t>
        </is>
      </c>
      <c r="B1973" s="1" t="n">
        <v>45272</v>
      </c>
      <c r="C1973" s="1" t="n">
        <v>45976</v>
      </c>
      <c r="D1973" t="inlineStr">
        <is>
          <t>VÄRMLANDS LÄN</t>
        </is>
      </c>
      <c r="E1973" t="inlineStr">
        <is>
          <t>TORSBY</t>
        </is>
      </c>
      <c r="G1973" t="n">
        <v>14.9</v>
      </c>
      <c r="H1973" t="n">
        <v>0</v>
      </c>
      <c r="I1973" t="n">
        <v>0</v>
      </c>
      <c r="J1973" t="n">
        <v>0</v>
      </c>
      <c r="K1973" t="n">
        <v>0</v>
      </c>
      <c r="L1973" t="n">
        <v>0</v>
      </c>
      <c r="M1973" t="n">
        <v>0</v>
      </c>
      <c r="N1973" t="n">
        <v>0</v>
      </c>
      <c r="O1973" t="n">
        <v>0</v>
      </c>
      <c r="P1973" t="n">
        <v>0</v>
      </c>
      <c r="Q1973" t="n">
        <v>0</v>
      </c>
      <c r="R1973" s="2" t="inlineStr"/>
    </row>
    <row r="1974" ht="15" customHeight="1">
      <c r="A1974" t="inlineStr">
        <is>
          <t>A 9904-2024</t>
        </is>
      </c>
      <c r="B1974" s="1" t="n">
        <v>45363</v>
      </c>
      <c r="C1974" s="1" t="n">
        <v>45976</v>
      </c>
      <c r="D1974" t="inlineStr">
        <is>
          <t>VÄRMLANDS LÄN</t>
        </is>
      </c>
      <c r="E1974" t="inlineStr">
        <is>
          <t>TORSBY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9908-2024</t>
        </is>
      </c>
      <c r="B1975" s="1" t="n">
        <v>45363</v>
      </c>
      <c r="C1975" s="1" t="n">
        <v>45976</v>
      </c>
      <c r="D1975" t="inlineStr">
        <is>
          <t>VÄRMLANDS LÄN</t>
        </is>
      </c>
      <c r="E1975" t="inlineStr">
        <is>
          <t>TORSBY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4585-2023</t>
        </is>
      </c>
      <c r="B1976" s="1" t="n">
        <v>44956.79790509259</v>
      </c>
      <c r="C1976" s="1" t="n">
        <v>45976</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33192-2025</t>
        </is>
      </c>
      <c r="B1977" s="1" t="n">
        <v>45840.60081018518</v>
      </c>
      <c r="C1977" s="1" t="n">
        <v>45976</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33712-2025</t>
        </is>
      </c>
      <c r="B1978" s="1" t="n">
        <v>45841</v>
      </c>
      <c r="C1978" s="1" t="n">
        <v>45976</v>
      </c>
      <c r="D1978" t="inlineStr">
        <is>
          <t>VÄRMLANDS LÄN</t>
        </is>
      </c>
      <c r="E1978" t="inlineStr">
        <is>
          <t>TORSBY</t>
        </is>
      </c>
      <c r="F1978" t="inlineStr">
        <is>
          <t>Bergvik skog väst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33221-2025</t>
        </is>
      </c>
      <c r="B1979" s="1" t="n">
        <v>45840.63471064815</v>
      </c>
      <c r="C1979" s="1" t="n">
        <v>45976</v>
      </c>
      <c r="D1979" t="inlineStr">
        <is>
          <t>VÄRMLANDS LÄN</t>
        </is>
      </c>
      <c r="E1979" t="inlineStr">
        <is>
          <t>TORSBY</t>
        </is>
      </c>
      <c r="F1979" t="inlineStr">
        <is>
          <t>Bergvik skog väst AB</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33567-2025</t>
        </is>
      </c>
      <c r="B1980" s="1" t="n">
        <v>45841.58232638889</v>
      </c>
      <c r="C1980" s="1" t="n">
        <v>45976</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29925-2024</t>
        </is>
      </c>
      <c r="B1981" s="1" t="n">
        <v>45488</v>
      </c>
      <c r="C1981" s="1" t="n">
        <v>45976</v>
      </c>
      <c r="D1981" t="inlineStr">
        <is>
          <t>VÄRMLANDS LÄN</t>
        </is>
      </c>
      <c r="E1981" t="inlineStr">
        <is>
          <t>TORSBY</t>
        </is>
      </c>
      <c r="F1981" t="inlineStr">
        <is>
          <t>Kyrkan</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8018-2025</t>
        </is>
      </c>
      <c r="B1982" s="1" t="n">
        <v>45707</v>
      </c>
      <c r="C1982" s="1" t="n">
        <v>45976</v>
      </c>
      <c r="D1982" t="inlineStr">
        <is>
          <t>VÄRMLANDS LÄN</t>
        </is>
      </c>
      <c r="E1982" t="inlineStr">
        <is>
          <t>TORSBY</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15101-2024</t>
        </is>
      </c>
      <c r="B1983" s="1" t="n">
        <v>45399.66148148148</v>
      </c>
      <c r="C1983" s="1" t="n">
        <v>45976</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33189-2025</t>
        </is>
      </c>
      <c r="B1984" s="1" t="n">
        <v>45840.59884259259</v>
      </c>
      <c r="C1984" s="1" t="n">
        <v>45976</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41253-2021</t>
        </is>
      </c>
      <c r="B1985" s="1" t="n">
        <v>44424</v>
      </c>
      <c r="C1985" s="1" t="n">
        <v>45976</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32983-2025</t>
        </is>
      </c>
      <c r="B1986" s="1" t="n">
        <v>45839.92967592592</v>
      </c>
      <c r="C1986" s="1" t="n">
        <v>45976</v>
      </c>
      <c r="D1986" t="inlineStr">
        <is>
          <t>VÄRMLANDS LÄN</t>
        </is>
      </c>
      <c r="E1986" t="inlineStr">
        <is>
          <t>TORSBY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52669-2024</t>
        </is>
      </c>
      <c r="B1987" s="1" t="n">
        <v>45610</v>
      </c>
      <c r="C1987" s="1" t="n">
        <v>45976</v>
      </c>
      <c r="D1987" t="inlineStr">
        <is>
          <t>VÄRMLANDS LÄN</t>
        </is>
      </c>
      <c r="E1987" t="inlineStr">
        <is>
          <t>TORSBY</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23804-2022</t>
        </is>
      </c>
      <c r="B1988" s="1" t="n">
        <v>44722</v>
      </c>
      <c r="C1988" s="1" t="n">
        <v>45976</v>
      </c>
      <c r="D1988" t="inlineStr">
        <is>
          <t>VÄRMLANDS LÄN</t>
        </is>
      </c>
      <c r="E1988" t="inlineStr">
        <is>
          <t>TORSBY</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33161-2025</t>
        </is>
      </c>
      <c r="B1989" s="1" t="n">
        <v>45840.56846064814</v>
      </c>
      <c r="C1989" s="1" t="n">
        <v>45976</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42457-2024</t>
        </is>
      </c>
      <c r="B1990" s="1" t="n">
        <v>45565.46346064815</v>
      </c>
      <c r="C1990" s="1" t="n">
        <v>45976</v>
      </c>
      <c r="D1990" t="inlineStr">
        <is>
          <t>VÄRMLANDS LÄN</t>
        </is>
      </c>
      <c r="E1990" t="inlineStr">
        <is>
          <t>TORSBY</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8728-2024</t>
        </is>
      </c>
      <c r="B1991" s="1" t="n">
        <v>45356.42799768518</v>
      </c>
      <c r="C1991" s="1" t="n">
        <v>45976</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34268-2025</t>
        </is>
      </c>
      <c r="B1992" s="1" t="n">
        <v>45845</v>
      </c>
      <c r="C1992" s="1" t="n">
        <v>45976</v>
      </c>
      <c r="D1992" t="inlineStr">
        <is>
          <t>VÄRMLANDS LÄN</t>
        </is>
      </c>
      <c r="E1992" t="inlineStr">
        <is>
          <t>TORSBY</t>
        </is>
      </c>
      <c r="F1992" t="inlineStr">
        <is>
          <t>Bergvik skog väst AB</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33897-2025</t>
        </is>
      </c>
      <c r="B1993" s="1" t="n">
        <v>45842</v>
      </c>
      <c r="C1993" s="1" t="n">
        <v>45976</v>
      </c>
      <c r="D1993" t="inlineStr">
        <is>
          <t>VÄRMLANDS LÄN</t>
        </is>
      </c>
      <c r="E1993" t="inlineStr">
        <is>
          <t>TORSBY</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34140-2025</t>
        </is>
      </c>
      <c r="B1994" s="1" t="n">
        <v>45845.54896990741</v>
      </c>
      <c r="C1994" s="1" t="n">
        <v>45976</v>
      </c>
      <c r="D1994" t="inlineStr">
        <is>
          <t>VÄRMLANDS LÄN</t>
        </is>
      </c>
      <c r="E1994" t="inlineStr">
        <is>
          <t>TORSBY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39771-2024</t>
        </is>
      </c>
      <c r="B1995" s="1" t="n">
        <v>45552</v>
      </c>
      <c r="C1995" s="1" t="n">
        <v>45976</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71679-2021</t>
        </is>
      </c>
      <c r="B1996" s="1" t="n">
        <v>44543</v>
      </c>
      <c r="C1996" s="1" t="n">
        <v>45976</v>
      </c>
      <c r="D1996" t="inlineStr">
        <is>
          <t>VÄRMLANDS LÄN</t>
        </is>
      </c>
      <c r="E1996" t="inlineStr">
        <is>
          <t>TORSBY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22124-2022</t>
        </is>
      </c>
      <c r="B1997" s="1" t="n">
        <v>44712</v>
      </c>
      <c r="C1997" s="1" t="n">
        <v>45976</v>
      </c>
      <c r="D1997" t="inlineStr">
        <is>
          <t>VÄRMLANDS LÄN</t>
        </is>
      </c>
      <c r="E1997" t="inlineStr">
        <is>
          <t>TORSBY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22943-2023</t>
        </is>
      </c>
      <c r="B1998" s="1" t="n">
        <v>45072</v>
      </c>
      <c r="C1998" s="1" t="n">
        <v>45976</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38497-2024</t>
        </is>
      </c>
      <c r="B1999" s="1" t="n">
        <v>45546.51869212963</v>
      </c>
      <c r="C1999" s="1" t="n">
        <v>45976</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8281-2023</t>
        </is>
      </c>
      <c r="B2000" s="1" t="n">
        <v>44974</v>
      </c>
      <c r="C2000" s="1" t="n">
        <v>45976</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34136-2025</t>
        </is>
      </c>
      <c r="B2001" s="1" t="n">
        <v>45845.54184027778</v>
      </c>
      <c r="C2001" s="1" t="n">
        <v>45976</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34179-2025</t>
        </is>
      </c>
      <c r="B2002" s="1" t="n">
        <v>45845</v>
      </c>
      <c r="C2002" s="1" t="n">
        <v>45976</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17931-2024</t>
        </is>
      </c>
      <c r="B2003" s="1" t="n">
        <v>45419</v>
      </c>
      <c r="C2003" s="1" t="n">
        <v>45976</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34145-2025</t>
        </is>
      </c>
      <c r="B2004" s="1" t="n">
        <v>45845.55372685185</v>
      </c>
      <c r="C2004" s="1" t="n">
        <v>45976</v>
      </c>
      <c r="D2004" t="inlineStr">
        <is>
          <t>VÄRMLANDS LÄN</t>
        </is>
      </c>
      <c r="E2004" t="inlineStr">
        <is>
          <t>TORSBY</t>
        </is>
      </c>
      <c r="G2004" t="n">
        <v>19.2</v>
      </c>
      <c r="H2004" t="n">
        <v>0</v>
      </c>
      <c r="I2004" t="n">
        <v>0</v>
      </c>
      <c r="J2004" t="n">
        <v>0</v>
      </c>
      <c r="K2004" t="n">
        <v>0</v>
      </c>
      <c r="L2004" t="n">
        <v>0</v>
      </c>
      <c r="M2004" t="n">
        <v>0</v>
      </c>
      <c r="N2004" t="n">
        <v>0</v>
      </c>
      <c r="O2004" t="n">
        <v>0</v>
      </c>
      <c r="P2004" t="n">
        <v>0</v>
      </c>
      <c r="Q2004" t="n">
        <v>0</v>
      </c>
      <c r="R2004" s="2" t="inlineStr"/>
    </row>
    <row r="2005" ht="15" customHeight="1">
      <c r="A2005" t="inlineStr">
        <is>
          <t>A 34137-2025</t>
        </is>
      </c>
      <c r="B2005" s="1" t="n">
        <v>45845.54340277778</v>
      </c>
      <c r="C2005" s="1" t="n">
        <v>45976</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34138-2025</t>
        </is>
      </c>
      <c r="B2006" s="1" t="n">
        <v>45845.54486111111</v>
      </c>
      <c r="C2006" s="1" t="n">
        <v>45976</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34146-2025</t>
        </is>
      </c>
      <c r="B2007" s="1" t="n">
        <v>45845.56008101852</v>
      </c>
      <c r="C2007" s="1" t="n">
        <v>45976</v>
      </c>
      <c r="D2007" t="inlineStr">
        <is>
          <t>VÄRMLANDS LÄN</t>
        </is>
      </c>
      <c r="E2007" t="inlineStr">
        <is>
          <t>TORSBY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34046-2025</t>
        </is>
      </c>
      <c r="B2008" s="1" t="n">
        <v>45845.38671296297</v>
      </c>
      <c r="C2008" s="1" t="n">
        <v>45976</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34398-2025</t>
        </is>
      </c>
      <c r="B2009" s="1" t="n">
        <v>45846.60688657407</v>
      </c>
      <c r="C2009" s="1" t="n">
        <v>45976</v>
      </c>
      <c r="D2009" t="inlineStr">
        <is>
          <t>VÄRMLANDS LÄN</t>
        </is>
      </c>
      <c r="E2009" t="inlineStr">
        <is>
          <t>TORSBY</t>
        </is>
      </c>
      <c r="F2009" t="inlineStr">
        <is>
          <t>Bergvik skog väst AB</t>
        </is>
      </c>
      <c r="G2009" t="n">
        <v>22.3</v>
      </c>
      <c r="H2009" t="n">
        <v>0</v>
      </c>
      <c r="I2009" t="n">
        <v>0</v>
      </c>
      <c r="J2009" t="n">
        <v>0</v>
      </c>
      <c r="K2009" t="n">
        <v>0</v>
      </c>
      <c r="L2009" t="n">
        <v>0</v>
      </c>
      <c r="M2009" t="n">
        <v>0</v>
      </c>
      <c r="N2009" t="n">
        <v>0</v>
      </c>
      <c r="O2009" t="n">
        <v>0</v>
      </c>
      <c r="P2009" t="n">
        <v>0</v>
      </c>
      <c r="Q2009" t="n">
        <v>0</v>
      </c>
      <c r="R2009" s="2" t="inlineStr"/>
    </row>
    <row r="2010" ht="15" customHeight="1">
      <c r="A2010" t="inlineStr">
        <is>
          <t>A 34399-2025</t>
        </is>
      </c>
      <c r="B2010" s="1" t="n">
        <v>45846.610625</v>
      </c>
      <c r="C2010" s="1" t="n">
        <v>45976</v>
      </c>
      <c r="D2010" t="inlineStr">
        <is>
          <t>VÄRMLANDS LÄN</t>
        </is>
      </c>
      <c r="E2010" t="inlineStr">
        <is>
          <t>TORSBY</t>
        </is>
      </c>
      <c r="F2010" t="inlineStr">
        <is>
          <t>Bergvik skog väst AB</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34355-2025</t>
        </is>
      </c>
      <c r="B2011" s="1" t="n">
        <v>45846.48114583334</v>
      </c>
      <c r="C2011" s="1" t="n">
        <v>45976</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34358-2025</t>
        </is>
      </c>
      <c r="B2012" s="1" t="n">
        <v>45846.48637731482</v>
      </c>
      <c r="C2012" s="1" t="n">
        <v>45976</v>
      </c>
      <c r="D2012" t="inlineStr">
        <is>
          <t>VÄRMLANDS LÄN</t>
        </is>
      </c>
      <c r="E2012" t="inlineStr">
        <is>
          <t>TORSBY</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54006-2024</t>
        </is>
      </c>
      <c r="B2013" s="1" t="n">
        <v>45616.3717824074</v>
      </c>
      <c r="C2013" s="1" t="n">
        <v>45976</v>
      </c>
      <c r="D2013" t="inlineStr">
        <is>
          <t>VÄRMLANDS LÄN</t>
        </is>
      </c>
      <c r="E2013" t="inlineStr">
        <is>
          <t>TORSBY</t>
        </is>
      </c>
      <c r="F2013" t="inlineStr">
        <is>
          <t>Kommuner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34365-2025</t>
        </is>
      </c>
      <c r="B2014" s="1" t="n">
        <v>45846.49326388889</v>
      </c>
      <c r="C2014" s="1" t="n">
        <v>45976</v>
      </c>
      <c r="D2014" t="inlineStr">
        <is>
          <t>VÄRMLANDS LÄN</t>
        </is>
      </c>
      <c r="E2014" t="inlineStr">
        <is>
          <t>TORSBY</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34451-2025</t>
        </is>
      </c>
      <c r="B2015" s="1" t="n">
        <v>45846.85114583333</v>
      </c>
      <c r="C2015" s="1" t="n">
        <v>45976</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34480-2025</t>
        </is>
      </c>
      <c r="B2016" s="1" t="n">
        <v>45847.37582175926</v>
      </c>
      <c r="C2016" s="1" t="n">
        <v>45976</v>
      </c>
      <c r="D2016" t="inlineStr">
        <is>
          <t>VÄRMLANDS LÄN</t>
        </is>
      </c>
      <c r="E2016" t="inlineStr">
        <is>
          <t>TORSBY</t>
        </is>
      </c>
      <c r="F2016" t="inlineStr">
        <is>
          <t>Övriga Aktiebolag</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34495-2025</t>
        </is>
      </c>
      <c r="B2017" s="1" t="n">
        <v>45847.42686342593</v>
      </c>
      <c r="C2017" s="1" t="n">
        <v>45976</v>
      </c>
      <c r="D2017" t="inlineStr">
        <is>
          <t>VÄRMLANDS LÄN</t>
        </is>
      </c>
      <c r="E2017" t="inlineStr">
        <is>
          <t>TORSBY</t>
        </is>
      </c>
      <c r="F2017" t="inlineStr">
        <is>
          <t>Övriga Aktiebolag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34517-2025</t>
        </is>
      </c>
      <c r="B2018" s="1" t="n">
        <v>45847.46900462963</v>
      </c>
      <c r="C2018" s="1" t="n">
        <v>45976</v>
      </c>
      <c r="D2018" t="inlineStr">
        <is>
          <t>VÄRMLANDS LÄN</t>
        </is>
      </c>
      <c r="E2018" t="inlineStr">
        <is>
          <t>TORSBY</t>
        </is>
      </c>
      <c r="F2018" t="inlineStr">
        <is>
          <t>Övriga Aktiebolag</t>
        </is>
      </c>
      <c r="G2018" t="n">
        <v>13.5</v>
      </c>
      <c r="H2018" t="n">
        <v>0</v>
      </c>
      <c r="I2018" t="n">
        <v>0</v>
      </c>
      <c r="J2018" t="n">
        <v>0</v>
      </c>
      <c r="K2018" t="n">
        <v>0</v>
      </c>
      <c r="L2018" t="n">
        <v>0</v>
      </c>
      <c r="M2018" t="n">
        <v>0</v>
      </c>
      <c r="N2018" t="n">
        <v>0</v>
      </c>
      <c r="O2018" t="n">
        <v>0</v>
      </c>
      <c r="P2018" t="n">
        <v>0</v>
      </c>
      <c r="Q2018" t="n">
        <v>0</v>
      </c>
      <c r="R2018" s="2" t="inlineStr"/>
    </row>
    <row r="2019" ht="15" customHeight="1">
      <c r="A2019" t="inlineStr">
        <is>
          <t>A 34388-2025</t>
        </is>
      </c>
      <c r="B2019" s="1" t="n">
        <v>45846.57305555556</v>
      </c>
      <c r="C2019" s="1" t="n">
        <v>45976</v>
      </c>
      <c r="D2019" t="inlineStr">
        <is>
          <t>VÄRMLANDS LÄN</t>
        </is>
      </c>
      <c r="E2019" t="inlineStr">
        <is>
          <t>TORSBY</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34372-2025</t>
        </is>
      </c>
      <c r="B2020" s="1" t="n">
        <v>45846.5134837963</v>
      </c>
      <c r="C2020" s="1" t="n">
        <v>45976</v>
      </c>
      <c r="D2020" t="inlineStr">
        <is>
          <t>VÄRMLANDS LÄN</t>
        </is>
      </c>
      <c r="E2020" t="inlineStr">
        <is>
          <t>TORSBY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34363-2025</t>
        </is>
      </c>
      <c r="B2021" s="1" t="n">
        <v>45846.49144675926</v>
      </c>
      <c r="C2021" s="1" t="n">
        <v>45976</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34370-2025</t>
        </is>
      </c>
      <c r="B2022" s="1" t="n">
        <v>45846.51056712963</v>
      </c>
      <c r="C2022" s="1" t="n">
        <v>45976</v>
      </c>
      <c r="D2022" t="inlineStr">
        <is>
          <t>VÄRMLANDS LÄN</t>
        </is>
      </c>
      <c r="E2022" t="inlineStr">
        <is>
          <t>TORSBY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34533-2025</t>
        </is>
      </c>
      <c r="B2023" s="1" t="n">
        <v>45847.50868055555</v>
      </c>
      <c r="C2023" s="1" t="n">
        <v>45976</v>
      </c>
      <c r="D2023" t="inlineStr">
        <is>
          <t>VÄRMLANDS LÄN</t>
        </is>
      </c>
      <c r="E2023" t="inlineStr">
        <is>
          <t>TORSBY</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32847-2024</t>
        </is>
      </c>
      <c r="B2024" s="1" t="n">
        <v>45516.63021990741</v>
      </c>
      <c r="C2024" s="1" t="n">
        <v>45976</v>
      </c>
      <c r="D2024" t="inlineStr">
        <is>
          <t>VÄRMLANDS LÄN</t>
        </is>
      </c>
      <c r="E2024" t="inlineStr">
        <is>
          <t>TORSBY</t>
        </is>
      </c>
      <c r="F2024" t="inlineStr">
        <is>
          <t>Bergvik skog väst AB</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34846-2025</t>
        </is>
      </c>
      <c r="B2025" s="1" t="n">
        <v>45849.41454861111</v>
      </c>
      <c r="C2025" s="1" t="n">
        <v>45976</v>
      </c>
      <c r="D2025" t="inlineStr">
        <is>
          <t>VÄRMLANDS LÄN</t>
        </is>
      </c>
      <c r="E2025" t="inlineStr">
        <is>
          <t>TORSBY</t>
        </is>
      </c>
      <c r="F2025" t="inlineStr">
        <is>
          <t>Bergvik skog väst AB</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8016-2023</t>
        </is>
      </c>
      <c r="B2026" s="1" t="n">
        <v>44973</v>
      </c>
      <c r="C2026" s="1" t="n">
        <v>45976</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40807-2024</t>
        </is>
      </c>
      <c r="B2027" s="1" t="n">
        <v>45558</v>
      </c>
      <c r="C2027" s="1" t="n">
        <v>45976</v>
      </c>
      <c r="D2027" t="inlineStr">
        <is>
          <t>VÄRMLANDS LÄN</t>
        </is>
      </c>
      <c r="E2027" t="inlineStr">
        <is>
          <t>TORSBY</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31316-2025</t>
        </is>
      </c>
      <c r="B2028" s="1" t="n">
        <v>45833.40241898148</v>
      </c>
      <c r="C2028" s="1" t="n">
        <v>45976</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68136-2021</t>
        </is>
      </c>
      <c r="B2029" s="1" t="n">
        <v>44526.40984953703</v>
      </c>
      <c r="C2029" s="1" t="n">
        <v>45976</v>
      </c>
      <c r="D2029" t="inlineStr">
        <is>
          <t>VÄRMLANDS LÄN</t>
        </is>
      </c>
      <c r="E2029" t="inlineStr">
        <is>
          <t>TORSBY</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40227-2024</t>
        </is>
      </c>
      <c r="B2030" s="1" t="n">
        <v>45554</v>
      </c>
      <c r="C2030" s="1" t="n">
        <v>45976</v>
      </c>
      <c r="D2030" t="inlineStr">
        <is>
          <t>VÄRMLANDS LÄN</t>
        </is>
      </c>
      <c r="E2030" t="inlineStr">
        <is>
          <t>TORSBY</t>
        </is>
      </c>
      <c r="F2030" t="inlineStr">
        <is>
          <t>Bergvik skog väst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34997-2025</t>
        </is>
      </c>
      <c r="B2031" s="1" t="n">
        <v>45849.87340277778</v>
      </c>
      <c r="C2031" s="1" t="n">
        <v>45976</v>
      </c>
      <c r="D2031" t="inlineStr">
        <is>
          <t>VÄRMLANDS LÄN</t>
        </is>
      </c>
      <c r="E2031" t="inlineStr">
        <is>
          <t>TORSBY</t>
        </is>
      </c>
      <c r="G2031" t="n">
        <v>24.4</v>
      </c>
      <c r="H2031" t="n">
        <v>0</v>
      </c>
      <c r="I2031" t="n">
        <v>0</v>
      </c>
      <c r="J2031" t="n">
        <v>0</v>
      </c>
      <c r="K2031" t="n">
        <v>0</v>
      </c>
      <c r="L2031" t="n">
        <v>0</v>
      </c>
      <c r="M2031" t="n">
        <v>0</v>
      </c>
      <c r="N2031" t="n">
        <v>0</v>
      </c>
      <c r="O2031" t="n">
        <v>0</v>
      </c>
      <c r="P2031" t="n">
        <v>0</v>
      </c>
      <c r="Q2031" t="n">
        <v>0</v>
      </c>
      <c r="R2031" s="2" t="inlineStr"/>
    </row>
    <row r="2032" ht="15" customHeight="1">
      <c r="A2032" t="inlineStr">
        <is>
          <t>A 35185-2025</t>
        </is>
      </c>
      <c r="B2032" s="1" t="n">
        <v>45853.30383101852</v>
      </c>
      <c r="C2032" s="1" t="n">
        <v>45976</v>
      </c>
      <c r="D2032" t="inlineStr">
        <is>
          <t>VÄRMLANDS LÄN</t>
        </is>
      </c>
      <c r="E2032" t="inlineStr">
        <is>
          <t>TORSBY</t>
        </is>
      </c>
      <c r="F2032" t="inlineStr">
        <is>
          <t>Bergvik skog väst AB</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41501-2024</t>
        </is>
      </c>
      <c r="B2033" s="1" t="n">
        <v>45560</v>
      </c>
      <c r="C2033" s="1" t="n">
        <v>45976</v>
      </c>
      <c r="D2033" t="inlineStr">
        <is>
          <t>VÄRMLANDS LÄN</t>
        </is>
      </c>
      <c r="E2033" t="inlineStr">
        <is>
          <t>TORSBY</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3922-2024</t>
        </is>
      </c>
      <c r="B2034" s="1" t="n">
        <v>45322.57271990741</v>
      </c>
      <c r="C2034" s="1" t="n">
        <v>45976</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17944-2021</t>
        </is>
      </c>
      <c r="B2035" s="1" t="n">
        <v>44301</v>
      </c>
      <c r="C2035" s="1" t="n">
        <v>45976</v>
      </c>
      <c r="D2035" t="inlineStr">
        <is>
          <t>VÄRMLANDS LÄN</t>
        </is>
      </c>
      <c r="E2035" t="inlineStr">
        <is>
          <t>TORSBY</t>
        </is>
      </c>
      <c r="F2035" t="inlineStr">
        <is>
          <t>Kommuner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20985-2024</t>
        </is>
      </c>
      <c r="B2036" s="1" t="n">
        <v>45439</v>
      </c>
      <c r="C2036" s="1" t="n">
        <v>45976</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27195-2023</t>
        </is>
      </c>
      <c r="B2037" s="1" t="n">
        <v>45096</v>
      </c>
      <c r="C2037" s="1" t="n">
        <v>45976</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35191-2025</t>
        </is>
      </c>
      <c r="B2038" s="1" t="n">
        <v>45853.3469675926</v>
      </c>
      <c r="C2038" s="1" t="n">
        <v>45976</v>
      </c>
      <c r="D2038" t="inlineStr">
        <is>
          <t>VÄRMLANDS LÄN</t>
        </is>
      </c>
      <c r="E2038" t="inlineStr">
        <is>
          <t>TORSBY</t>
        </is>
      </c>
      <c r="F2038" t="inlineStr">
        <is>
          <t>Bergvik skog väst AB</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60796-2024</t>
        </is>
      </c>
      <c r="B2039" s="1" t="n">
        <v>45642</v>
      </c>
      <c r="C2039" s="1" t="n">
        <v>45976</v>
      </c>
      <c r="D2039" t="inlineStr">
        <is>
          <t>VÄRMLANDS LÄN</t>
        </is>
      </c>
      <c r="E2039" t="inlineStr">
        <is>
          <t>TORSBY</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18344-2021</t>
        </is>
      </c>
      <c r="B2040" s="1" t="n">
        <v>44305</v>
      </c>
      <c r="C2040" s="1" t="n">
        <v>45976</v>
      </c>
      <c r="D2040" t="inlineStr">
        <is>
          <t>VÄRMLANDS LÄN</t>
        </is>
      </c>
      <c r="E2040" t="inlineStr">
        <is>
          <t>TORSBY</t>
        </is>
      </c>
      <c r="F2040" t="inlineStr">
        <is>
          <t>Kommuner</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57990-2023</t>
        </is>
      </c>
      <c r="B2041" s="1" t="n">
        <v>45247.60293981482</v>
      </c>
      <c r="C2041" s="1" t="n">
        <v>45976</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35194-2025</t>
        </is>
      </c>
      <c r="B2042" s="1" t="n">
        <v>45853.35740740741</v>
      </c>
      <c r="C2042" s="1" t="n">
        <v>45976</v>
      </c>
      <c r="D2042" t="inlineStr">
        <is>
          <t>VÄRMLANDS LÄN</t>
        </is>
      </c>
      <c r="E2042" t="inlineStr">
        <is>
          <t>TORSBY</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24244-2023</t>
        </is>
      </c>
      <c r="B2043" s="1" t="n">
        <v>45079.61969907407</v>
      </c>
      <c r="C2043" s="1" t="n">
        <v>45976</v>
      </c>
      <c r="D2043" t="inlineStr">
        <is>
          <t>VÄRMLANDS LÄN</t>
        </is>
      </c>
      <c r="E2043" t="inlineStr">
        <is>
          <t>TORSBY</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35408-2025</t>
        </is>
      </c>
      <c r="B2044" s="1" t="n">
        <v>45855.37256944444</v>
      </c>
      <c r="C2044" s="1" t="n">
        <v>45976</v>
      </c>
      <c r="D2044" t="inlineStr">
        <is>
          <t>VÄRMLANDS LÄN</t>
        </is>
      </c>
      <c r="E2044" t="inlineStr">
        <is>
          <t>TORSBY</t>
        </is>
      </c>
      <c r="F2044" t="inlineStr">
        <is>
          <t>Bergvik skog väst AB</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35334-2025</t>
        </is>
      </c>
      <c r="B2045" s="1" t="n">
        <v>45854.57973379629</v>
      </c>
      <c r="C2045" s="1" t="n">
        <v>45976</v>
      </c>
      <c r="D2045" t="inlineStr">
        <is>
          <t>VÄRMLANDS LÄN</t>
        </is>
      </c>
      <c r="E2045" t="inlineStr">
        <is>
          <t>TORSBY</t>
        </is>
      </c>
      <c r="F2045" t="inlineStr">
        <is>
          <t>Bergvik skog väst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27223-2022</t>
        </is>
      </c>
      <c r="B2046" s="1" t="n">
        <v>44741</v>
      </c>
      <c r="C2046" s="1" t="n">
        <v>45976</v>
      </c>
      <c r="D2046" t="inlineStr">
        <is>
          <t>VÄRMLANDS LÄN</t>
        </is>
      </c>
      <c r="E2046" t="inlineStr">
        <is>
          <t>TORSBY</t>
        </is>
      </c>
      <c r="F2046" t="inlineStr">
        <is>
          <t>Bergvik skog väst AB</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45296.53034722222</v>
      </c>
      <c r="C2047" s="1" t="n">
        <v>45976</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38084-2023</t>
        </is>
      </c>
      <c r="B2048" s="1" t="n">
        <v>45160</v>
      </c>
      <c r="C2048" s="1" t="n">
        <v>45976</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35367-2025</t>
        </is>
      </c>
      <c r="B2049" s="1" t="n">
        <v>45854</v>
      </c>
      <c r="C2049" s="1" t="n">
        <v>45976</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12365-2022</t>
        </is>
      </c>
      <c r="B2050" s="1" t="n">
        <v>44637.70670138889</v>
      </c>
      <c r="C2050" s="1" t="n">
        <v>45976</v>
      </c>
      <c r="D2050" t="inlineStr">
        <is>
          <t>VÄRMLANDS LÄN</t>
        </is>
      </c>
      <c r="E2050" t="inlineStr">
        <is>
          <t>TORSBY</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21516-2022</t>
        </is>
      </c>
      <c r="B2051" s="1" t="n">
        <v>44706</v>
      </c>
      <c r="C2051" s="1" t="n">
        <v>45976</v>
      </c>
      <c r="D2051" t="inlineStr">
        <is>
          <t>VÄRMLANDS LÄN</t>
        </is>
      </c>
      <c r="E2051" t="inlineStr">
        <is>
          <t>TORSBY</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58430-2023</t>
        </is>
      </c>
      <c r="B2052" s="1" t="n">
        <v>45250.80646990741</v>
      </c>
      <c r="C2052" s="1" t="n">
        <v>45976</v>
      </c>
      <c r="D2052" t="inlineStr">
        <is>
          <t>VÄRMLANDS LÄN</t>
        </is>
      </c>
      <c r="E2052" t="inlineStr">
        <is>
          <t>TORSBY</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5052-2025</t>
        </is>
      </c>
      <c r="B2053" s="1" t="n">
        <v>45691</v>
      </c>
      <c r="C2053" s="1" t="n">
        <v>45976</v>
      </c>
      <c r="D2053" t="inlineStr">
        <is>
          <t>VÄRMLANDS LÄN</t>
        </is>
      </c>
      <c r="E2053" t="inlineStr">
        <is>
          <t>TORSBY</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17562-2024</t>
        </is>
      </c>
      <c r="B2054" s="1" t="n">
        <v>45415</v>
      </c>
      <c r="C2054" s="1" t="n">
        <v>45976</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27270-2024</t>
        </is>
      </c>
      <c r="B2055" s="1" t="n">
        <v>45471.81967592592</v>
      </c>
      <c r="C2055" s="1" t="n">
        <v>45976</v>
      </c>
      <c r="D2055" t="inlineStr">
        <is>
          <t>VÄRMLANDS LÄN</t>
        </is>
      </c>
      <c r="E2055" t="inlineStr">
        <is>
          <t>TORSBY</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40180-2024</t>
        </is>
      </c>
      <c r="B2056" s="1" t="n">
        <v>45554.55413194445</v>
      </c>
      <c r="C2056" s="1" t="n">
        <v>45976</v>
      </c>
      <c r="D2056" t="inlineStr">
        <is>
          <t>VÄRMLANDS LÄN</t>
        </is>
      </c>
      <c r="E2056" t="inlineStr">
        <is>
          <t>TORSBY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35552-2025</t>
        </is>
      </c>
      <c r="B2057" s="1" t="n">
        <v>45856.49702546297</v>
      </c>
      <c r="C2057" s="1" t="n">
        <v>45976</v>
      </c>
      <c r="D2057" t="inlineStr">
        <is>
          <t>VÄRMLANDS LÄN</t>
        </is>
      </c>
      <c r="E2057" t="inlineStr">
        <is>
          <t>TORSBY</t>
        </is>
      </c>
      <c r="F2057" t="inlineStr">
        <is>
          <t>Bergvik skog väst AB</t>
        </is>
      </c>
      <c r="G2057" t="n">
        <v>12.3</v>
      </c>
      <c r="H2057" t="n">
        <v>0</v>
      </c>
      <c r="I2057" t="n">
        <v>0</v>
      </c>
      <c r="J2057" t="n">
        <v>0</v>
      </c>
      <c r="K2057" t="n">
        <v>0</v>
      </c>
      <c r="L2057" t="n">
        <v>0</v>
      </c>
      <c r="M2057" t="n">
        <v>0</v>
      </c>
      <c r="N2057" t="n">
        <v>0</v>
      </c>
      <c r="O2057" t="n">
        <v>0</v>
      </c>
      <c r="P2057" t="n">
        <v>0</v>
      </c>
      <c r="Q2057" t="n">
        <v>0</v>
      </c>
      <c r="R2057" s="2" t="inlineStr"/>
    </row>
    <row r="2058" ht="15" customHeight="1">
      <c r="A2058" t="inlineStr">
        <is>
          <t>A 10584-2023</t>
        </is>
      </c>
      <c r="B2058" s="1" t="n">
        <v>44988.36736111111</v>
      </c>
      <c r="C2058" s="1" t="n">
        <v>45976</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35817-2025</t>
        </is>
      </c>
      <c r="B2059" s="1" t="n">
        <v>45861.44365740741</v>
      </c>
      <c r="C2059" s="1" t="n">
        <v>45976</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42632-2023</t>
        </is>
      </c>
      <c r="B2060" s="1" t="n">
        <v>45181</v>
      </c>
      <c r="C2060" s="1" t="n">
        <v>45976</v>
      </c>
      <c r="D2060" t="inlineStr">
        <is>
          <t>VÄRMLANDS LÄN</t>
        </is>
      </c>
      <c r="E2060" t="inlineStr">
        <is>
          <t>TORSBY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42635-2023</t>
        </is>
      </c>
      <c r="B2061" s="1" t="n">
        <v>45181.49310185185</v>
      </c>
      <c r="C2061" s="1" t="n">
        <v>45976</v>
      </c>
      <c r="D2061" t="inlineStr">
        <is>
          <t>VÄRMLANDS LÄN</t>
        </is>
      </c>
      <c r="E2061" t="inlineStr">
        <is>
          <t>TORSBY</t>
        </is>
      </c>
      <c r="G2061" t="n">
        <v>16.1</v>
      </c>
      <c r="H2061" t="n">
        <v>0</v>
      </c>
      <c r="I2061" t="n">
        <v>0</v>
      </c>
      <c r="J2061" t="n">
        <v>0</v>
      </c>
      <c r="K2061" t="n">
        <v>0</v>
      </c>
      <c r="L2061" t="n">
        <v>0</v>
      </c>
      <c r="M2061" t="n">
        <v>0</v>
      </c>
      <c r="N2061" t="n">
        <v>0</v>
      </c>
      <c r="O2061" t="n">
        <v>0</v>
      </c>
      <c r="P2061" t="n">
        <v>0</v>
      </c>
      <c r="Q2061" t="n">
        <v>0</v>
      </c>
      <c r="R2061" s="2" t="inlineStr"/>
    </row>
    <row r="2062" ht="15" customHeight="1">
      <c r="A2062" t="inlineStr">
        <is>
          <t>A 4510-2023</t>
        </is>
      </c>
      <c r="B2062" s="1" t="n">
        <v>44956.57528935185</v>
      </c>
      <c r="C2062" s="1" t="n">
        <v>45976</v>
      </c>
      <c r="D2062" t="inlineStr">
        <is>
          <t>VÄRMLANDS LÄN</t>
        </is>
      </c>
      <c r="E2062" t="inlineStr">
        <is>
          <t>TORSBY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14800-2025</t>
        </is>
      </c>
      <c r="B2063" s="1" t="n">
        <v>45743</v>
      </c>
      <c r="C2063" s="1" t="n">
        <v>45976</v>
      </c>
      <c r="D2063" t="inlineStr">
        <is>
          <t>VÄRMLANDS LÄN</t>
        </is>
      </c>
      <c r="E2063" t="inlineStr">
        <is>
          <t>TORSBY</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35855-2025</t>
        </is>
      </c>
      <c r="B2064" s="1" t="n">
        <v>45861.61864583333</v>
      </c>
      <c r="C2064" s="1" t="n">
        <v>45976</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33499-2024</t>
        </is>
      </c>
      <c r="B2065" s="1" t="n">
        <v>45519.62280092593</v>
      </c>
      <c r="C2065" s="1" t="n">
        <v>45976</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35980-2025</t>
        </is>
      </c>
      <c r="B2066" s="1" t="n">
        <v>45863</v>
      </c>
      <c r="C2066" s="1" t="n">
        <v>45976</v>
      </c>
      <c r="D2066" t="inlineStr">
        <is>
          <t>VÄRMLANDS LÄN</t>
        </is>
      </c>
      <c r="E2066" t="inlineStr">
        <is>
          <t>TORSBY</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52062-2024</t>
        </is>
      </c>
      <c r="B2067" s="1" t="n">
        <v>45608</v>
      </c>
      <c r="C2067" s="1" t="n">
        <v>45976</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35965-2025</t>
        </is>
      </c>
      <c r="B2068" s="1" t="n">
        <v>45863.39790509259</v>
      </c>
      <c r="C2068" s="1" t="n">
        <v>45976</v>
      </c>
      <c r="D2068" t="inlineStr">
        <is>
          <t>VÄRMLANDS LÄN</t>
        </is>
      </c>
      <c r="E2068" t="inlineStr">
        <is>
          <t>TORSBY</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35987-2025</t>
        </is>
      </c>
      <c r="B2069" s="1" t="n">
        <v>45863.46144675926</v>
      </c>
      <c r="C2069" s="1" t="n">
        <v>45976</v>
      </c>
      <c r="D2069" t="inlineStr">
        <is>
          <t>VÄRMLANDS LÄN</t>
        </is>
      </c>
      <c r="E2069" t="inlineStr">
        <is>
          <t>TORSBY</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21585-2024</t>
        </is>
      </c>
      <c r="B2070" s="1" t="n">
        <v>45441</v>
      </c>
      <c r="C2070" s="1" t="n">
        <v>45976</v>
      </c>
      <c r="D2070" t="inlineStr">
        <is>
          <t>VÄRMLANDS LÄN</t>
        </is>
      </c>
      <c r="E2070" t="inlineStr">
        <is>
          <t>TORSBY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7378-2025</t>
        </is>
      </c>
      <c r="B2071" s="1" t="n">
        <v>45705</v>
      </c>
      <c r="C2071" s="1" t="n">
        <v>45976</v>
      </c>
      <c r="D2071" t="inlineStr">
        <is>
          <t>VÄRMLANDS LÄN</t>
        </is>
      </c>
      <c r="E2071" t="inlineStr">
        <is>
          <t>TORSBY</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30958-2025</t>
        </is>
      </c>
      <c r="B2072" s="1" t="n">
        <v>45832.43880787037</v>
      </c>
      <c r="C2072" s="1" t="n">
        <v>45976</v>
      </c>
      <c r="D2072" t="inlineStr">
        <is>
          <t>VÄRMLANDS LÄN</t>
        </is>
      </c>
      <c r="E2072" t="inlineStr">
        <is>
          <t>TORSBY</t>
        </is>
      </c>
      <c r="G2072" t="n">
        <v>28.5</v>
      </c>
      <c r="H2072" t="n">
        <v>0</v>
      </c>
      <c r="I2072" t="n">
        <v>0</v>
      </c>
      <c r="J2072" t="n">
        <v>0</v>
      </c>
      <c r="K2072" t="n">
        <v>0</v>
      </c>
      <c r="L2072" t="n">
        <v>0</v>
      </c>
      <c r="M2072" t="n">
        <v>0</v>
      </c>
      <c r="N2072" t="n">
        <v>0</v>
      </c>
      <c r="O2072" t="n">
        <v>0</v>
      </c>
      <c r="P2072" t="n">
        <v>0</v>
      </c>
      <c r="Q2072" t="n">
        <v>0</v>
      </c>
      <c r="R2072" s="2" t="inlineStr"/>
    </row>
    <row r="2073" ht="15" customHeight="1">
      <c r="A2073" t="inlineStr">
        <is>
          <t>A 31052-2023</t>
        </is>
      </c>
      <c r="B2073" s="1" t="n">
        <v>45113</v>
      </c>
      <c r="C2073" s="1" t="n">
        <v>45976</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36287-2025</t>
        </is>
      </c>
      <c r="B2074" s="1" t="n">
        <v>45867.65814814815</v>
      </c>
      <c r="C2074" s="1" t="n">
        <v>45976</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30836-2025</t>
        </is>
      </c>
      <c r="B2075" s="1" t="n">
        <v>45831.70571759259</v>
      </c>
      <c r="C2075" s="1" t="n">
        <v>45976</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27358-2024</t>
        </is>
      </c>
      <c r="B2076" s="1" t="n">
        <v>45473.71635416667</v>
      </c>
      <c r="C2076" s="1" t="n">
        <v>45976</v>
      </c>
      <c r="D2076" t="inlineStr">
        <is>
          <t>VÄRMLANDS LÄN</t>
        </is>
      </c>
      <c r="E2076" t="inlineStr">
        <is>
          <t>TORSBY</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27360-2024</t>
        </is>
      </c>
      <c r="B2077" s="1" t="n">
        <v>45473</v>
      </c>
      <c r="C2077" s="1" t="n">
        <v>45976</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32624-2025</t>
        </is>
      </c>
      <c r="B2078" s="1" t="n">
        <v>45838.64796296296</v>
      </c>
      <c r="C2078" s="1" t="n">
        <v>45976</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39768-2024</t>
        </is>
      </c>
      <c r="B2079" s="1" t="n">
        <v>45552</v>
      </c>
      <c r="C2079" s="1" t="n">
        <v>45976</v>
      </c>
      <c r="D2079" t="inlineStr">
        <is>
          <t>VÄRMLANDS LÄN</t>
        </is>
      </c>
      <c r="E2079" t="inlineStr">
        <is>
          <t>TORSBY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36256-2025</t>
        </is>
      </c>
      <c r="B2080" s="1" t="n">
        <v>45867.58938657407</v>
      </c>
      <c r="C2080" s="1" t="n">
        <v>45976</v>
      </c>
      <c r="D2080" t="inlineStr">
        <is>
          <t>VÄRMLANDS LÄN</t>
        </is>
      </c>
      <c r="E2080" t="inlineStr">
        <is>
          <t>TORSBY</t>
        </is>
      </c>
      <c r="F2080" t="inlineStr">
        <is>
          <t>Bergvik skog väst AB</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31936-2023</t>
        </is>
      </c>
      <c r="B2081" s="1" t="n">
        <v>45107</v>
      </c>
      <c r="C2081" s="1" t="n">
        <v>45976</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36258-2025</t>
        </is>
      </c>
      <c r="B2082" s="1" t="n">
        <v>45867.59559027778</v>
      </c>
      <c r="C2082" s="1" t="n">
        <v>45976</v>
      </c>
      <c r="D2082" t="inlineStr">
        <is>
          <t>VÄRMLANDS LÄN</t>
        </is>
      </c>
      <c r="E2082" t="inlineStr">
        <is>
          <t>TORSBY</t>
        </is>
      </c>
      <c r="F2082" t="inlineStr">
        <is>
          <t>Bergvik skog väst AB</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54011-2024</t>
        </is>
      </c>
      <c r="B2083" s="1" t="n">
        <v>45616.37576388889</v>
      </c>
      <c r="C2083" s="1" t="n">
        <v>45976</v>
      </c>
      <c r="D2083" t="inlineStr">
        <is>
          <t>VÄRMLANDS LÄN</t>
        </is>
      </c>
      <c r="E2083" t="inlineStr">
        <is>
          <t>TORSBY</t>
        </is>
      </c>
      <c r="F2083" t="inlineStr">
        <is>
          <t>Kommuner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54026-2024</t>
        </is>
      </c>
      <c r="B2084" s="1" t="n">
        <v>45616</v>
      </c>
      <c r="C2084" s="1" t="n">
        <v>45976</v>
      </c>
      <c r="D2084" t="inlineStr">
        <is>
          <t>VÄRMLANDS LÄN</t>
        </is>
      </c>
      <c r="E2084" t="inlineStr">
        <is>
          <t>TORSBY</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36288-2025</t>
        </is>
      </c>
      <c r="B2085" s="1" t="n">
        <v>45867.6619212963</v>
      </c>
      <c r="C2085" s="1" t="n">
        <v>45976</v>
      </c>
      <c r="D2085" t="inlineStr">
        <is>
          <t>VÄRMLANDS LÄN</t>
        </is>
      </c>
      <c r="E2085" t="inlineStr">
        <is>
          <t>TORSBY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36289-2025</t>
        </is>
      </c>
      <c r="B2086" s="1" t="n">
        <v>45867.66329861111</v>
      </c>
      <c r="C2086" s="1" t="n">
        <v>45976</v>
      </c>
      <c r="D2086" t="inlineStr">
        <is>
          <t>VÄRMLANDS LÄN</t>
        </is>
      </c>
      <c r="E2086" t="inlineStr">
        <is>
          <t>TORSBY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36279-2025</t>
        </is>
      </c>
      <c r="B2087" s="1" t="n">
        <v>45867.638125</v>
      </c>
      <c r="C2087" s="1" t="n">
        <v>45976</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20191-2025</t>
        </is>
      </c>
      <c r="B2088" s="1" t="n">
        <v>45772</v>
      </c>
      <c r="C2088" s="1" t="n">
        <v>45976</v>
      </c>
      <c r="D2088" t="inlineStr">
        <is>
          <t>VÄRMLANDS LÄN</t>
        </is>
      </c>
      <c r="E2088" t="inlineStr">
        <is>
          <t>TORSBY</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25961-2025</t>
        </is>
      </c>
      <c r="B2089" s="1" t="n">
        <v>45804</v>
      </c>
      <c r="C2089" s="1" t="n">
        <v>45976</v>
      </c>
      <c r="D2089" t="inlineStr">
        <is>
          <t>VÄRMLANDS LÄN</t>
        </is>
      </c>
      <c r="E2089" t="inlineStr">
        <is>
          <t>TORSBY</t>
        </is>
      </c>
      <c r="G2089" t="n">
        <v>17.8</v>
      </c>
      <c r="H2089" t="n">
        <v>0</v>
      </c>
      <c r="I2089" t="n">
        <v>0</v>
      </c>
      <c r="J2089" t="n">
        <v>0</v>
      </c>
      <c r="K2089" t="n">
        <v>0</v>
      </c>
      <c r="L2089" t="n">
        <v>0</v>
      </c>
      <c r="M2089" t="n">
        <v>0</v>
      </c>
      <c r="N2089" t="n">
        <v>0</v>
      </c>
      <c r="O2089" t="n">
        <v>0</v>
      </c>
      <c r="P2089" t="n">
        <v>0</v>
      </c>
      <c r="Q2089" t="n">
        <v>0</v>
      </c>
      <c r="R2089" s="2" t="inlineStr"/>
    </row>
    <row r="2090" ht="15" customHeight="1">
      <c r="A2090" t="inlineStr">
        <is>
          <t>A 36477-2025</t>
        </is>
      </c>
      <c r="B2090" s="1" t="n">
        <v>45869</v>
      </c>
      <c r="C2090" s="1" t="n">
        <v>45976</v>
      </c>
      <c r="D2090" t="inlineStr">
        <is>
          <t>VÄRMLANDS LÄN</t>
        </is>
      </c>
      <c r="E2090" t="inlineStr">
        <is>
          <t>TORSBY</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36548-2025</t>
        </is>
      </c>
      <c r="B2091" s="1" t="n">
        <v>45869.74849537037</v>
      </c>
      <c r="C2091" s="1" t="n">
        <v>45976</v>
      </c>
      <c r="D2091" t="inlineStr">
        <is>
          <t>VÄRMLANDS LÄN</t>
        </is>
      </c>
      <c r="E2091" t="inlineStr">
        <is>
          <t>TORSBY</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56509-2024</t>
        </is>
      </c>
      <c r="B2092" s="1" t="n">
        <v>45625</v>
      </c>
      <c r="C2092" s="1" t="n">
        <v>45976</v>
      </c>
      <c r="D2092" t="inlineStr">
        <is>
          <t>VÄRMLANDS LÄN</t>
        </is>
      </c>
      <c r="E2092" t="inlineStr">
        <is>
          <t>TORSBY</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36483-2025</t>
        </is>
      </c>
      <c r="B2093" s="1" t="n">
        <v>45869</v>
      </c>
      <c r="C2093" s="1" t="n">
        <v>45976</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54223-2023</t>
        </is>
      </c>
      <c r="B2094" s="1" t="n">
        <v>45232</v>
      </c>
      <c r="C2094" s="1" t="n">
        <v>45976</v>
      </c>
      <c r="D2094" t="inlineStr">
        <is>
          <t>VÄRMLANDS LÄN</t>
        </is>
      </c>
      <c r="E2094" t="inlineStr">
        <is>
          <t>TORSBY</t>
        </is>
      </c>
      <c r="F2094" t="inlineStr">
        <is>
          <t>Bergvik skog väst AB</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40157-2024</t>
        </is>
      </c>
      <c r="B2095" s="1" t="n">
        <v>45554</v>
      </c>
      <c r="C2095" s="1" t="n">
        <v>45976</v>
      </c>
      <c r="D2095" t="inlineStr">
        <is>
          <t>VÄRMLANDS LÄN</t>
        </is>
      </c>
      <c r="E2095" t="inlineStr">
        <is>
          <t>TORSBY</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56880-2023</t>
        </is>
      </c>
      <c r="B2096" s="1" t="n">
        <v>45244</v>
      </c>
      <c r="C2096" s="1" t="n">
        <v>45976</v>
      </c>
      <c r="D2096" t="inlineStr">
        <is>
          <t>VÄRMLANDS LÄN</t>
        </is>
      </c>
      <c r="E2096" t="inlineStr">
        <is>
          <t>TORSBY</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36530-2025</t>
        </is>
      </c>
      <c r="B2097" s="1" t="n">
        <v>45869.61282407407</v>
      </c>
      <c r="C2097" s="1" t="n">
        <v>45976</v>
      </c>
      <c r="D2097" t="inlineStr">
        <is>
          <t>VÄRMLANDS LÄN</t>
        </is>
      </c>
      <c r="E2097" t="inlineStr">
        <is>
          <t>TORSBY</t>
        </is>
      </c>
      <c r="F2097" t="inlineStr">
        <is>
          <t>Bergvik skog väst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18447-2025</t>
        </is>
      </c>
      <c r="B2098" s="1" t="n">
        <v>45762</v>
      </c>
      <c r="C2098" s="1" t="n">
        <v>45976</v>
      </c>
      <c r="D2098" t="inlineStr">
        <is>
          <t>VÄRMLANDS LÄN</t>
        </is>
      </c>
      <c r="E2098" t="inlineStr">
        <is>
          <t>TORSBY</t>
        </is>
      </c>
      <c r="G2098" t="n">
        <v>12.8</v>
      </c>
      <c r="H2098" t="n">
        <v>0</v>
      </c>
      <c r="I2098" t="n">
        <v>0</v>
      </c>
      <c r="J2098" t="n">
        <v>0</v>
      </c>
      <c r="K2098" t="n">
        <v>0</v>
      </c>
      <c r="L2098" t="n">
        <v>0</v>
      </c>
      <c r="M2098" t="n">
        <v>0</v>
      </c>
      <c r="N2098" t="n">
        <v>0</v>
      </c>
      <c r="O2098" t="n">
        <v>0</v>
      </c>
      <c r="P2098" t="n">
        <v>0</v>
      </c>
      <c r="Q2098" t="n">
        <v>0</v>
      </c>
      <c r="R2098" s="2" t="inlineStr"/>
    </row>
    <row r="2099" ht="15" customHeight="1">
      <c r="A2099" t="inlineStr">
        <is>
          <t>A 40207-2023</t>
        </is>
      </c>
      <c r="B2099" s="1" t="n">
        <v>45169.44604166667</v>
      </c>
      <c r="C2099" s="1" t="n">
        <v>45976</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11670-2025</t>
        </is>
      </c>
      <c r="B2100" s="1" t="n">
        <v>45727</v>
      </c>
      <c r="C2100" s="1" t="n">
        <v>45976</v>
      </c>
      <c r="D2100" t="inlineStr">
        <is>
          <t>VÄRMLANDS LÄN</t>
        </is>
      </c>
      <c r="E2100" t="inlineStr">
        <is>
          <t>TORSBY</t>
        </is>
      </c>
      <c r="G2100" t="n">
        <v>10.9</v>
      </c>
      <c r="H2100" t="n">
        <v>0</v>
      </c>
      <c r="I2100" t="n">
        <v>0</v>
      </c>
      <c r="J2100" t="n">
        <v>0</v>
      </c>
      <c r="K2100" t="n">
        <v>0</v>
      </c>
      <c r="L2100" t="n">
        <v>0</v>
      </c>
      <c r="M2100" t="n">
        <v>0</v>
      </c>
      <c r="N2100" t="n">
        <v>0</v>
      </c>
      <c r="O2100" t="n">
        <v>0</v>
      </c>
      <c r="P2100" t="n">
        <v>0</v>
      </c>
      <c r="Q2100" t="n">
        <v>0</v>
      </c>
      <c r="R2100" s="2" t="inlineStr"/>
    </row>
    <row r="2101" ht="15" customHeight="1">
      <c r="A2101" t="inlineStr">
        <is>
          <t>A 55485-2023</t>
        </is>
      </c>
      <c r="B2101" s="1" t="n">
        <v>45238.52023148148</v>
      </c>
      <c r="C2101" s="1" t="n">
        <v>45976</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54714-2023</t>
        </is>
      </c>
      <c r="B2102" s="1" t="n">
        <v>45236.3515162037</v>
      </c>
      <c r="C2102" s="1" t="n">
        <v>45976</v>
      </c>
      <c r="D2102" t="inlineStr">
        <is>
          <t>VÄRMLANDS LÄN</t>
        </is>
      </c>
      <c r="E2102" t="inlineStr">
        <is>
          <t>TORSBY</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21094-2022</t>
        </is>
      </c>
      <c r="B2103" s="1" t="n">
        <v>44704</v>
      </c>
      <c r="C2103" s="1" t="n">
        <v>45976</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50973-2023</t>
        </is>
      </c>
      <c r="B2104" s="1" t="n">
        <v>45218.50408564815</v>
      </c>
      <c r="C2104" s="1" t="n">
        <v>45976</v>
      </c>
      <c r="D2104" t="inlineStr">
        <is>
          <t>VÄRMLANDS LÄN</t>
        </is>
      </c>
      <c r="E2104" t="inlineStr">
        <is>
          <t>TORSBY</t>
        </is>
      </c>
      <c r="G2104" t="n">
        <v>10.7</v>
      </c>
      <c r="H2104" t="n">
        <v>0</v>
      </c>
      <c r="I2104" t="n">
        <v>0</v>
      </c>
      <c r="J2104" t="n">
        <v>0</v>
      </c>
      <c r="K2104" t="n">
        <v>0</v>
      </c>
      <c r="L2104" t="n">
        <v>0</v>
      </c>
      <c r="M2104" t="n">
        <v>0</v>
      </c>
      <c r="N2104" t="n">
        <v>0</v>
      </c>
      <c r="O2104" t="n">
        <v>0</v>
      </c>
      <c r="P2104" t="n">
        <v>0</v>
      </c>
      <c r="Q2104" t="n">
        <v>0</v>
      </c>
      <c r="R2104" s="2" t="inlineStr"/>
    </row>
    <row r="2105" ht="15" customHeight="1">
      <c r="A2105" t="inlineStr">
        <is>
          <t>A 51836-2024</t>
        </is>
      </c>
      <c r="B2105" s="1" t="n">
        <v>45607</v>
      </c>
      <c r="C2105" s="1" t="n">
        <v>45976</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66194-2020</t>
        </is>
      </c>
      <c r="B2106" s="1" t="n">
        <v>44175</v>
      </c>
      <c r="C2106" s="1" t="n">
        <v>45976</v>
      </c>
      <c r="D2106" t="inlineStr">
        <is>
          <t>VÄRMLANDS LÄN</t>
        </is>
      </c>
      <c r="E2106" t="inlineStr">
        <is>
          <t>TORSBY</t>
        </is>
      </c>
      <c r="F2106" t="inlineStr">
        <is>
          <t>Bergvik skog väst AB</t>
        </is>
      </c>
      <c r="G2106" t="n">
        <v>18.4</v>
      </c>
      <c r="H2106" t="n">
        <v>0</v>
      </c>
      <c r="I2106" t="n">
        <v>0</v>
      </c>
      <c r="J2106" t="n">
        <v>0</v>
      </c>
      <c r="K2106" t="n">
        <v>0</v>
      </c>
      <c r="L2106" t="n">
        <v>0</v>
      </c>
      <c r="M2106" t="n">
        <v>0</v>
      </c>
      <c r="N2106" t="n">
        <v>0</v>
      </c>
      <c r="O2106" t="n">
        <v>0</v>
      </c>
      <c r="P2106" t="n">
        <v>0</v>
      </c>
      <c r="Q2106" t="n">
        <v>0</v>
      </c>
      <c r="R2106" s="2" t="inlineStr"/>
    </row>
    <row r="2107" ht="15" customHeight="1">
      <c r="A2107" t="inlineStr">
        <is>
          <t>A 20060-2025</t>
        </is>
      </c>
      <c r="B2107" s="1" t="n">
        <v>45772.41831018519</v>
      </c>
      <c r="C2107" s="1" t="n">
        <v>45976</v>
      </c>
      <c r="D2107" t="inlineStr">
        <is>
          <t>VÄRMLANDS LÄN</t>
        </is>
      </c>
      <c r="E2107" t="inlineStr">
        <is>
          <t>TORSBY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54489-2024</t>
        </is>
      </c>
      <c r="B2108" s="1" t="n">
        <v>45617.56674768519</v>
      </c>
      <c r="C2108" s="1" t="n">
        <v>45976</v>
      </c>
      <c r="D2108" t="inlineStr">
        <is>
          <t>VÄRMLANDS LÄN</t>
        </is>
      </c>
      <c r="E2108" t="inlineStr">
        <is>
          <t>TORSBY</t>
        </is>
      </c>
      <c r="F2108" t="inlineStr">
        <is>
          <t>Bergvik skog väst AB</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924-2024</t>
        </is>
      </c>
      <c r="B2109" s="1" t="n">
        <v>45301</v>
      </c>
      <c r="C2109" s="1" t="n">
        <v>45976</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11695-2021</t>
        </is>
      </c>
      <c r="B2110" s="1" t="n">
        <v>44264.87736111111</v>
      </c>
      <c r="C2110" s="1" t="n">
        <v>45976</v>
      </c>
      <c r="D2110" t="inlineStr">
        <is>
          <t>VÄRMLANDS LÄN</t>
        </is>
      </c>
      <c r="E2110" t="inlineStr">
        <is>
          <t>TORSBY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20309-2025</t>
        </is>
      </c>
      <c r="B2111" s="1" t="n">
        <v>45775.28427083333</v>
      </c>
      <c r="C2111" s="1" t="n">
        <v>45976</v>
      </c>
      <c r="D2111" t="inlineStr">
        <is>
          <t>VÄRMLANDS LÄN</t>
        </is>
      </c>
      <c r="E2111" t="inlineStr">
        <is>
          <t>TORSBY</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16498-2022</t>
        </is>
      </c>
      <c r="B2112" s="1" t="n">
        <v>44671</v>
      </c>
      <c r="C2112" s="1" t="n">
        <v>45976</v>
      </c>
      <c r="D2112" t="inlineStr">
        <is>
          <t>VÄRMLANDS LÄN</t>
        </is>
      </c>
      <c r="E2112" t="inlineStr">
        <is>
          <t>TORSBY</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21411-2023</t>
        </is>
      </c>
      <c r="B2113" s="1" t="n">
        <v>45063.38505787037</v>
      </c>
      <c r="C2113" s="1" t="n">
        <v>45976</v>
      </c>
      <c r="D2113" t="inlineStr">
        <is>
          <t>VÄRMLANDS LÄN</t>
        </is>
      </c>
      <c r="E2113" t="inlineStr">
        <is>
          <t>TORSBY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48320-2022</t>
        </is>
      </c>
      <c r="B2114" s="1" t="n">
        <v>44853</v>
      </c>
      <c r="C2114" s="1" t="n">
        <v>45976</v>
      </c>
      <c r="D2114" t="inlineStr">
        <is>
          <t>VÄRMLANDS LÄN</t>
        </is>
      </c>
      <c r="E2114" t="inlineStr">
        <is>
          <t>TORSBY</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3841-2022</t>
        </is>
      </c>
      <c r="B2115" s="1" t="n">
        <v>44587</v>
      </c>
      <c r="C2115" s="1" t="n">
        <v>45976</v>
      </c>
      <c r="D2115" t="inlineStr">
        <is>
          <t>VÄRMLANDS LÄN</t>
        </is>
      </c>
      <c r="E2115" t="inlineStr">
        <is>
          <t>TORSBY</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58185-2023</t>
        </is>
      </c>
      <c r="B2116" s="1" t="n">
        <v>45250.41873842593</v>
      </c>
      <c r="C2116" s="1" t="n">
        <v>45976</v>
      </c>
      <c r="D2116" t="inlineStr">
        <is>
          <t>VÄRMLANDS LÄN</t>
        </is>
      </c>
      <c r="E2116" t="inlineStr">
        <is>
          <t>TORSBY</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27038-2024</t>
        </is>
      </c>
      <c r="B2117" s="1" t="n">
        <v>45471</v>
      </c>
      <c r="C2117" s="1" t="n">
        <v>45976</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27045-2024</t>
        </is>
      </c>
      <c r="B2118" s="1" t="n">
        <v>45471</v>
      </c>
      <c r="C2118" s="1" t="n">
        <v>45976</v>
      </c>
      <c r="D2118" t="inlineStr">
        <is>
          <t>VÄRMLANDS LÄN</t>
        </is>
      </c>
      <c r="E2118" t="inlineStr">
        <is>
          <t>TORSBY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27920-2023</t>
        </is>
      </c>
      <c r="B2119" s="1" t="n">
        <v>45098.64269675926</v>
      </c>
      <c r="C2119" s="1" t="n">
        <v>45976</v>
      </c>
      <c r="D2119" t="inlineStr">
        <is>
          <t>VÄRMLANDS LÄN</t>
        </is>
      </c>
      <c r="E2119" t="inlineStr">
        <is>
          <t>TORSBY</t>
        </is>
      </c>
      <c r="F2119" t="inlineStr">
        <is>
          <t>Kyrkan</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14614-2025</t>
        </is>
      </c>
      <c r="B2120" s="1" t="n">
        <v>45742</v>
      </c>
      <c r="C2120" s="1" t="n">
        <v>45976</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24639-2023</t>
        </is>
      </c>
      <c r="B2121" s="1" t="n">
        <v>45084</v>
      </c>
      <c r="C2121" s="1" t="n">
        <v>45976</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57072-2022</t>
        </is>
      </c>
      <c r="B2122" s="1" t="n">
        <v>44895.4252662037</v>
      </c>
      <c r="C2122" s="1" t="n">
        <v>45976</v>
      </c>
      <c r="D2122" t="inlineStr">
        <is>
          <t>VÄRMLANDS LÄN</t>
        </is>
      </c>
      <c r="E2122" t="inlineStr">
        <is>
          <t>TORSBY</t>
        </is>
      </c>
      <c r="F2122" t="inlineStr">
        <is>
          <t>Övriga statliga verk och myndigheter</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18544-2023</t>
        </is>
      </c>
      <c r="B2123" s="1" t="n">
        <v>45041</v>
      </c>
      <c r="C2123" s="1" t="n">
        <v>45976</v>
      </c>
      <c r="D2123" t="inlineStr">
        <is>
          <t>VÄRMLANDS LÄN</t>
        </is>
      </c>
      <c r="E2123" t="inlineStr">
        <is>
          <t>TORSBY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52581-2024</t>
        </is>
      </c>
      <c r="B2124" s="1" t="n">
        <v>45609</v>
      </c>
      <c r="C2124" s="1" t="n">
        <v>45976</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44708-2022</t>
        </is>
      </c>
      <c r="B2125" s="1" t="n">
        <v>44840.73633101852</v>
      </c>
      <c r="C2125" s="1" t="n">
        <v>45976</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56970-2023</t>
        </is>
      </c>
      <c r="B2126" s="1" t="n">
        <v>45244.63689814815</v>
      </c>
      <c r="C2126" s="1" t="n">
        <v>45976</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38100-2024</t>
        </is>
      </c>
      <c r="B2127" s="1" t="n">
        <v>45545</v>
      </c>
      <c r="C2127" s="1" t="n">
        <v>45976</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41529-2024</t>
        </is>
      </c>
      <c r="B2128" s="1" t="n">
        <v>45560.48552083333</v>
      </c>
      <c r="C2128" s="1" t="n">
        <v>45976</v>
      </c>
      <c r="D2128" t="inlineStr">
        <is>
          <t>VÄRMLANDS LÄN</t>
        </is>
      </c>
      <c r="E2128" t="inlineStr">
        <is>
          <t>TORSBY</t>
        </is>
      </c>
      <c r="F2128" t="inlineStr">
        <is>
          <t>Bergvik skog väst AB</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56281-2022</t>
        </is>
      </c>
      <c r="B2129" s="1" t="n">
        <v>44890</v>
      </c>
      <c r="C2129" s="1" t="n">
        <v>45976</v>
      </c>
      <c r="D2129" t="inlineStr">
        <is>
          <t>VÄRMLANDS LÄN</t>
        </is>
      </c>
      <c r="E2129" t="inlineStr">
        <is>
          <t>TORSBY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47355-2023</t>
        </is>
      </c>
      <c r="B2130" s="1" t="n">
        <v>45202</v>
      </c>
      <c r="C2130" s="1" t="n">
        <v>45976</v>
      </c>
      <c r="D2130" t="inlineStr">
        <is>
          <t>VÄRMLANDS LÄN</t>
        </is>
      </c>
      <c r="E2130" t="inlineStr">
        <is>
          <t>TORSBY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40997-2022</t>
        </is>
      </c>
      <c r="B2131" s="1" t="n">
        <v>44825.50576388889</v>
      </c>
      <c r="C2131" s="1" t="n">
        <v>45976</v>
      </c>
      <c r="D2131" t="inlineStr">
        <is>
          <t>VÄRMLANDS LÄN</t>
        </is>
      </c>
      <c r="E2131" t="inlineStr">
        <is>
          <t>TORSBY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39770-2024</t>
        </is>
      </c>
      <c r="B2132" s="1" t="n">
        <v>45552</v>
      </c>
      <c r="C2132" s="1" t="n">
        <v>45976</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18682-2024</t>
        </is>
      </c>
      <c r="B2133" s="1" t="n">
        <v>45426.37251157407</v>
      </c>
      <c r="C2133" s="1" t="n">
        <v>45976</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3542-2023</t>
        </is>
      </c>
      <c r="B2134" s="1" t="n">
        <v>44950</v>
      </c>
      <c r="C2134" s="1" t="n">
        <v>45976</v>
      </c>
      <c r="D2134" t="inlineStr">
        <is>
          <t>VÄRMLANDS LÄN</t>
        </is>
      </c>
      <c r="E2134" t="inlineStr">
        <is>
          <t>TORSBY</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60737-2022</t>
        </is>
      </c>
      <c r="B2135" s="1" t="n">
        <v>44913.88537037037</v>
      </c>
      <c r="C2135" s="1" t="n">
        <v>45976</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37929-2022</t>
        </is>
      </c>
      <c r="B2136" s="1" t="n">
        <v>44811.45628472222</v>
      </c>
      <c r="C2136" s="1" t="n">
        <v>45976</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53297-2024</t>
        </is>
      </c>
      <c r="B2137" s="1" t="n">
        <v>45614.38802083334</v>
      </c>
      <c r="C2137" s="1" t="n">
        <v>45976</v>
      </c>
      <c r="D2137" t="inlineStr">
        <is>
          <t>VÄRMLANDS LÄN</t>
        </is>
      </c>
      <c r="E2137" t="inlineStr">
        <is>
          <t>TORSBY</t>
        </is>
      </c>
      <c r="F2137" t="inlineStr">
        <is>
          <t>Bergvik skog väst AB</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22973-2024</t>
        </is>
      </c>
      <c r="B2138" s="1" t="n">
        <v>45449</v>
      </c>
      <c r="C2138" s="1" t="n">
        <v>45976</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9057-2022</t>
        </is>
      </c>
      <c r="B2139" s="1" t="n">
        <v>44615</v>
      </c>
      <c r="C2139" s="1" t="n">
        <v>45976</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13189-2025</t>
        </is>
      </c>
      <c r="B2140" s="1" t="n">
        <v>45735.39708333334</v>
      </c>
      <c r="C2140" s="1" t="n">
        <v>45976</v>
      </c>
      <c r="D2140" t="inlineStr">
        <is>
          <t>VÄRMLANDS LÄN</t>
        </is>
      </c>
      <c r="E2140" t="inlineStr">
        <is>
          <t>TORSBY</t>
        </is>
      </c>
      <c r="G2140" t="n">
        <v>15.4</v>
      </c>
      <c r="H2140" t="n">
        <v>0</v>
      </c>
      <c r="I2140" t="n">
        <v>0</v>
      </c>
      <c r="J2140" t="n">
        <v>0</v>
      </c>
      <c r="K2140" t="n">
        <v>0</v>
      </c>
      <c r="L2140" t="n">
        <v>0</v>
      </c>
      <c r="M2140" t="n">
        <v>0</v>
      </c>
      <c r="N2140" t="n">
        <v>0</v>
      </c>
      <c r="O2140" t="n">
        <v>0</v>
      </c>
      <c r="P2140" t="n">
        <v>0</v>
      </c>
      <c r="Q2140" t="n">
        <v>0</v>
      </c>
      <c r="R2140" s="2" t="inlineStr"/>
    </row>
    <row r="2141">
      <c r="A2141" t="inlineStr">
        <is>
          <t>A 3326-2024</t>
        </is>
      </c>
      <c r="B2141" s="1" t="n">
        <v>45317</v>
      </c>
      <c r="C2141" s="1" t="n">
        <v>45976</v>
      </c>
      <c r="D2141" t="inlineStr">
        <is>
          <t>VÄRMLANDS LÄN</t>
        </is>
      </c>
      <c r="E2141" t="inlineStr">
        <is>
          <t>TORSBY</t>
        </is>
      </c>
      <c r="G2141" t="n">
        <v>3.1</v>
      </c>
      <c r="H2141" t="n">
        <v>0</v>
      </c>
      <c r="I2141" t="n">
        <v>0</v>
      </c>
      <c r="J2141" t="n">
        <v>0</v>
      </c>
      <c r="K2141" t="n">
        <v>0</v>
      </c>
      <c r="L2141" t="n">
        <v>0</v>
      </c>
      <c r="M2141" t="n">
        <v>0</v>
      </c>
      <c r="N2141" t="n">
        <v>0</v>
      </c>
      <c r="O2141" t="n">
        <v>0</v>
      </c>
      <c r="P2141" t="n">
        <v>0</v>
      </c>
      <c r="Q2141" t="n">
        <v>0</v>
      </c>
      <c r="R2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2025-11-15T10:14:05Z</dcterms:created>
  <dcterms:modified xmlns:dcterms="http://purl.org/dc/terms/" xmlns:xsi="http://www.w3.org/2001/XMLSchema-instance" xsi:type="dcterms:W3CDTF">2025-11-15T10:14:06Z</dcterms:modified>
</cp:coreProperties>
</file>