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46191</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46191</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46191</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18118-2026</t>
        </is>
      </c>
      <c r="B5" s="1" t="n">
        <v>46125</v>
      </c>
      <c r="C5" s="1" t="n">
        <v>46191</v>
      </c>
      <c r="D5" t="inlineStr">
        <is>
          <t>VÄRMLANDS LÄN</t>
        </is>
      </c>
      <c r="E5" t="inlineStr">
        <is>
          <t>TORSBY</t>
        </is>
      </c>
      <c r="G5" t="n">
        <v>7.4</v>
      </c>
      <c r="H5" t="n">
        <v>2</v>
      </c>
      <c r="I5" t="n">
        <v>5</v>
      </c>
      <c r="J5" t="n">
        <v>15</v>
      </c>
      <c r="K5" t="n">
        <v>1</v>
      </c>
      <c r="L5" t="n">
        <v>0</v>
      </c>
      <c r="M5" t="n">
        <v>0</v>
      </c>
      <c r="N5" t="n">
        <v>0</v>
      </c>
      <c r="O5" t="n">
        <v>16</v>
      </c>
      <c r="P5" t="n">
        <v>1</v>
      </c>
      <c r="Q5" t="n">
        <v>22</v>
      </c>
      <c r="R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35706-2023</t>
        </is>
      </c>
      <c r="B6" s="1" t="n">
        <v>45147</v>
      </c>
      <c r="C6" s="1" t="n">
        <v>46191</v>
      </c>
      <c r="D6" t="inlineStr">
        <is>
          <t>VÄRMLANDS LÄN</t>
        </is>
      </c>
      <c r="E6" t="inlineStr">
        <is>
          <t>TORSBY</t>
        </is>
      </c>
      <c r="G6" t="n">
        <v>22.5</v>
      </c>
      <c r="H6" t="n">
        <v>2</v>
      </c>
      <c r="I6" t="n">
        <v>5</v>
      </c>
      <c r="J6" t="n">
        <v>15</v>
      </c>
      <c r="K6" t="n">
        <v>1</v>
      </c>
      <c r="L6" t="n">
        <v>0</v>
      </c>
      <c r="M6" t="n">
        <v>0</v>
      </c>
      <c r="N6" t="n">
        <v>0</v>
      </c>
      <c r="O6" t="n">
        <v>16</v>
      </c>
      <c r="P6" t="n">
        <v>1</v>
      </c>
      <c r="Q6" t="n">
        <v>22</v>
      </c>
      <c r="R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16074-2026</t>
        </is>
      </c>
      <c r="B7" s="1" t="n">
        <v>46108</v>
      </c>
      <c r="C7" s="1" t="n">
        <v>46191</v>
      </c>
      <c r="D7" t="inlineStr">
        <is>
          <t>VÄRMLANDS LÄN</t>
        </is>
      </c>
      <c r="E7" t="inlineStr">
        <is>
          <t>TORSBY</t>
        </is>
      </c>
      <c r="G7" t="n">
        <v>1.9</v>
      </c>
      <c r="H7" t="n">
        <v>1</v>
      </c>
      <c r="I7" t="n">
        <v>6</v>
      </c>
      <c r="J7" t="n">
        <v>11</v>
      </c>
      <c r="K7" t="n">
        <v>1</v>
      </c>
      <c r="L7" t="n">
        <v>0</v>
      </c>
      <c r="M7" t="n">
        <v>0</v>
      </c>
      <c r="N7" t="n">
        <v>0</v>
      </c>
      <c r="O7" t="n">
        <v>12</v>
      </c>
      <c r="P7" t="n">
        <v>1</v>
      </c>
      <c r="Q7" t="n">
        <v>19</v>
      </c>
      <c r="R7" s="2" t="inlineStr">
        <is>
          <t>Garnlav
Brunpudrad nållav
Doftskinn
Dvärgbägarlav
Kattfotslav
Kolflarnlav
Lunglav
Mörk kolflarnlav
Rynkskinn
Ullticka
Vedskivlav
Vedtrappmossa
Bårdlav
Gytterlav
Korallblylav
Skogshakmossa
Stuplav
Vedticka
Revlummer</t>
        </is>
      </c>
      <c r="S7">
        <f>HYPERLINK("https://klasma.github.io/Logging_1737/artfynd/A 16074-2026 artfynd.xlsx", "A 16074-2026")</f>
        <v/>
      </c>
      <c r="T7">
        <f>HYPERLINK("https://klasma.github.io/Logging_1737/kartor/A 16074-2026 karta.png", "A 16074-2026")</f>
        <v/>
      </c>
      <c r="V7">
        <f>HYPERLINK("https://klasma.github.io/Logging_1737/klagomål/A 16074-2026 FSC-klagomål.docx", "A 16074-2026")</f>
        <v/>
      </c>
      <c r="W7">
        <f>HYPERLINK("https://klasma.github.io/Logging_1737/klagomålsmail/A 16074-2026 FSC-klagomål mail.docx", "A 16074-2026")</f>
        <v/>
      </c>
      <c r="X7">
        <f>HYPERLINK("https://klasma.github.io/Logging_1737/tillsyn/A 16074-2026 tillsynsbegäran.docx", "A 16074-2026")</f>
        <v/>
      </c>
      <c r="Y7">
        <f>HYPERLINK("https://klasma.github.io/Logging_1737/tillsynsmail/A 16074-2026 tillsynsbegäran mail.docx", "A 16074-2026")</f>
        <v/>
      </c>
    </row>
    <row r="8" ht="15" customHeight="1">
      <c r="A8" t="inlineStr">
        <is>
          <t>A 28033-2024</t>
        </is>
      </c>
      <c r="B8" s="1" t="n">
        <v>45476</v>
      </c>
      <c r="C8" s="1" t="n">
        <v>46191</v>
      </c>
      <c r="D8" t="inlineStr">
        <is>
          <t>VÄRMLANDS LÄN</t>
        </is>
      </c>
      <c r="E8" t="inlineStr">
        <is>
          <t>TORSBY</t>
        </is>
      </c>
      <c r="G8" t="n">
        <v>17.7</v>
      </c>
      <c r="H8" t="n">
        <v>1</v>
      </c>
      <c r="I8" t="n">
        <v>4</v>
      </c>
      <c r="J8" t="n">
        <v>13</v>
      </c>
      <c r="K8" t="n">
        <v>2</v>
      </c>
      <c r="L8" t="n">
        <v>0</v>
      </c>
      <c r="M8" t="n">
        <v>0</v>
      </c>
      <c r="N8" t="n">
        <v>0</v>
      </c>
      <c r="O8" t="n">
        <v>15</v>
      </c>
      <c r="P8" t="n">
        <v>2</v>
      </c>
      <c r="Q8" t="n">
        <v>19</v>
      </c>
      <c r="R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6315-2025</t>
        </is>
      </c>
      <c r="B9" s="1" t="n">
        <v>45698</v>
      </c>
      <c r="C9" s="1" t="n">
        <v>46191</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46191</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18308-2024</t>
        </is>
      </c>
      <c r="B11" s="1" t="n">
        <v>45422</v>
      </c>
      <c r="C11" s="1" t="n">
        <v>46191</v>
      </c>
      <c r="D11" t="inlineStr">
        <is>
          <t>VÄRMLANDS LÄN</t>
        </is>
      </c>
      <c r="E11" t="inlineStr">
        <is>
          <t>TORSBY</t>
        </is>
      </c>
      <c r="G11" t="n">
        <v>1.8</v>
      </c>
      <c r="H11" t="n">
        <v>0</v>
      </c>
      <c r="I11" t="n">
        <v>5</v>
      </c>
      <c r="J11" t="n">
        <v>7</v>
      </c>
      <c r="K11" t="n">
        <v>2</v>
      </c>
      <c r="L11" t="n">
        <v>0</v>
      </c>
      <c r="M11" t="n">
        <v>0</v>
      </c>
      <c r="N11" t="n">
        <v>0</v>
      </c>
      <c r="O11" t="n">
        <v>9</v>
      </c>
      <c r="P11" t="n">
        <v>2</v>
      </c>
      <c r="Q11" t="n">
        <v>14</v>
      </c>
      <c r="R11" s="2" t="inlineStr">
        <is>
          <t>Gränsticka
Norsk näverlav
Kattfotslav
Kortskaftad ärgspik
Lunglav
Skuggblåslav
Ullticka
Vedtrappmossa
Violettgrå tagellav
Bårdlav
Korallblylav
Skinnlav
Stuplav
Vedticka</t>
        </is>
      </c>
      <c r="S11">
        <f>HYPERLINK("https://klasma.github.io/Logging_1737/artfynd/A 18308-2024 artfynd.xlsx", "A 18308-2024")</f>
        <v/>
      </c>
      <c r="T11">
        <f>HYPERLINK("https://klasma.github.io/Logging_1737/kartor/A 18308-2024 karta.png", "A 18308-2024")</f>
        <v/>
      </c>
      <c r="V11">
        <f>HYPERLINK("https://klasma.github.io/Logging_1737/klagomål/A 18308-2024 FSC-klagomål.docx", "A 18308-2024")</f>
        <v/>
      </c>
      <c r="W11">
        <f>HYPERLINK("https://klasma.github.io/Logging_1737/klagomålsmail/A 18308-2024 FSC-klagomål mail.docx", "A 18308-2024")</f>
        <v/>
      </c>
      <c r="X11">
        <f>HYPERLINK("https://klasma.github.io/Logging_1737/tillsyn/A 18308-2024 tillsynsbegäran.docx", "A 18308-2024")</f>
        <v/>
      </c>
      <c r="Y11">
        <f>HYPERLINK("https://klasma.github.io/Logging_1737/tillsynsmail/A 18308-2024 tillsynsbegäran mail.docx", "A 18308-2024")</f>
        <v/>
      </c>
    </row>
    <row r="12" ht="15" customHeight="1">
      <c r="A12" t="inlineStr">
        <is>
          <t>A 44460-2023</t>
        </is>
      </c>
      <c r="B12" s="1" t="n">
        <v>45189</v>
      </c>
      <c r="C12" s="1" t="n">
        <v>46191</v>
      </c>
      <c r="D12" t="inlineStr">
        <is>
          <t>VÄRMLANDS LÄN</t>
        </is>
      </c>
      <c r="E12" t="inlineStr">
        <is>
          <t>TORSBY</t>
        </is>
      </c>
      <c r="G12" t="n">
        <v>9.199999999999999</v>
      </c>
      <c r="H12" t="n">
        <v>3</v>
      </c>
      <c r="I12" t="n">
        <v>2</v>
      </c>
      <c r="J12" t="n">
        <v>10</v>
      </c>
      <c r="K12" t="n">
        <v>1</v>
      </c>
      <c r="L12" t="n">
        <v>0</v>
      </c>
      <c r="M12" t="n">
        <v>0</v>
      </c>
      <c r="N12" t="n">
        <v>0</v>
      </c>
      <c r="O12" t="n">
        <v>11</v>
      </c>
      <c r="P12" t="n">
        <v>1</v>
      </c>
      <c r="Q12" t="n">
        <v>14</v>
      </c>
      <c r="R12" s="2" t="inlineStr">
        <is>
          <t>Skrovlig taggsvamp
Björktrast
Blanksvart spiklav
Dropptaggsvamp
Motaggsvamp
Mörk kolflarnlav
Skarp dropptaggsvamp
Talltita
Vedflamlav
Vedskivlav
Vitplätt
Mindre märgborre
Nästlav
Orre</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33211-2024</t>
        </is>
      </c>
      <c r="B13" s="1" t="n">
        <v>45518</v>
      </c>
      <c r="C13" s="1" t="n">
        <v>46191</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46191</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12370-2022</t>
        </is>
      </c>
      <c r="B15" s="1" t="n">
        <v>44637</v>
      </c>
      <c r="C15" s="1" t="n">
        <v>46191</v>
      </c>
      <c r="D15" t="inlineStr">
        <is>
          <t>VÄRMLANDS LÄN</t>
        </is>
      </c>
      <c r="E15" t="inlineStr">
        <is>
          <t>TORSBY</t>
        </is>
      </c>
      <c r="G15" t="n">
        <v>4.7</v>
      </c>
      <c r="H15" t="n">
        <v>0</v>
      </c>
      <c r="I15" t="n">
        <v>2</v>
      </c>
      <c r="J15" t="n">
        <v>8</v>
      </c>
      <c r="K15" t="n">
        <v>2</v>
      </c>
      <c r="L15" t="n">
        <v>0</v>
      </c>
      <c r="M15" t="n">
        <v>0</v>
      </c>
      <c r="N15" t="n">
        <v>0</v>
      </c>
      <c r="O15" t="n">
        <v>10</v>
      </c>
      <c r="P15" t="n">
        <v>2</v>
      </c>
      <c r="Q15" t="n">
        <v>12</v>
      </c>
      <c r="R15" s="2" t="inlineStr">
        <is>
          <t>Garnlav
Norsk näverlav
Brunpudrad nållav
Doftskinn
Dropptaggsvamp
Gammelgransskål
Orange taggsvamp
Vedskivlav
Violettgrå tagellav
Vitgrynig nållav
Bronshjon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60716-2021</t>
        </is>
      </c>
      <c r="B16" s="1" t="n">
        <v>44496</v>
      </c>
      <c r="C16" s="1" t="n">
        <v>46191</v>
      </c>
      <c r="D16" t="inlineStr">
        <is>
          <t>VÄRMLANDS LÄN</t>
        </is>
      </c>
      <c r="E16" t="inlineStr">
        <is>
          <t>TORSBY</t>
        </is>
      </c>
      <c r="G16" t="n">
        <v>7.2</v>
      </c>
      <c r="H16" t="n">
        <v>0</v>
      </c>
      <c r="I16" t="n">
        <v>4</v>
      </c>
      <c r="J16" t="n">
        <v>7</v>
      </c>
      <c r="K16" t="n">
        <v>1</v>
      </c>
      <c r="L16" t="n">
        <v>0</v>
      </c>
      <c r="M16" t="n">
        <v>0</v>
      </c>
      <c r="N16" t="n">
        <v>0</v>
      </c>
      <c r="O16" t="n">
        <v>8</v>
      </c>
      <c r="P16" t="n">
        <v>1</v>
      </c>
      <c r="Q16" t="n">
        <v>12</v>
      </c>
      <c r="R16" s="2" t="inlineStr">
        <is>
          <t>Garnlav
Doftskinn
Dvärgbägarlav
Gammelgransskål
Kattfotslav
Lunglav
Skrovellav
Skuggblåslav
Korallblylav
Stuplav
Vedticka
Vågbandad barkbock</t>
        </is>
      </c>
      <c r="S16">
        <f>HYPERLINK("https://klasma.github.io/Logging_1737/artfynd/A 60716-2021 artfynd.xlsx", "A 60716-2021")</f>
        <v/>
      </c>
      <c r="T16">
        <f>HYPERLINK("https://klasma.github.io/Logging_1737/kartor/A 60716-2021 karta.png", "A 60716-2021")</f>
        <v/>
      </c>
      <c r="V16">
        <f>HYPERLINK("https://klasma.github.io/Logging_1737/klagomål/A 60716-2021 FSC-klagomål.docx", "A 60716-2021")</f>
        <v/>
      </c>
      <c r="W16">
        <f>HYPERLINK("https://klasma.github.io/Logging_1737/klagomålsmail/A 60716-2021 FSC-klagomål mail.docx", "A 60716-2021")</f>
        <v/>
      </c>
      <c r="X16">
        <f>HYPERLINK("https://klasma.github.io/Logging_1737/tillsyn/A 60716-2021 tillsynsbegäran.docx", "A 60716-2021")</f>
        <v/>
      </c>
      <c r="Y16">
        <f>HYPERLINK("https://klasma.github.io/Logging_1737/tillsynsmail/A 60716-2021 tillsynsbegäran mail.docx", "A 60716-2021")</f>
        <v/>
      </c>
    </row>
    <row r="17" ht="15" customHeight="1">
      <c r="A17" t="inlineStr">
        <is>
          <t>A 44562-2023</t>
        </is>
      </c>
      <c r="B17" s="1" t="n">
        <v>45189</v>
      </c>
      <c r="C17" s="1" t="n">
        <v>46191</v>
      </c>
      <c r="D17" t="inlineStr">
        <is>
          <t>VÄRMLANDS LÄN</t>
        </is>
      </c>
      <c r="E17" t="inlineStr">
        <is>
          <t>TORSBY</t>
        </is>
      </c>
      <c r="G17" t="n">
        <v>2</v>
      </c>
      <c r="H17" t="n">
        <v>2</v>
      </c>
      <c r="I17" t="n">
        <v>1</v>
      </c>
      <c r="J17" t="n">
        <v>7</v>
      </c>
      <c r="K17" t="n">
        <v>3</v>
      </c>
      <c r="L17" t="n">
        <v>0</v>
      </c>
      <c r="M17" t="n">
        <v>0</v>
      </c>
      <c r="N17" t="n">
        <v>0</v>
      </c>
      <c r="O17" t="n">
        <v>10</v>
      </c>
      <c r="P17" t="n">
        <v>3</v>
      </c>
      <c r="Q17" t="n">
        <v>12</v>
      </c>
      <c r="R17" s="2" t="inlineStr">
        <is>
          <t>Fläckporing
Garnlav
Knärot
Dvärgbägarlav
Kattfotslav
Kolflarnlav
Mörk kolflarnlav
Ullticka
Vedskivlav
Violettgrå tagellav
Rostfläck
Tjäder</t>
        </is>
      </c>
      <c r="S17">
        <f>HYPERLINK("https://klasma.github.io/Logging_1737/artfynd/A 44562-2023 artfynd.xlsx", "A 44562-2023")</f>
        <v/>
      </c>
      <c r="T17">
        <f>HYPERLINK("https://klasma.github.io/Logging_1737/kartor/A 44562-2023 karta.png", "A 44562-2023")</f>
        <v/>
      </c>
      <c r="U17">
        <f>HYPERLINK("https://klasma.github.io/Logging_1737/knärot/A 44562-2023 karta knärot.png", "A 44562-2023")</f>
        <v/>
      </c>
      <c r="V17">
        <f>HYPERLINK("https://klasma.github.io/Logging_1737/klagomål/A 44562-2023 FSC-klagomål.docx", "A 44562-2023")</f>
        <v/>
      </c>
      <c r="W17">
        <f>HYPERLINK("https://klasma.github.io/Logging_1737/klagomålsmail/A 44562-2023 FSC-klagomål mail.docx", "A 44562-2023")</f>
        <v/>
      </c>
      <c r="X17">
        <f>HYPERLINK("https://klasma.github.io/Logging_1737/tillsyn/A 44562-2023 tillsynsbegäran.docx", "A 44562-2023")</f>
        <v/>
      </c>
      <c r="Y17">
        <f>HYPERLINK("https://klasma.github.io/Logging_1737/tillsynsmail/A 44562-2023 tillsynsbegäran mail.docx", "A 44562-2023")</f>
        <v/>
      </c>
      <c r="Z17">
        <f>HYPERLINK("https://klasma.github.io/Logging_1737/fåglar/A 44562-2023 prioriterade fågelarter.docx", "A 44562-2023")</f>
        <v/>
      </c>
    </row>
    <row r="18" ht="15" customHeight="1">
      <c r="A18" t="inlineStr">
        <is>
          <t>A 22621-2025</t>
        </is>
      </c>
      <c r="B18" s="1" t="n">
        <v>45789</v>
      </c>
      <c r="C18" s="1" t="n">
        <v>46191</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46191</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22006-2026</t>
        </is>
      </c>
      <c r="B20" s="1" t="n">
        <v>46153</v>
      </c>
      <c r="C20" s="1" t="n">
        <v>46191</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42488-2022</t>
        </is>
      </c>
      <c r="B21" s="1" t="n">
        <v>44831</v>
      </c>
      <c r="C21" s="1" t="n">
        <v>46191</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46191</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46191</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46191</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13525-2026</t>
        </is>
      </c>
      <c r="B25" s="1" t="n">
        <v>46094</v>
      </c>
      <c r="C25" s="1" t="n">
        <v>46191</v>
      </c>
      <c r="D25" t="inlineStr">
        <is>
          <t>VÄRMLANDS LÄN</t>
        </is>
      </c>
      <c r="E25" t="inlineStr">
        <is>
          <t>TORSBY</t>
        </is>
      </c>
      <c r="G25" t="n">
        <v>4.3</v>
      </c>
      <c r="H25" t="n">
        <v>0</v>
      </c>
      <c r="I25" t="n">
        <v>1</v>
      </c>
      <c r="J25" t="n">
        <v>7</v>
      </c>
      <c r="K25" t="n">
        <v>1</v>
      </c>
      <c r="L25" t="n">
        <v>0</v>
      </c>
      <c r="M25" t="n">
        <v>0</v>
      </c>
      <c r="N25" t="n">
        <v>0</v>
      </c>
      <c r="O25" t="n">
        <v>8</v>
      </c>
      <c r="P25" t="n">
        <v>1</v>
      </c>
      <c r="Q25" t="n">
        <v>9</v>
      </c>
      <c r="R25" s="2" t="inlineStr">
        <is>
          <t>Garnlav
Dvärgbägarlav
Kolflarnlav
Kortskaftad ärgspik
Mörk kolflarnlav
Skuggblåslav
Vedflamlav
Vedskivlav
Nästlav</t>
        </is>
      </c>
      <c r="S25">
        <f>HYPERLINK("https://klasma.github.io/Logging_1737/artfynd/A 13525-2026 artfynd.xlsx", "A 13525-2026")</f>
        <v/>
      </c>
      <c r="T25">
        <f>HYPERLINK("https://klasma.github.io/Logging_1737/kartor/A 13525-2026 karta.png", "A 13525-2026")</f>
        <v/>
      </c>
      <c r="V25">
        <f>HYPERLINK("https://klasma.github.io/Logging_1737/klagomål/A 13525-2026 FSC-klagomål.docx", "A 13525-2026")</f>
        <v/>
      </c>
      <c r="W25">
        <f>HYPERLINK("https://klasma.github.io/Logging_1737/klagomålsmail/A 13525-2026 FSC-klagomål mail.docx", "A 13525-2026")</f>
        <v/>
      </c>
      <c r="X25">
        <f>HYPERLINK("https://klasma.github.io/Logging_1737/tillsyn/A 13525-2026 tillsynsbegäran.docx", "A 13525-2026")</f>
        <v/>
      </c>
      <c r="Y25">
        <f>HYPERLINK("https://klasma.github.io/Logging_1737/tillsynsmail/A 13525-2026 tillsynsbegäran mail.docx", "A 13525-2026")</f>
        <v/>
      </c>
    </row>
    <row r="26" ht="15" customHeight="1">
      <c r="A26" t="inlineStr">
        <is>
          <t>A 58856-2025</t>
        </is>
      </c>
      <c r="B26" s="1" t="n">
        <v>45987</v>
      </c>
      <c r="C26" s="1" t="n">
        <v>46191</v>
      </c>
      <c r="D26" t="inlineStr">
        <is>
          <t>VÄRMLANDS LÄN</t>
        </is>
      </c>
      <c r="E26" t="inlineStr">
        <is>
          <t>TORSBY</t>
        </is>
      </c>
      <c r="G26" t="n">
        <v>4.6</v>
      </c>
      <c r="H26" t="n">
        <v>0</v>
      </c>
      <c r="I26" t="n">
        <v>1</v>
      </c>
      <c r="J26" t="n">
        <v>7</v>
      </c>
      <c r="K26" t="n">
        <v>1</v>
      </c>
      <c r="L26" t="n">
        <v>0</v>
      </c>
      <c r="M26" t="n">
        <v>0</v>
      </c>
      <c r="N26" t="n">
        <v>0</v>
      </c>
      <c r="O26" t="n">
        <v>8</v>
      </c>
      <c r="P26" t="n">
        <v>1</v>
      </c>
      <c r="Q26" t="n">
        <v>9</v>
      </c>
      <c r="R26" s="2" t="inlineStr">
        <is>
          <t>Garnlav
Brunpudrad nållav
Dvärgbägarlav
Kortskaftad ärgspik
Lunglav
Motaggsvamp
Skuggblåslav
Vedskivlav
Korallblylav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41096-2025</t>
        </is>
      </c>
      <c r="B27" s="1" t="n">
        <v>45898</v>
      </c>
      <c r="C27" s="1" t="n">
        <v>46191</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46191</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46191</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41346-2024</t>
        </is>
      </c>
      <c r="B30" s="1" t="n">
        <v>45559</v>
      </c>
      <c r="C30" s="1" t="n">
        <v>46191</v>
      </c>
      <c r="D30" t="inlineStr">
        <is>
          <t>VÄRMLANDS LÄN</t>
        </is>
      </c>
      <c r="E30" t="inlineStr">
        <is>
          <t>TORSBY</t>
        </is>
      </c>
      <c r="G30" t="n">
        <v>4.1</v>
      </c>
      <c r="H30" t="n">
        <v>0</v>
      </c>
      <c r="I30" t="n">
        <v>0</v>
      </c>
      <c r="J30" t="n">
        <v>7</v>
      </c>
      <c r="K30" t="n">
        <v>1</v>
      </c>
      <c r="L30" t="n">
        <v>0</v>
      </c>
      <c r="M30" t="n">
        <v>0</v>
      </c>
      <c r="N30" t="n">
        <v>0</v>
      </c>
      <c r="O30" t="n">
        <v>8</v>
      </c>
      <c r="P30" t="n">
        <v>1</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14968-2026</t>
        </is>
      </c>
      <c r="B31" s="1" t="n">
        <v>46104</v>
      </c>
      <c r="C31" s="1" t="n">
        <v>46191</v>
      </c>
      <c r="D31" t="inlineStr">
        <is>
          <t>VÄRMLANDS LÄN</t>
        </is>
      </c>
      <c r="E31" t="inlineStr">
        <is>
          <t>TORSBY</t>
        </is>
      </c>
      <c r="F31" t="inlineStr">
        <is>
          <t>Bergvik skog väst AB</t>
        </is>
      </c>
      <c r="G31" t="n">
        <v>12</v>
      </c>
      <c r="H31" t="n">
        <v>2</v>
      </c>
      <c r="I31" t="n">
        <v>2</v>
      </c>
      <c r="J31" t="n">
        <v>5</v>
      </c>
      <c r="K31" t="n">
        <v>0</v>
      </c>
      <c r="L31" t="n">
        <v>0</v>
      </c>
      <c r="M31" t="n">
        <v>0</v>
      </c>
      <c r="N31" t="n">
        <v>0</v>
      </c>
      <c r="O31" t="n">
        <v>5</v>
      </c>
      <c r="P31" t="n">
        <v>0</v>
      </c>
      <c r="Q31" t="n">
        <v>8</v>
      </c>
      <c r="R31" s="2" t="inlineStr">
        <is>
          <t>Blanksvart spiklav
Lunglav
Skrovellav
Tretåig hackspett
Vitgrynig nållav
Luddlav
Stuplav
Utter</t>
        </is>
      </c>
      <c r="S31">
        <f>HYPERLINK("https://klasma.github.io/Logging_1737/artfynd/A 14968-2026 artfynd.xlsx", "A 14968-2026")</f>
        <v/>
      </c>
      <c r="T31">
        <f>HYPERLINK("https://klasma.github.io/Logging_1737/kartor/A 14968-2026 karta.png", "A 14968-2026")</f>
        <v/>
      </c>
      <c r="V31">
        <f>HYPERLINK("https://klasma.github.io/Logging_1737/klagomål/A 14968-2026 FSC-klagomål.docx", "A 14968-2026")</f>
        <v/>
      </c>
      <c r="W31">
        <f>HYPERLINK("https://klasma.github.io/Logging_1737/klagomålsmail/A 14968-2026 FSC-klagomål mail.docx", "A 14968-2026")</f>
        <v/>
      </c>
      <c r="X31">
        <f>HYPERLINK("https://klasma.github.io/Logging_1737/tillsyn/A 14968-2026 tillsynsbegäran.docx", "A 14968-2026")</f>
        <v/>
      </c>
      <c r="Y31">
        <f>HYPERLINK("https://klasma.github.io/Logging_1737/tillsynsmail/A 14968-2026 tillsynsbegäran mail.docx", "A 14968-2026")</f>
        <v/>
      </c>
      <c r="Z31">
        <f>HYPERLINK("https://klasma.github.io/Logging_1737/fåglar/A 14968-2026 prioriterade fågelarter.docx", "A 14968-2026")</f>
        <v/>
      </c>
    </row>
    <row r="32" ht="15" customHeight="1">
      <c r="A32" t="inlineStr">
        <is>
          <t>A 22604-2025</t>
        </is>
      </c>
      <c r="B32" s="1" t="n">
        <v>45789</v>
      </c>
      <c r="C32" s="1" t="n">
        <v>46191</v>
      </c>
      <c r="D32" t="inlineStr">
        <is>
          <t>VÄRMLANDS LÄN</t>
        </is>
      </c>
      <c r="E32" t="inlineStr">
        <is>
          <t>TORSBY</t>
        </is>
      </c>
      <c r="G32" t="n">
        <v>13.3</v>
      </c>
      <c r="H32" t="n">
        <v>0</v>
      </c>
      <c r="I32" t="n">
        <v>0</v>
      </c>
      <c r="J32" t="n">
        <v>7</v>
      </c>
      <c r="K32" t="n">
        <v>1</v>
      </c>
      <c r="L32" t="n">
        <v>0</v>
      </c>
      <c r="M32" t="n">
        <v>0</v>
      </c>
      <c r="N32" t="n">
        <v>0</v>
      </c>
      <c r="O32" t="n">
        <v>8</v>
      </c>
      <c r="P32" t="n">
        <v>1</v>
      </c>
      <c r="Q32" t="n">
        <v>8</v>
      </c>
      <c r="R32" s="2" t="inlineStr">
        <is>
          <t>Garnlav
Dvärgbägarlav
Kolflarnlav
Lunglav
Mörk kolflarnlav
Skrovellav
Vedskivlav
Violettgrå tagellav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46191</v>
      </c>
      <c r="D33" t="inlineStr">
        <is>
          <t>VÄRMLANDS LÄN</t>
        </is>
      </c>
      <c r="E33" t="inlineStr">
        <is>
          <t>TORSBY</t>
        </is>
      </c>
      <c r="G33" t="n">
        <v>2.4</v>
      </c>
      <c r="H33" t="n">
        <v>1</v>
      </c>
      <c r="I33" t="n">
        <v>4</v>
      </c>
      <c r="J33" t="n">
        <v>2</v>
      </c>
      <c r="K33" t="n">
        <v>0</v>
      </c>
      <c r="L33" t="n">
        <v>0</v>
      </c>
      <c r="M33" t="n">
        <v>0</v>
      </c>
      <c r="N33" t="n">
        <v>0</v>
      </c>
      <c r="O33" t="n">
        <v>2</v>
      </c>
      <c r="P33" t="n">
        <v>0</v>
      </c>
      <c r="Q33" t="n">
        <v>7</v>
      </c>
      <c r="R33" s="2" t="inlineStr">
        <is>
          <t>Gullpudra
Vårärt
Dvärghäxört
Svart trolldruva
Tibast
Underviol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46191</v>
      </c>
      <c r="D34" t="inlineStr">
        <is>
          <t>VÄRMLANDS LÄN</t>
        </is>
      </c>
      <c r="E34" t="inlineStr">
        <is>
          <t>TORSBY</t>
        </is>
      </c>
      <c r="G34" t="n">
        <v>3</v>
      </c>
      <c r="H34" t="n">
        <v>0</v>
      </c>
      <c r="I34" t="n">
        <v>4</v>
      </c>
      <c r="J34" t="n">
        <v>2</v>
      </c>
      <c r="K34" t="n">
        <v>1</v>
      </c>
      <c r="L34" t="n">
        <v>0</v>
      </c>
      <c r="M34" t="n">
        <v>0</v>
      </c>
      <c r="N34" t="n">
        <v>0</v>
      </c>
      <c r="O34" t="n">
        <v>3</v>
      </c>
      <c r="P34" t="n">
        <v>1</v>
      </c>
      <c r="Q34" t="n">
        <v>7</v>
      </c>
      <c r="R34" s="2" t="inlineStr">
        <is>
          <t>Garnlav
Lunglav
Ullticka
Gulnål
Korallblylav
Luddlav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54297-2022</t>
        </is>
      </c>
      <c r="B35" s="1" t="n">
        <v>44882</v>
      </c>
      <c r="C35" s="1" t="n">
        <v>46191</v>
      </c>
      <c r="D35" t="inlineStr">
        <is>
          <t>VÄRMLANDS LÄN</t>
        </is>
      </c>
      <c r="E35" t="inlineStr">
        <is>
          <t>TORSBY</t>
        </is>
      </c>
      <c r="G35" t="n">
        <v>10.2</v>
      </c>
      <c r="H35" t="n">
        <v>1</v>
      </c>
      <c r="I35" t="n">
        <v>5</v>
      </c>
      <c r="J35" t="n">
        <v>1</v>
      </c>
      <c r="K35" t="n">
        <v>1</v>
      </c>
      <c r="L35" t="n">
        <v>0</v>
      </c>
      <c r="M35" t="n">
        <v>0</v>
      </c>
      <c r="N35" t="n">
        <v>0</v>
      </c>
      <c r="O35" t="n">
        <v>2</v>
      </c>
      <c r="P35" t="n">
        <v>1</v>
      </c>
      <c r="Q35" t="n">
        <v>7</v>
      </c>
      <c r="R35" s="2" t="inlineStr">
        <is>
          <t>Garnlav
Tretåig hackspett
Bronshjon
Bårdlav
Stuplav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73921-2021</t>
        </is>
      </c>
      <c r="B36" s="1" t="n">
        <v>44553</v>
      </c>
      <c r="C36" s="1" t="n">
        <v>46191</v>
      </c>
      <c r="D36" t="inlineStr">
        <is>
          <t>VÄRMLANDS LÄN</t>
        </is>
      </c>
      <c r="E36" t="inlineStr">
        <is>
          <t>TORSBY</t>
        </is>
      </c>
      <c r="G36" t="n">
        <v>15.3</v>
      </c>
      <c r="H36" t="n">
        <v>0</v>
      </c>
      <c r="I36" t="n">
        <v>0</v>
      </c>
      <c r="J36" t="n">
        <v>6</v>
      </c>
      <c r="K36" t="n">
        <v>1</v>
      </c>
      <c r="L36" t="n">
        <v>0</v>
      </c>
      <c r="M36" t="n">
        <v>0</v>
      </c>
      <c r="N36" t="n">
        <v>0</v>
      </c>
      <c r="O36" t="n">
        <v>7</v>
      </c>
      <c r="P36" t="n">
        <v>1</v>
      </c>
      <c r="Q36" t="n">
        <v>7</v>
      </c>
      <c r="R36" s="2" t="inlineStr">
        <is>
          <t>Garnlav
Dropptaggsvamp
Gammelgransskål
Kolflarnlav
Motaggsvamp
Mörk kolflarnlav
Vedskivlav</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20012-2026</t>
        </is>
      </c>
      <c r="B37" s="1" t="n">
        <v>46136</v>
      </c>
      <c r="C37" s="1" t="n">
        <v>46191</v>
      </c>
      <c r="D37" t="inlineStr">
        <is>
          <t>VÄRMLANDS LÄN</t>
        </is>
      </c>
      <c r="E37" t="inlineStr">
        <is>
          <t>TORSBY</t>
        </is>
      </c>
      <c r="G37" t="n">
        <v>4.9</v>
      </c>
      <c r="H37" t="n">
        <v>1</v>
      </c>
      <c r="I37" t="n">
        <v>2</v>
      </c>
      <c r="J37" t="n">
        <v>2</v>
      </c>
      <c r="K37" t="n">
        <v>2</v>
      </c>
      <c r="L37" t="n">
        <v>0</v>
      </c>
      <c r="M37" t="n">
        <v>0</v>
      </c>
      <c r="N37" t="n">
        <v>0</v>
      </c>
      <c r="O37" t="n">
        <v>4</v>
      </c>
      <c r="P37" t="n">
        <v>2</v>
      </c>
      <c r="Q37" t="n">
        <v>7</v>
      </c>
      <c r="R37" s="2" t="inlineStr">
        <is>
          <t>Citronporing
Gränsticka
Gransotdyna
Vedtrappmossa
Trådticka
Vedticka
Revlummer</t>
        </is>
      </c>
      <c r="S37">
        <f>HYPERLINK("https://klasma.github.io/Logging_1737/artfynd/A 20012-2026 artfynd.xlsx", "A 20012-2026")</f>
        <v/>
      </c>
      <c r="T37">
        <f>HYPERLINK("https://klasma.github.io/Logging_1737/kartor/A 20012-2026 karta.png", "A 20012-2026")</f>
        <v/>
      </c>
      <c r="V37">
        <f>HYPERLINK("https://klasma.github.io/Logging_1737/klagomål/A 20012-2026 FSC-klagomål.docx", "A 20012-2026")</f>
        <v/>
      </c>
      <c r="W37">
        <f>HYPERLINK("https://klasma.github.io/Logging_1737/klagomålsmail/A 20012-2026 FSC-klagomål mail.docx", "A 20012-2026")</f>
        <v/>
      </c>
      <c r="X37">
        <f>HYPERLINK("https://klasma.github.io/Logging_1737/tillsyn/A 20012-2026 tillsynsbegäran.docx", "A 20012-2026")</f>
        <v/>
      </c>
      <c r="Y37">
        <f>HYPERLINK("https://klasma.github.io/Logging_1737/tillsynsmail/A 20012-2026 tillsynsbegäran mail.docx", "A 20012-2026")</f>
        <v/>
      </c>
    </row>
    <row r="38" ht="15" customHeight="1">
      <c r="A38" t="inlineStr">
        <is>
          <t>A 8979-2025</t>
        </is>
      </c>
      <c r="B38" s="1" t="n">
        <v>45713</v>
      </c>
      <c r="C38" s="1" t="n">
        <v>46191</v>
      </c>
      <c r="D38" t="inlineStr">
        <is>
          <t>VÄRMLANDS LÄN</t>
        </is>
      </c>
      <c r="E38" t="inlineStr">
        <is>
          <t>TORSBY</t>
        </is>
      </c>
      <c r="G38" t="n">
        <v>6.5</v>
      </c>
      <c r="H38" t="n">
        <v>1</v>
      </c>
      <c r="I38" t="n">
        <v>5</v>
      </c>
      <c r="J38" t="n">
        <v>1</v>
      </c>
      <c r="K38" t="n">
        <v>0</v>
      </c>
      <c r="L38" t="n">
        <v>0</v>
      </c>
      <c r="M38" t="n">
        <v>0</v>
      </c>
      <c r="N38" t="n">
        <v>0</v>
      </c>
      <c r="O38" t="n">
        <v>1</v>
      </c>
      <c r="P38" t="n">
        <v>0</v>
      </c>
      <c r="Q38" t="n">
        <v>7</v>
      </c>
      <c r="R38" s="2" t="inlineStr">
        <is>
          <t>Veckticka
Bårdlav
Korallblylav
Platt fjädermossa
Rävticka
Svart trolldruva
Blåsippa</t>
        </is>
      </c>
      <c r="S38">
        <f>HYPERLINK("https://klasma.github.io/Logging_1737/artfynd/A 8979-2025 artfynd.xlsx", "A 8979-2025")</f>
        <v/>
      </c>
      <c r="T38">
        <f>HYPERLINK("https://klasma.github.io/Logging_1737/kartor/A 8979-2025 karta.png", "A 8979-2025")</f>
        <v/>
      </c>
      <c r="V38">
        <f>HYPERLINK("https://klasma.github.io/Logging_1737/klagomål/A 8979-2025 FSC-klagomål.docx", "A 8979-2025")</f>
        <v/>
      </c>
      <c r="W38">
        <f>HYPERLINK("https://klasma.github.io/Logging_1737/klagomålsmail/A 8979-2025 FSC-klagomål mail.docx", "A 8979-2025")</f>
        <v/>
      </c>
      <c r="X38">
        <f>HYPERLINK("https://klasma.github.io/Logging_1737/tillsyn/A 8979-2025 tillsynsbegäran.docx", "A 8979-2025")</f>
        <v/>
      </c>
      <c r="Y38">
        <f>HYPERLINK("https://klasma.github.io/Logging_1737/tillsynsmail/A 8979-2025 tillsynsbegäran mail.docx", "A 8979-2025")</f>
        <v/>
      </c>
    </row>
    <row r="39" ht="15" customHeight="1">
      <c r="A39" t="inlineStr">
        <is>
          <t>A 17057-2025</t>
        </is>
      </c>
      <c r="B39" s="1" t="n">
        <v>45754</v>
      </c>
      <c r="C39" s="1" t="n">
        <v>46191</v>
      </c>
      <c r="D39" t="inlineStr">
        <is>
          <t>VÄRMLANDS LÄN</t>
        </is>
      </c>
      <c r="E39" t="inlineStr">
        <is>
          <t>TORSBY</t>
        </is>
      </c>
      <c r="G39" t="n">
        <v>5.2</v>
      </c>
      <c r="H39" t="n">
        <v>0</v>
      </c>
      <c r="I39" t="n">
        <v>0</v>
      </c>
      <c r="J39" t="n">
        <v>6</v>
      </c>
      <c r="K39" t="n">
        <v>1</v>
      </c>
      <c r="L39" t="n">
        <v>0</v>
      </c>
      <c r="M39" t="n">
        <v>0</v>
      </c>
      <c r="N39" t="n">
        <v>0</v>
      </c>
      <c r="O39" t="n">
        <v>7</v>
      </c>
      <c r="P39" t="n">
        <v>1</v>
      </c>
      <c r="Q39" t="n">
        <v>7</v>
      </c>
      <c r="R39" s="2" t="inlineStr">
        <is>
          <t>Garnlav
Dropptaggsvamp
Kolflarnlav
Mörk kolflarnlav
Tallticka
Vedflamlav
Vedskivlav</t>
        </is>
      </c>
      <c r="S39">
        <f>HYPERLINK("https://klasma.github.io/Logging_1737/artfynd/A 17057-2025 artfynd.xlsx", "A 17057-2025")</f>
        <v/>
      </c>
      <c r="T39">
        <f>HYPERLINK("https://klasma.github.io/Logging_1737/kartor/A 17057-2025 karta.png", "A 17057-2025")</f>
        <v/>
      </c>
      <c r="V39">
        <f>HYPERLINK("https://klasma.github.io/Logging_1737/klagomål/A 17057-2025 FSC-klagomål.docx", "A 17057-2025")</f>
        <v/>
      </c>
      <c r="W39">
        <f>HYPERLINK("https://klasma.github.io/Logging_1737/klagomålsmail/A 17057-2025 FSC-klagomål mail.docx", "A 17057-2025")</f>
        <v/>
      </c>
      <c r="X39">
        <f>HYPERLINK("https://klasma.github.io/Logging_1737/tillsyn/A 17057-2025 tillsynsbegäran.docx", "A 17057-2025")</f>
        <v/>
      </c>
      <c r="Y39">
        <f>HYPERLINK("https://klasma.github.io/Logging_1737/tillsynsmail/A 17057-2025 tillsynsbegäran mail.docx", "A 17057-2025")</f>
        <v/>
      </c>
    </row>
    <row r="40" ht="15" customHeight="1">
      <c r="A40" t="inlineStr">
        <is>
          <t>A 26488-2025</t>
        </is>
      </c>
      <c r="B40" s="1" t="n">
        <v>45807</v>
      </c>
      <c r="C40" s="1" t="n">
        <v>46191</v>
      </c>
      <c r="D40" t="inlineStr">
        <is>
          <t>VÄRMLANDS LÄN</t>
        </is>
      </c>
      <c r="E40" t="inlineStr">
        <is>
          <t>TORSBY</t>
        </is>
      </c>
      <c r="G40" t="n">
        <v>1.6</v>
      </c>
      <c r="H40" t="n">
        <v>2</v>
      </c>
      <c r="I40" t="n">
        <v>2</v>
      </c>
      <c r="J40" t="n">
        <v>3</v>
      </c>
      <c r="K40" t="n">
        <v>1</v>
      </c>
      <c r="L40" t="n">
        <v>0</v>
      </c>
      <c r="M40" t="n">
        <v>0</v>
      </c>
      <c r="N40" t="n">
        <v>0</v>
      </c>
      <c r="O40" t="n">
        <v>4</v>
      </c>
      <c r="P40" t="n">
        <v>1</v>
      </c>
      <c r="Q40" t="n">
        <v>7</v>
      </c>
      <c r="R40" s="2" t="inlineStr">
        <is>
          <t>Garnlav
Motaggsvamp
Skuggblåslav
Talltita
Gullgröppa
Nästlav
Kungsfågel</t>
        </is>
      </c>
      <c r="S40">
        <f>HYPERLINK("https://klasma.github.io/Logging_1737/artfynd/A 26488-2025 artfynd.xlsx", "A 26488-2025")</f>
        <v/>
      </c>
      <c r="T40">
        <f>HYPERLINK("https://klasma.github.io/Logging_1737/kartor/A 26488-2025 karta.png", "A 26488-2025")</f>
        <v/>
      </c>
      <c r="V40">
        <f>HYPERLINK("https://klasma.github.io/Logging_1737/klagomål/A 26488-2025 FSC-klagomål.docx", "A 26488-2025")</f>
        <v/>
      </c>
      <c r="W40">
        <f>HYPERLINK("https://klasma.github.io/Logging_1737/klagomålsmail/A 26488-2025 FSC-klagomål mail.docx", "A 26488-2025")</f>
        <v/>
      </c>
      <c r="X40">
        <f>HYPERLINK("https://klasma.github.io/Logging_1737/tillsyn/A 26488-2025 tillsynsbegäran.docx", "A 26488-2025")</f>
        <v/>
      </c>
      <c r="Y40">
        <f>HYPERLINK("https://klasma.github.io/Logging_1737/tillsynsmail/A 26488-2025 tillsynsbegäran mail.docx", "A 26488-2025")</f>
        <v/>
      </c>
      <c r="Z40">
        <f>HYPERLINK("https://klasma.github.io/Logging_1737/fåglar/A 26488-2025 prioriterade fågelarter.docx", "A 26488-2025")</f>
        <v/>
      </c>
    </row>
    <row r="41" ht="15" customHeight="1">
      <c r="A41" t="inlineStr">
        <is>
          <t>A 32986-2025</t>
        </is>
      </c>
      <c r="B41" s="1" t="n">
        <v>45839</v>
      </c>
      <c r="C41" s="1" t="n">
        <v>46191</v>
      </c>
      <c r="D41" t="inlineStr">
        <is>
          <t>VÄRMLANDS LÄN</t>
        </is>
      </c>
      <c r="E41" t="inlineStr">
        <is>
          <t>TORSBY</t>
        </is>
      </c>
      <c r="G41" t="n">
        <v>2.9</v>
      </c>
      <c r="H41" t="n">
        <v>0</v>
      </c>
      <c r="I41" t="n">
        <v>0</v>
      </c>
      <c r="J41" t="n">
        <v>5</v>
      </c>
      <c r="K41" t="n">
        <v>2</v>
      </c>
      <c r="L41" t="n">
        <v>0</v>
      </c>
      <c r="M41" t="n">
        <v>0</v>
      </c>
      <c r="N41" t="n">
        <v>0</v>
      </c>
      <c r="O41" t="n">
        <v>7</v>
      </c>
      <c r="P41" t="n">
        <v>2</v>
      </c>
      <c r="Q41" t="n">
        <v>7</v>
      </c>
      <c r="R41" s="2" t="inlineStr">
        <is>
          <t>Garnlav
Gräddporing
Dropptaggsvamp
Dvärgbägarlav
Kolflarnlav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49109-2021</t>
        </is>
      </c>
      <c r="B42" s="1" t="n">
        <v>44453</v>
      </c>
      <c r="C42" s="1" t="n">
        <v>46191</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46191</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46191</v>
      </c>
      <c r="D44" t="inlineStr">
        <is>
          <t>VÄRMLANDS LÄN</t>
        </is>
      </c>
      <c r="E44" t="inlineStr">
        <is>
          <t>TORSBY</t>
        </is>
      </c>
      <c r="F44" t="inlineStr">
        <is>
          <t>Övriga statliga verk och myndigheter</t>
        </is>
      </c>
      <c r="G44" t="n">
        <v>4.4</v>
      </c>
      <c r="H44" t="n">
        <v>0</v>
      </c>
      <c r="I44" t="n">
        <v>0</v>
      </c>
      <c r="J44" t="n">
        <v>5</v>
      </c>
      <c r="K44" t="n">
        <v>1</v>
      </c>
      <c r="L44" t="n">
        <v>0</v>
      </c>
      <c r="M44" t="n">
        <v>0</v>
      </c>
      <c r="N44" t="n">
        <v>0</v>
      </c>
      <c r="O44" t="n">
        <v>6</v>
      </c>
      <c r="P44" t="n">
        <v>1</v>
      </c>
      <c r="Q44" t="n">
        <v>6</v>
      </c>
      <c r="R44" s="2" t="inlineStr">
        <is>
          <t>Garnlav
Dropptaggsvamp
Mörk kolflarnlav
Tallticka
Vedskivlav
Violettgrå tagellav</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19224-2026</t>
        </is>
      </c>
      <c r="B45" s="1" t="n">
        <v>46132</v>
      </c>
      <c r="C45" s="1" t="n">
        <v>46191</v>
      </c>
      <c r="D45" t="inlineStr">
        <is>
          <t>VÄRMLANDS LÄN</t>
        </is>
      </c>
      <c r="E45" t="inlineStr">
        <is>
          <t>TORSBY</t>
        </is>
      </c>
      <c r="G45" t="n">
        <v>2.5</v>
      </c>
      <c r="H45" t="n">
        <v>2</v>
      </c>
      <c r="I45" t="n">
        <v>2</v>
      </c>
      <c r="J45" t="n">
        <v>1</v>
      </c>
      <c r="K45" t="n">
        <v>1</v>
      </c>
      <c r="L45" t="n">
        <v>0</v>
      </c>
      <c r="M45" t="n">
        <v>0</v>
      </c>
      <c r="N45" t="n">
        <v>0</v>
      </c>
      <c r="O45" t="n">
        <v>2</v>
      </c>
      <c r="P45" t="n">
        <v>1</v>
      </c>
      <c r="Q45" t="n">
        <v>6</v>
      </c>
      <c r="R45" s="2" t="inlineStr">
        <is>
          <t>Garnlav
Violettgrå tagellav
Nästlav
Sotlav
Kungsfågel
Kopparödla</t>
        </is>
      </c>
      <c r="S45">
        <f>HYPERLINK("https://klasma.github.io/Logging_1737/artfynd/A 19224-2026 artfynd.xlsx", "A 19224-2026")</f>
        <v/>
      </c>
      <c r="T45">
        <f>HYPERLINK("https://klasma.github.io/Logging_1737/kartor/A 19224-2026 karta.png", "A 19224-2026")</f>
        <v/>
      </c>
      <c r="V45">
        <f>HYPERLINK("https://klasma.github.io/Logging_1737/klagomål/A 19224-2026 FSC-klagomål.docx", "A 19224-2026")</f>
        <v/>
      </c>
      <c r="W45">
        <f>HYPERLINK("https://klasma.github.io/Logging_1737/klagomålsmail/A 19224-2026 FSC-klagomål mail.docx", "A 19224-2026")</f>
        <v/>
      </c>
      <c r="X45">
        <f>HYPERLINK("https://klasma.github.io/Logging_1737/tillsyn/A 19224-2026 tillsynsbegäran.docx", "A 19224-2026")</f>
        <v/>
      </c>
      <c r="Y45">
        <f>HYPERLINK("https://klasma.github.io/Logging_1737/tillsynsmail/A 19224-2026 tillsynsbegäran mail.docx", "A 19224-2026")</f>
        <v/>
      </c>
      <c r="Z45">
        <f>HYPERLINK("https://klasma.github.io/Logging_1737/fåglar/A 19224-2026 prioriterade fågelarter.docx", "A 19224-2026")</f>
        <v/>
      </c>
    </row>
    <row r="46" ht="15" customHeight="1">
      <c r="A46" t="inlineStr">
        <is>
          <t>A 62250-2025</t>
        </is>
      </c>
      <c r="B46" s="1" t="n">
        <v>46006</v>
      </c>
      <c r="C46" s="1" t="n">
        <v>46191</v>
      </c>
      <c r="D46" t="inlineStr">
        <is>
          <t>VÄRMLANDS LÄN</t>
        </is>
      </c>
      <c r="E46" t="inlineStr">
        <is>
          <t>TORSBY</t>
        </is>
      </c>
      <c r="F46" t="inlineStr">
        <is>
          <t>Bergvik skog väst AB</t>
        </is>
      </c>
      <c r="G46" t="n">
        <v>1.3</v>
      </c>
      <c r="H46" t="n">
        <v>0</v>
      </c>
      <c r="I46" t="n">
        <v>1</v>
      </c>
      <c r="J46" t="n">
        <v>4</v>
      </c>
      <c r="K46" t="n">
        <v>1</v>
      </c>
      <c r="L46" t="n">
        <v>0</v>
      </c>
      <c r="M46" t="n">
        <v>0</v>
      </c>
      <c r="N46" t="n">
        <v>0</v>
      </c>
      <c r="O46" t="n">
        <v>5</v>
      </c>
      <c r="P46" t="n">
        <v>1</v>
      </c>
      <c r="Q46" t="n">
        <v>6</v>
      </c>
      <c r="R46" s="2" t="inlineStr">
        <is>
          <t>Garnlav
Dvärgbägarlav
Mörk kolflarnlav
Skuggblåslav
Vedskivlav
Vedticka</t>
        </is>
      </c>
      <c r="S46">
        <f>HYPERLINK("https://klasma.github.io/Logging_1737/artfynd/A 62250-2025 artfynd.xlsx", "A 62250-2025")</f>
        <v/>
      </c>
      <c r="T46">
        <f>HYPERLINK("https://klasma.github.io/Logging_1737/kartor/A 62250-2025 karta.png", "A 62250-2025")</f>
        <v/>
      </c>
      <c r="V46">
        <f>HYPERLINK("https://klasma.github.io/Logging_1737/klagomål/A 62250-2025 FSC-klagomål.docx", "A 62250-2025")</f>
        <v/>
      </c>
      <c r="W46">
        <f>HYPERLINK("https://klasma.github.io/Logging_1737/klagomålsmail/A 62250-2025 FSC-klagomål mail.docx", "A 62250-2025")</f>
        <v/>
      </c>
      <c r="X46">
        <f>HYPERLINK("https://klasma.github.io/Logging_1737/tillsyn/A 62250-2025 tillsynsbegäran.docx", "A 62250-2025")</f>
        <v/>
      </c>
      <c r="Y46">
        <f>HYPERLINK("https://klasma.github.io/Logging_1737/tillsynsmail/A 62250-2025 tillsynsbegäran mail.docx", "A 62250-2025")</f>
        <v/>
      </c>
    </row>
    <row r="47" ht="15" customHeight="1">
      <c r="A47" t="inlineStr">
        <is>
          <t>A 72312-2021</t>
        </is>
      </c>
      <c r="B47" s="1" t="n">
        <v>44545</v>
      </c>
      <c r="C47" s="1" t="n">
        <v>46191</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46191</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46191</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62275-2023</t>
        </is>
      </c>
      <c r="B50" s="1" t="n">
        <v>45267</v>
      </c>
      <c r="C50" s="1" t="n">
        <v>46191</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37388-2025</t>
        </is>
      </c>
      <c r="B51" s="1" t="n">
        <v>45877</v>
      </c>
      <c r="C51" s="1" t="n">
        <v>46191</v>
      </c>
      <c r="D51" t="inlineStr">
        <is>
          <t>VÄRMLANDS LÄN</t>
        </is>
      </c>
      <c r="E51" t="inlineStr">
        <is>
          <t>TORSBY</t>
        </is>
      </c>
      <c r="G51" t="n">
        <v>14.1</v>
      </c>
      <c r="H51" t="n">
        <v>1</v>
      </c>
      <c r="I51" t="n">
        <v>2</v>
      </c>
      <c r="J51" t="n">
        <v>2</v>
      </c>
      <c r="K51" t="n">
        <v>0</v>
      </c>
      <c r="L51" t="n">
        <v>0</v>
      </c>
      <c r="M51" t="n">
        <v>0</v>
      </c>
      <c r="N51" t="n">
        <v>0</v>
      </c>
      <c r="O51" t="n">
        <v>2</v>
      </c>
      <c r="P51" t="n">
        <v>0</v>
      </c>
      <c r="Q51" t="n">
        <v>5</v>
      </c>
      <c r="R51" s="2" t="inlineStr">
        <is>
          <t>Doftskinn
Violettgrå tagellav
Mörk husmossa
Vedticka
Tjäder</t>
        </is>
      </c>
      <c r="S51">
        <f>HYPERLINK("https://klasma.github.io/Logging_1737/artfynd/A 37388-2025 artfynd.xlsx", "A 37388-2025")</f>
        <v/>
      </c>
      <c r="T51">
        <f>HYPERLINK("https://klasma.github.io/Logging_1737/kartor/A 37388-2025 karta.png", "A 37388-2025")</f>
        <v/>
      </c>
      <c r="V51">
        <f>HYPERLINK("https://klasma.github.io/Logging_1737/klagomål/A 37388-2025 FSC-klagomål.docx", "A 37388-2025")</f>
        <v/>
      </c>
      <c r="W51">
        <f>HYPERLINK("https://klasma.github.io/Logging_1737/klagomålsmail/A 37388-2025 FSC-klagomål mail.docx", "A 37388-2025")</f>
        <v/>
      </c>
      <c r="X51">
        <f>HYPERLINK("https://klasma.github.io/Logging_1737/tillsyn/A 37388-2025 tillsynsbegäran.docx", "A 37388-2025")</f>
        <v/>
      </c>
      <c r="Y51">
        <f>HYPERLINK("https://klasma.github.io/Logging_1737/tillsynsmail/A 37388-2025 tillsynsbegäran mail.docx", "A 37388-2025")</f>
        <v/>
      </c>
      <c r="Z51">
        <f>HYPERLINK("https://klasma.github.io/Logging_1737/fåglar/A 37388-2025 prioriterade fågelarter.docx", "A 37388-2025")</f>
        <v/>
      </c>
    </row>
    <row r="52" ht="15" customHeight="1">
      <c r="A52" t="inlineStr">
        <is>
          <t>A 9226-2025</t>
        </is>
      </c>
      <c r="B52" s="1" t="n">
        <v>45714</v>
      </c>
      <c r="C52" s="1" t="n">
        <v>46191</v>
      </c>
      <c r="D52" t="inlineStr">
        <is>
          <t>VÄRMLANDS LÄN</t>
        </is>
      </c>
      <c r="E52" t="inlineStr">
        <is>
          <t>TORSBY</t>
        </is>
      </c>
      <c r="G52" t="n">
        <v>0.8</v>
      </c>
      <c r="H52" t="n">
        <v>1</v>
      </c>
      <c r="I52" t="n">
        <v>3</v>
      </c>
      <c r="J52" t="n">
        <v>1</v>
      </c>
      <c r="K52" t="n">
        <v>0</v>
      </c>
      <c r="L52" t="n">
        <v>1</v>
      </c>
      <c r="M52" t="n">
        <v>0</v>
      </c>
      <c r="N52" t="n">
        <v>0</v>
      </c>
      <c r="O52" t="n">
        <v>2</v>
      </c>
      <c r="P52" t="n">
        <v>1</v>
      </c>
      <c r="Q52" t="n">
        <v>5</v>
      </c>
      <c r="R52" s="2" t="inlineStr">
        <is>
          <t>Bombmurkla
Späd bäckmossa
Blanksvart trämyra
Mörk husmossa
Skogshakmossa</t>
        </is>
      </c>
      <c r="S52">
        <f>HYPERLINK("https://klasma.github.io/Logging_1737/artfynd/A 9226-2025 artfynd.xlsx", "A 9226-2025")</f>
        <v/>
      </c>
      <c r="T52">
        <f>HYPERLINK("https://klasma.github.io/Logging_1737/kartor/A 9226-2025 karta.png", "A 9226-2025")</f>
        <v/>
      </c>
      <c r="V52">
        <f>HYPERLINK("https://klasma.github.io/Logging_1737/klagomål/A 9226-2025 FSC-klagomål.docx", "A 9226-2025")</f>
        <v/>
      </c>
      <c r="W52">
        <f>HYPERLINK("https://klasma.github.io/Logging_1737/klagomålsmail/A 9226-2025 FSC-klagomål mail.docx", "A 9226-2025")</f>
        <v/>
      </c>
      <c r="X52">
        <f>HYPERLINK("https://klasma.github.io/Logging_1737/tillsyn/A 9226-2025 tillsynsbegäran.docx", "A 9226-2025")</f>
        <v/>
      </c>
      <c r="Y52">
        <f>HYPERLINK("https://klasma.github.io/Logging_1737/tillsynsmail/A 9226-2025 tillsynsbegäran mail.docx", "A 9226-2025")</f>
        <v/>
      </c>
    </row>
    <row r="53" ht="15" customHeight="1">
      <c r="A53" t="inlineStr">
        <is>
          <t>A 4972-2022</t>
        </is>
      </c>
      <c r="B53" s="1" t="n">
        <v>44593</v>
      </c>
      <c r="C53" s="1" t="n">
        <v>46191</v>
      </c>
      <c r="D53" t="inlineStr">
        <is>
          <t>VÄRMLANDS LÄN</t>
        </is>
      </c>
      <c r="E53" t="inlineStr">
        <is>
          <t>TORSBY</t>
        </is>
      </c>
      <c r="G53" t="n">
        <v>10.7</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15086-2025</t>
        </is>
      </c>
      <c r="B54" s="1" t="n">
        <v>45743</v>
      </c>
      <c r="C54" s="1" t="n">
        <v>46191</v>
      </c>
      <c r="D54" t="inlineStr">
        <is>
          <t>VÄRMLANDS LÄN</t>
        </is>
      </c>
      <c r="E54" t="inlineStr">
        <is>
          <t>TORSBY</t>
        </is>
      </c>
      <c r="G54" t="n">
        <v>4.5</v>
      </c>
      <c r="H54" t="n">
        <v>0</v>
      </c>
      <c r="I54" t="n">
        <v>0</v>
      </c>
      <c r="J54" t="n">
        <v>5</v>
      </c>
      <c r="K54" t="n">
        <v>0</v>
      </c>
      <c r="L54" t="n">
        <v>0</v>
      </c>
      <c r="M54" t="n">
        <v>0</v>
      </c>
      <c r="N54" t="n">
        <v>0</v>
      </c>
      <c r="O54" t="n">
        <v>5</v>
      </c>
      <c r="P54" t="n">
        <v>0</v>
      </c>
      <c r="Q54" t="n">
        <v>5</v>
      </c>
      <c r="R54" s="2" t="inlineStr">
        <is>
          <t>Brunpudrad nållav
Doftskinn
Gammelgransskål
Kattfotslav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50318-2024</t>
        </is>
      </c>
      <c r="B55" s="1" t="n">
        <v>45600</v>
      </c>
      <c r="C55" s="1" t="n">
        <v>46191</v>
      </c>
      <c r="D55" t="inlineStr">
        <is>
          <t>VÄRMLANDS LÄN</t>
        </is>
      </c>
      <c r="E55" t="inlineStr">
        <is>
          <t>TORSBY</t>
        </is>
      </c>
      <c r="F55" t="inlineStr">
        <is>
          <t>Bergvik skog väst AB</t>
        </is>
      </c>
      <c r="G55" t="n">
        <v>3.5</v>
      </c>
      <c r="H55" t="n">
        <v>1</v>
      </c>
      <c r="I55" t="n">
        <v>1</v>
      </c>
      <c r="J55" t="n">
        <v>3</v>
      </c>
      <c r="K55" t="n">
        <v>1</v>
      </c>
      <c r="L55" t="n">
        <v>0</v>
      </c>
      <c r="M55" t="n">
        <v>0</v>
      </c>
      <c r="N55" t="n">
        <v>0</v>
      </c>
      <c r="O55" t="n">
        <v>4</v>
      </c>
      <c r="P55" t="n">
        <v>1</v>
      </c>
      <c r="Q55" t="n">
        <v>5</v>
      </c>
      <c r="R55" s="2" t="inlineStr">
        <is>
          <t>Garnlav
Hornvaxskinn
Mörk kolflarnlav
Tretåig hackspett
Vedticka</t>
        </is>
      </c>
      <c r="S55">
        <f>HYPERLINK("https://klasma.github.io/Logging_1737/artfynd/A 50318-2024 artfynd.xlsx", "A 50318-2024")</f>
        <v/>
      </c>
      <c r="T55">
        <f>HYPERLINK("https://klasma.github.io/Logging_1737/kartor/A 50318-2024 karta.png", "A 50318-2024")</f>
        <v/>
      </c>
      <c r="V55">
        <f>HYPERLINK("https://klasma.github.io/Logging_1737/klagomål/A 50318-2024 FSC-klagomål.docx", "A 50318-2024")</f>
        <v/>
      </c>
      <c r="W55">
        <f>HYPERLINK("https://klasma.github.io/Logging_1737/klagomålsmail/A 50318-2024 FSC-klagomål mail.docx", "A 50318-2024")</f>
        <v/>
      </c>
      <c r="X55">
        <f>HYPERLINK("https://klasma.github.io/Logging_1737/tillsyn/A 50318-2024 tillsynsbegäran.docx", "A 50318-2024")</f>
        <v/>
      </c>
      <c r="Y55">
        <f>HYPERLINK("https://klasma.github.io/Logging_1737/tillsynsmail/A 50318-2024 tillsynsbegäran mail.docx", "A 50318-2024")</f>
        <v/>
      </c>
      <c r="Z55">
        <f>HYPERLINK("https://klasma.github.io/Logging_1737/fåglar/A 50318-2024 prioriterade fågelarter.docx", "A 50318-2024")</f>
        <v/>
      </c>
    </row>
    <row r="56" ht="15" customHeight="1">
      <c r="A56" t="inlineStr">
        <is>
          <t>A 16164-2025</t>
        </is>
      </c>
      <c r="B56" s="1" t="n">
        <v>45750</v>
      </c>
      <c r="C56" s="1" t="n">
        <v>46191</v>
      </c>
      <c r="D56" t="inlineStr">
        <is>
          <t>VÄRMLANDS LÄN</t>
        </is>
      </c>
      <c r="E56" t="inlineStr">
        <is>
          <t>TORSBY</t>
        </is>
      </c>
      <c r="G56" t="n">
        <v>1.4</v>
      </c>
      <c r="H56" t="n">
        <v>0</v>
      </c>
      <c r="I56" t="n">
        <v>0</v>
      </c>
      <c r="J56" t="n">
        <v>4</v>
      </c>
      <c r="K56" t="n">
        <v>1</v>
      </c>
      <c r="L56" t="n">
        <v>0</v>
      </c>
      <c r="M56" t="n">
        <v>0</v>
      </c>
      <c r="N56" t="n">
        <v>0</v>
      </c>
      <c r="O56" t="n">
        <v>5</v>
      </c>
      <c r="P56" t="n">
        <v>1</v>
      </c>
      <c r="Q56" t="n">
        <v>5</v>
      </c>
      <c r="R56" s="2" t="inlineStr">
        <is>
          <t>Garnlav
Kattfotslav
Kolflarnlav
Mörk kolflarnlav
Tallriska</t>
        </is>
      </c>
      <c r="S56">
        <f>HYPERLINK("https://klasma.github.io/Logging_1737/artfynd/A 16164-2025 artfynd.xlsx", "A 16164-2025")</f>
        <v/>
      </c>
      <c r="T56">
        <f>HYPERLINK("https://klasma.github.io/Logging_1737/kartor/A 16164-2025 karta.png", "A 16164-2025")</f>
        <v/>
      </c>
      <c r="V56">
        <f>HYPERLINK("https://klasma.github.io/Logging_1737/klagomål/A 16164-2025 FSC-klagomål.docx", "A 16164-2025")</f>
        <v/>
      </c>
      <c r="W56">
        <f>HYPERLINK("https://klasma.github.io/Logging_1737/klagomålsmail/A 16164-2025 FSC-klagomål mail.docx", "A 16164-2025")</f>
        <v/>
      </c>
      <c r="X56">
        <f>HYPERLINK("https://klasma.github.io/Logging_1737/tillsyn/A 16164-2025 tillsynsbegäran.docx", "A 16164-2025")</f>
        <v/>
      </c>
      <c r="Y56">
        <f>HYPERLINK("https://klasma.github.io/Logging_1737/tillsynsmail/A 16164-2025 tillsynsbegäran mail.docx", "A 16164-2025")</f>
        <v/>
      </c>
    </row>
    <row r="57" ht="15" customHeight="1">
      <c r="A57" t="inlineStr">
        <is>
          <t>A 42480-2022</t>
        </is>
      </c>
      <c r="B57" s="1" t="n">
        <v>44831</v>
      </c>
      <c r="C57" s="1" t="n">
        <v>46191</v>
      </c>
      <c r="D57" t="inlineStr">
        <is>
          <t>VÄRMLANDS LÄN</t>
        </is>
      </c>
      <c r="E57" t="inlineStr">
        <is>
          <t>TORSBY</t>
        </is>
      </c>
      <c r="F57" t="inlineStr">
        <is>
          <t>Kommuner</t>
        </is>
      </c>
      <c r="G57" t="n">
        <v>3.7</v>
      </c>
      <c r="H57" t="n">
        <v>2</v>
      </c>
      <c r="I57" t="n">
        <v>0</v>
      </c>
      <c r="J57" t="n">
        <v>2</v>
      </c>
      <c r="K57" t="n">
        <v>2</v>
      </c>
      <c r="L57" t="n">
        <v>0</v>
      </c>
      <c r="M57" t="n">
        <v>0</v>
      </c>
      <c r="N57" t="n">
        <v>0</v>
      </c>
      <c r="O57" t="n">
        <v>4</v>
      </c>
      <c r="P57" t="n">
        <v>2</v>
      </c>
      <c r="Q57" t="n">
        <v>5</v>
      </c>
      <c r="R57" s="2" t="inlineStr">
        <is>
          <t>Garnlav
Knärot
Vedskivlav
Violettgrå tagellav
Tjäder</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c r="Z57">
        <f>HYPERLINK("https://klasma.github.io/Logging_1737/fåglar/A 42480-2022 prioriterade fågelarter.docx", "A 42480-2022")</f>
        <v/>
      </c>
    </row>
    <row r="58" ht="15" customHeight="1">
      <c r="A58" t="inlineStr">
        <is>
          <t>A 25899-2024</t>
        </is>
      </c>
      <c r="B58" s="1" t="n">
        <v>45467</v>
      </c>
      <c r="C58" s="1" t="n">
        <v>46191</v>
      </c>
      <c r="D58" t="inlineStr">
        <is>
          <t>VÄRMLANDS LÄN</t>
        </is>
      </c>
      <c r="E58" t="inlineStr">
        <is>
          <t>TORSBY</t>
        </is>
      </c>
      <c r="G58" t="n">
        <v>28.3</v>
      </c>
      <c r="H58" t="n">
        <v>1</v>
      </c>
      <c r="I58" t="n">
        <v>2</v>
      </c>
      <c r="J58" t="n">
        <v>1</v>
      </c>
      <c r="K58" t="n">
        <v>1</v>
      </c>
      <c r="L58" t="n">
        <v>0</v>
      </c>
      <c r="M58" t="n">
        <v>0</v>
      </c>
      <c r="N58" t="n">
        <v>0</v>
      </c>
      <c r="O58" t="n">
        <v>2</v>
      </c>
      <c r="P58" t="n">
        <v>1</v>
      </c>
      <c r="Q58" t="n">
        <v>5</v>
      </c>
      <c r="R58" s="2" t="inlineStr">
        <is>
          <t>Garnlav
Lunglav
Korallblylav
Vedticka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36543-2025</t>
        </is>
      </c>
      <c r="B59" s="1" t="n">
        <v>45869</v>
      </c>
      <c r="C59" s="1" t="n">
        <v>46191</v>
      </c>
      <c r="D59" t="inlineStr">
        <is>
          <t>VÄRMLANDS LÄN</t>
        </is>
      </c>
      <c r="E59" t="inlineStr">
        <is>
          <t>TORSBY</t>
        </is>
      </c>
      <c r="G59" t="n">
        <v>7.4</v>
      </c>
      <c r="H59" t="n">
        <v>0</v>
      </c>
      <c r="I59" t="n">
        <v>0</v>
      </c>
      <c r="J59" t="n">
        <v>4</v>
      </c>
      <c r="K59" t="n">
        <v>1</v>
      </c>
      <c r="L59" t="n">
        <v>0</v>
      </c>
      <c r="M59" t="n">
        <v>0</v>
      </c>
      <c r="N59" t="n">
        <v>0</v>
      </c>
      <c r="O59" t="n">
        <v>5</v>
      </c>
      <c r="P59" t="n">
        <v>1</v>
      </c>
      <c r="Q59" t="n">
        <v>5</v>
      </c>
      <c r="R59" s="2" t="inlineStr">
        <is>
          <t>Garnlav
Dvärgbägarlav
Kolflarnlav
Mörk kolflarnlav
Vedskivlav</t>
        </is>
      </c>
      <c r="S59">
        <f>HYPERLINK("https://klasma.github.io/Logging_1737/artfynd/A 36543-2025 artfynd.xlsx", "A 36543-2025")</f>
        <v/>
      </c>
      <c r="T59">
        <f>HYPERLINK("https://klasma.github.io/Logging_1737/kartor/A 36543-2025 karta.png", "A 36543-2025")</f>
        <v/>
      </c>
      <c r="V59">
        <f>HYPERLINK("https://klasma.github.io/Logging_1737/klagomål/A 36543-2025 FSC-klagomål.docx", "A 36543-2025")</f>
        <v/>
      </c>
      <c r="W59">
        <f>HYPERLINK("https://klasma.github.io/Logging_1737/klagomålsmail/A 36543-2025 FSC-klagomål mail.docx", "A 36543-2025")</f>
        <v/>
      </c>
      <c r="X59">
        <f>HYPERLINK("https://klasma.github.io/Logging_1737/tillsyn/A 36543-2025 tillsynsbegäran.docx", "A 36543-2025")</f>
        <v/>
      </c>
      <c r="Y59">
        <f>HYPERLINK("https://klasma.github.io/Logging_1737/tillsynsmail/A 36543-2025 tillsynsbegäran mail.docx", "A 36543-2025")</f>
        <v/>
      </c>
    </row>
    <row r="60" ht="15" customHeight="1">
      <c r="A60" t="inlineStr">
        <is>
          <t>A 70301-2021</t>
        </is>
      </c>
      <c r="B60" s="1" t="n">
        <v>44536</v>
      </c>
      <c r="C60" s="1" t="n">
        <v>46191</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46191</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46191</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37948-2024</t>
        </is>
      </c>
      <c r="B63" s="1" t="n">
        <v>45544</v>
      </c>
      <c r="C63" s="1" t="n">
        <v>46191</v>
      </c>
      <c r="D63" t="inlineStr">
        <is>
          <t>VÄRMLANDS LÄN</t>
        </is>
      </c>
      <c r="E63" t="inlineStr">
        <is>
          <t>TORSBY</t>
        </is>
      </c>
      <c r="G63" t="n">
        <v>1.6</v>
      </c>
      <c r="H63" t="n">
        <v>0</v>
      </c>
      <c r="I63" t="n">
        <v>0</v>
      </c>
      <c r="J63" t="n">
        <v>3</v>
      </c>
      <c r="K63" t="n">
        <v>1</v>
      </c>
      <c r="L63" t="n">
        <v>0</v>
      </c>
      <c r="M63" t="n">
        <v>0</v>
      </c>
      <c r="N63" t="n">
        <v>0</v>
      </c>
      <c r="O63" t="n">
        <v>4</v>
      </c>
      <c r="P63" t="n">
        <v>1</v>
      </c>
      <c r="Q63" t="n">
        <v>4</v>
      </c>
      <c r="R63" s="2" t="inlineStr">
        <is>
          <t>Garnlav
Gammelgransskål
Skuggblåslav
Violettgrå tagellav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2938-2025</t>
        </is>
      </c>
      <c r="B64" s="1" t="n">
        <v>45678</v>
      </c>
      <c r="C64" s="1" t="n">
        <v>46191</v>
      </c>
      <c r="D64" t="inlineStr">
        <is>
          <t>VÄRMLANDS LÄN</t>
        </is>
      </c>
      <c r="E64" t="inlineStr">
        <is>
          <t>TORSBY</t>
        </is>
      </c>
      <c r="G64" t="n">
        <v>2</v>
      </c>
      <c r="H64" t="n">
        <v>2</v>
      </c>
      <c r="I64" t="n">
        <v>0</v>
      </c>
      <c r="J64" t="n">
        <v>3</v>
      </c>
      <c r="K64" t="n">
        <v>1</v>
      </c>
      <c r="L64" t="n">
        <v>0</v>
      </c>
      <c r="M64" t="n">
        <v>0</v>
      </c>
      <c r="N64" t="n">
        <v>0</v>
      </c>
      <c r="O64" t="n">
        <v>4</v>
      </c>
      <c r="P64" t="n">
        <v>1</v>
      </c>
      <c r="Q64" t="n">
        <v>4</v>
      </c>
      <c r="R64" s="2" t="inlineStr">
        <is>
          <t>Garnlav
Gammelgransskål
Talltita
Tretåig hackspett</t>
        </is>
      </c>
      <c r="S64">
        <f>HYPERLINK("https://klasma.github.io/Logging_1737/artfynd/A 2938-2025 artfynd.xlsx", "A 2938-2025")</f>
        <v/>
      </c>
      <c r="T64">
        <f>HYPERLINK("https://klasma.github.io/Logging_1737/kartor/A 2938-2025 karta.png", "A 2938-2025")</f>
        <v/>
      </c>
      <c r="V64">
        <f>HYPERLINK("https://klasma.github.io/Logging_1737/klagomål/A 2938-2025 FSC-klagomål.docx", "A 2938-2025")</f>
        <v/>
      </c>
      <c r="W64">
        <f>HYPERLINK("https://klasma.github.io/Logging_1737/klagomålsmail/A 2938-2025 FSC-klagomål mail.docx", "A 2938-2025")</f>
        <v/>
      </c>
      <c r="X64">
        <f>HYPERLINK("https://klasma.github.io/Logging_1737/tillsyn/A 2938-2025 tillsynsbegäran.docx", "A 2938-2025")</f>
        <v/>
      </c>
      <c r="Y64">
        <f>HYPERLINK("https://klasma.github.io/Logging_1737/tillsynsmail/A 2938-2025 tillsynsbegäran mail.docx", "A 2938-2025")</f>
        <v/>
      </c>
      <c r="Z64">
        <f>HYPERLINK("https://klasma.github.io/Logging_1737/fåglar/A 2938-2025 prioriterade fågelarter.docx", "A 2938-2025")</f>
        <v/>
      </c>
    </row>
    <row r="65" ht="15" customHeight="1">
      <c r="A65" t="inlineStr">
        <is>
          <t>A 48970-2025</t>
        </is>
      </c>
      <c r="B65" s="1" t="n">
        <v>45937</v>
      </c>
      <c r="C65" s="1" t="n">
        <v>46191</v>
      </c>
      <c r="D65" t="inlineStr">
        <is>
          <t>VÄRMLANDS LÄN</t>
        </is>
      </c>
      <c r="E65" t="inlineStr">
        <is>
          <t>TORSBY</t>
        </is>
      </c>
      <c r="G65" t="n">
        <v>6.4</v>
      </c>
      <c r="H65" t="n">
        <v>0</v>
      </c>
      <c r="I65" t="n">
        <v>0</v>
      </c>
      <c r="J65" t="n">
        <v>3</v>
      </c>
      <c r="K65" t="n">
        <v>1</v>
      </c>
      <c r="L65" t="n">
        <v>0</v>
      </c>
      <c r="M65" t="n">
        <v>0</v>
      </c>
      <c r="N65" t="n">
        <v>0</v>
      </c>
      <c r="O65" t="n">
        <v>4</v>
      </c>
      <c r="P65" t="n">
        <v>1</v>
      </c>
      <c r="Q65" t="n">
        <v>4</v>
      </c>
      <c r="R65" s="2" t="inlineStr">
        <is>
          <t>Garnlav
Dropptaggsvamp
Lunglav
Violettgrå tagellav</t>
        </is>
      </c>
      <c r="S65">
        <f>HYPERLINK("https://klasma.github.io/Logging_1737/artfynd/A 48970-2025 artfynd.xlsx", "A 48970-2025")</f>
        <v/>
      </c>
      <c r="T65">
        <f>HYPERLINK("https://klasma.github.io/Logging_1737/kartor/A 48970-2025 karta.png", "A 48970-2025")</f>
        <v/>
      </c>
      <c r="V65">
        <f>HYPERLINK("https://klasma.github.io/Logging_1737/klagomål/A 48970-2025 FSC-klagomål.docx", "A 48970-2025")</f>
        <v/>
      </c>
      <c r="W65">
        <f>HYPERLINK("https://klasma.github.io/Logging_1737/klagomålsmail/A 48970-2025 FSC-klagomål mail.docx", "A 48970-2025")</f>
        <v/>
      </c>
      <c r="X65">
        <f>HYPERLINK("https://klasma.github.io/Logging_1737/tillsyn/A 48970-2025 tillsynsbegäran.docx", "A 48970-2025")</f>
        <v/>
      </c>
      <c r="Y65">
        <f>HYPERLINK("https://klasma.github.io/Logging_1737/tillsynsmail/A 48970-2025 tillsynsbegäran mail.docx", "A 48970-2025")</f>
        <v/>
      </c>
    </row>
    <row r="66" ht="15" customHeight="1">
      <c r="A66" t="inlineStr">
        <is>
          <t>A 17149-2026</t>
        </is>
      </c>
      <c r="B66" s="1" t="n">
        <v>46114</v>
      </c>
      <c r="C66" s="1" t="n">
        <v>46191</v>
      </c>
      <c r="D66" t="inlineStr">
        <is>
          <t>VÄRMLANDS LÄN</t>
        </is>
      </c>
      <c r="E66" t="inlineStr">
        <is>
          <t>TORSBY</t>
        </is>
      </c>
      <c r="G66" t="n">
        <v>1.8</v>
      </c>
      <c r="H66" t="n">
        <v>0</v>
      </c>
      <c r="I66" t="n">
        <v>0</v>
      </c>
      <c r="J66" t="n">
        <v>3</v>
      </c>
      <c r="K66" t="n">
        <v>1</v>
      </c>
      <c r="L66" t="n">
        <v>0</v>
      </c>
      <c r="M66" t="n">
        <v>0</v>
      </c>
      <c r="N66" t="n">
        <v>0</v>
      </c>
      <c r="O66" t="n">
        <v>4</v>
      </c>
      <c r="P66" t="n">
        <v>1</v>
      </c>
      <c r="Q66" t="n">
        <v>4</v>
      </c>
      <c r="R66" s="2" t="inlineStr">
        <is>
          <t>Garnlav
Dvärgbägarlav
Kandelabersvamp
Kortskaftad ärgspik</t>
        </is>
      </c>
      <c r="S66">
        <f>HYPERLINK("https://klasma.github.io/Logging_1737/artfynd/A 17149-2026 artfynd.xlsx", "A 17149-2026")</f>
        <v/>
      </c>
      <c r="T66">
        <f>HYPERLINK("https://klasma.github.io/Logging_1737/kartor/A 17149-2026 karta.png", "A 17149-2026")</f>
        <v/>
      </c>
      <c r="V66">
        <f>HYPERLINK("https://klasma.github.io/Logging_1737/klagomål/A 17149-2026 FSC-klagomål.docx", "A 17149-2026")</f>
        <v/>
      </c>
      <c r="W66">
        <f>HYPERLINK("https://klasma.github.io/Logging_1737/klagomålsmail/A 17149-2026 FSC-klagomål mail.docx", "A 17149-2026")</f>
        <v/>
      </c>
      <c r="X66">
        <f>HYPERLINK("https://klasma.github.io/Logging_1737/tillsyn/A 17149-2026 tillsynsbegäran.docx", "A 17149-2026")</f>
        <v/>
      </c>
      <c r="Y66">
        <f>HYPERLINK("https://klasma.github.io/Logging_1737/tillsynsmail/A 17149-2026 tillsynsbegäran mail.docx", "A 17149-2026")</f>
        <v/>
      </c>
    </row>
    <row r="67" ht="15" customHeight="1">
      <c r="A67" t="inlineStr">
        <is>
          <t>A 20226-2026</t>
        </is>
      </c>
      <c r="B67" s="1" t="n">
        <v>46139</v>
      </c>
      <c r="C67" s="1" t="n">
        <v>46191</v>
      </c>
      <c r="D67" t="inlineStr">
        <is>
          <t>VÄRMLANDS LÄN</t>
        </is>
      </c>
      <c r="E67" t="inlineStr">
        <is>
          <t>TORSBY</t>
        </is>
      </c>
      <c r="G67" t="n">
        <v>4.6</v>
      </c>
      <c r="H67" t="n">
        <v>1</v>
      </c>
      <c r="I67" t="n">
        <v>0</v>
      </c>
      <c r="J67" t="n">
        <v>2</v>
      </c>
      <c r="K67" t="n">
        <v>1</v>
      </c>
      <c r="L67" t="n">
        <v>0</v>
      </c>
      <c r="M67" t="n">
        <v>0</v>
      </c>
      <c r="N67" t="n">
        <v>0</v>
      </c>
      <c r="O67" t="n">
        <v>3</v>
      </c>
      <c r="P67" t="n">
        <v>1</v>
      </c>
      <c r="Q67" t="n">
        <v>4</v>
      </c>
      <c r="R67" s="2" t="inlineStr">
        <is>
          <t>Garnlav
Lunglav
Violettgrå tagellav
Fläcknycklar</t>
        </is>
      </c>
      <c r="S67">
        <f>HYPERLINK("https://klasma.github.io/Logging_1737/artfynd/A 20226-2026 artfynd.xlsx", "A 20226-2026")</f>
        <v/>
      </c>
      <c r="T67">
        <f>HYPERLINK("https://klasma.github.io/Logging_1737/kartor/A 20226-2026 karta.png", "A 20226-2026")</f>
        <v/>
      </c>
      <c r="V67">
        <f>HYPERLINK("https://klasma.github.io/Logging_1737/klagomål/A 20226-2026 FSC-klagomål.docx", "A 20226-2026")</f>
        <v/>
      </c>
      <c r="W67">
        <f>HYPERLINK("https://klasma.github.io/Logging_1737/klagomålsmail/A 20226-2026 FSC-klagomål mail.docx", "A 20226-2026")</f>
        <v/>
      </c>
      <c r="X67">
        <f>HYPERLINK("https://klasma.github.io/Logging_1737/tillsyn/A 20226-2026 tillsynsbegäran.docx", "A 20226-2026")</f>
        <v/>
      </c>
      <c r="Y67">
        <f>HYPERLINK("https://klasma.github.io/Logging_1737/tillsynsmail/A 20226-2026 tillsynsbegäran mail.docx", "A 20226-2026")</f>
        <v/>
      </c>
    </row>
    <row r="68" ht="15" customHeight="1">
      <c r="A68" t="inlineStr">
        <is>
          <t>A 43385-2024</t>
        </is>
      </c>
      <c r="B68" s="1" t="n">
        <v>45568</v>
      </c>
      <c r="C68" s="1" t="n">
        <v>46191</v>
      </c>
      <c r="D68" t="inlineStr">
        <is>
          <t>VÄRMLANDS LÄN</t>
        </is>
      </c>
      <c r="E68" t="inlineStr">
        <is>
          <t>TORSBY</t>
        </is>
      </c>
      <c r="G68" t="n">
        <v>3.7</v>
      </c>
      <c r="H68" t="n">
        <v>0</v>
      </c>
      <c r="I68" t="n">
        <v>0</v>
      </c>
      <c r="J68" t="n">
        <v>3</v>
      </c>
      <c r="K68" t="n">
        <v>1</v>
      </c>
      <c r="L68" t="n">
        <v>0</v>
      </c>
      <c r="M68" t="n">
        <v>0</v>
      </c>
      <c r="N68" t="n">
        <v>0</v>
      </c>
      <c r="O68" t="n">
        <v>4</v>
      </c>
      <c r="P68" t="n">
        <v>1</v>
      </c>
      <c r="Q68" t="n">
        <v>4</v>
      </c>
      <c r="R68" s="2" t="inlineStr">
        <is>
          <t>Garnlav
Dropptaggsvamp
Gammelgransskål
Vedskivlav</t>
        </is>
      </c>
      <c r="S68">
        <f>HYPERLINK("https://klasma.github.io/Logging_1737/artfynd/A 43385-2024 artfynd.xlsx", "A 43385-2024")</f>
        <v/>
      </c>
      <c r="T68">
        <f>HYPERLINK("https://klasma.github.io/Logging_1737/kartor/A 43385-2024 karta.png", "A 43385-2024")</f>
        <v/>
      </c>
      <c r="V68">
        <f>HYPERLINK("https://klasma.github.io/Logging_1737/klagomål/A 43385-2024 FSC-klagomål.docx", "A 43385-2024")</f>
        <v/>
      </c>
      <c r="W68">
        <f>HYPERLINK("https://klasma.github.io/Logging_1737/klagomålsmail/A 43385-2024 FSC-klagomål mail.docx", "A 43385-2024")</f>
        <v/>
      </c>
      <c r="X68">
        <f>HYPERLINK("https://klasma.github.io/Logging_1737/tillsyn/A 43385-2024 tillsynsbegäran.docx", "A 43385-2024")</f>
        <v/>
      </c>
      <c r="Y68">
        <f>HYPERLINK("https://klasma.github.io/Logging_1737/tillsynsmail/A 43385-2024 tillsynsbegäran mail.docx", "A 43385-2024")</f>
        <v/>
      </c>
    </row>
    <row r="69" ht="15" customHeight="1">
      <c r="A69" t="inlineStr">
        <is>
          <t>A 57190-2024</t>
        </is>
      </c>
      <c r="B69" s="1" t="n">
        <v>45629</v>
      </c>
      <c r="C69" s="1" t="n">
        <v>46191</v>
      </c>
      <c r="D69" t="inlineStr">
        <is>
          <t>VÄRMLANDS LÄN</t>
        </is>
      </c>
      <c r="E69" t="inlineStr">
        <is>
          <t>TORSBY</t>
        </is>
      </c>
      <c r="G69" t="n">
        <v>0.8</v>
      </c>
      <c r="H69" t="n">
        <v>0</v>
      </c>
      <c r="I69" t="n">
        <v>0</v>
      </c>
      <c r="J69" t="n">
        <v>3</v>
      </c>
      <c r="K69" t="n">
        <v>1</v>
      </c>
      <c r="L69" t="n">
        <v>0</v>
      </c>
      <c r="M69" t="n">
        <v>0</v>
      </c>
      <c r="N69" t="n">
        <v>0</v>
      </c>
      <c r="O69" t="n">
        <v>4</v>
      </c>
      <c r="P69" t="n">
        <v>1</v>
      </c>
      <c r="Q69" t="n">
        <v>4</v>
      </c>
      <c r="R69" s="2" t="inlineStr">
        <is>
          <t>Garnlav
Gammelgransskål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22174-2022</t>
        </is>
      </c>
      <c r="B70" s="1" t="n">
        <v>44712</v>
      </c>
      <c r="C70" s="1" t="n">
        <v>46191</v>
      </c>
      <c r="D70" t="inlineStr">
        <is>
          <t>VÄRMLANDS LÄN</t>
        </is>
      </c>
      <c r="E70" t="inlineStr">
        <is>
          <t>TORSBY</t>
        </is>
      </c>
      <c r="G70" t="n">
        <v>11</v>
      </c>
      <c r="H70" t="n">
        <v>2</v>
      </c>
      <c r="I70" t="n">
        <v>1</v>
      </c>
      <c r="J70" t="n">
        <v>1</v>
      </c>
      <c r="K70" t="n">
        <v>0</v>
      </c>
      <c r="L70" t="n">
        <v>0</v>
      </c>
      <c r="M70" t="n">
        <v>0</v>
      </c>
      <c r="N70" t="n">
        <v>0</v>
      </c>
      <c r="O70" t="n">
        <v>1</v>
      </c>
      <c r="P70" t="n">
        <v>0</v>
      </c>
      <c r="Q70" t="n">
        <v>4</v>
      </c>
      <c r="R70" s="2" t="inlineStr">
        <is>
          <t>Gullpudra
Svart trolldruva
Tjäder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c r="Z70">
        <f>HYPERLINK("https://klasma.github.io/Logging_1737/fåglar/A 22174-2022 prioriterade fågelarter.docx", "A 22174-2022")</f>
        <v/>
      </c>
    </row>
    <row r="71" ht="15" customHeight="1">
      <c r="A71" t="inlineStr">
        <is>
          <t>A 23576-2022</t>
        </is>
      </c>
      <c r="B71" s="1" t="n">
        <v>44721</v>
      </c>
      <c r="C71" s="1" t="n">
        <v>46191</v>
      </c>
      <c r="D71" t="inlineStr">
        <is>
          <t>VÄRMLANDS LÄN</t>
        </is>
      </c>
      <c r="E71" t="inlineStr">
        <is>
          <t>TORSBY</t>
        </is>
      </c>
      <c r="G71" t="n">
        <v>8.5</v>
      </c>
      <c r="H71" t="n">
        <v>0</v>
      </c>
      <c r="I71" t="n">
        <v>1</v>
      </c>
      <c r="J71" t="n">
        <v>2</v>
      </c>
      <c r="K71" t="n">
        <v>1</v>
      </c>
      <c r="L71" t="n">
        <v>0</v>
      </c>
      <c r="M71" t="n">
        <v>0</v>
      </c>
      <c r="N71" t="n">
        <v>0</v>
      </c>
      <c r="O71" t="n">
        <v>3</v>
      </c>
      <c r="P71" t="n">
        <v>1</v>
      </c>
      <c r="Q71" t="n">
        <v>4</v>
      </c>
      <c r="R71" s="2" t="inlineStr">
        <is>
          <t>Garnlav
Dropptaggsvamp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42501-2022</t>
        </is>
      </c>
      <c r="B72" s="1" t="n">
        <v>44831</v>
      </c>
      <c r="C72" s="1" t="n">
        <v>46191</v>
      </c>
      <c r="D72" t="inlineStr">
        <is>
          <t>VÄRMLANDS LÄN</t>
        </is>
      </c>
      <c r="E72" t="inlineStr">
        <is>
          <t>TORSBY</t>
        </is>
      </c>
      <c r="F72" t="inlineStr">
        <is>
          <t>Kommuner</t>
        </is>
      </c>
      <c r="G72" t="n">
        <v>2.4</v>
      </c>
      <c r="H72" t="n">
        <v>0</v>
      </c>
      <c r="I72" t="n">
        <v>0</v>
      </c>
      <c r="J72" t="n">
        <v>3</v>
      </c>
      <c r="K72" t="n">
        <v>1</v>
      </c>
      <c r="L72" t="n">
        <v>0</v>
      </c>
      <c r="M72" t="n">
        <v>0</v>
      </c>
      <c r="N72" t="n">
        <v>0</v>
      </c>
      <c r="O72" t="n">
        <v>4</v>
      </c>
      <c r="P72" t="n">
        <v>1</v>
      </c>
      <c r="Q72" t="n">
        <v>4</v>
      </c>
      <c r="R72" s="2" t="inlineStr">
        <is>
          <t>Garnlav
Mörk kolflarnlav
Skuggblåslav
Vedtrappmossa</t>
        </is>
      </c>
      <c r="S72">
        <f>HYPERLINK("https://klasma.github.io/Logging_1737/artfynd/A 42501-2022 artfynd.xlsx", "A 42501-2022")</f>
        <v/>
      </c>
      <c r="T72">
        <f>HYPERLINK("https://klasma.github.io/Logging_1737/kartor/A 42501-2022 karta.png", "A 42501-2022")</f>
        <v/>
      </c>
      <c r="V72">
        <f>HYPERLINK("https://klasma.github.io/Logging_1737/klagomål/A 42501-2022 FSC-klagomål.docx", "A 42501-2022")</f>
        <v/>
      </c>
      <c r="W72">
        <f>HYPERLINK("https://klasma.github.io/Logging_1737/klagomålsmail/A 42501-2022 FSC-klagomål mail.docx", "A 42501-2022")</f>
        <v/>
      </c>
      <c r="X72">
        <f>HYPERLINK("https://klasma.github.io/Logging_1737/tillsyn/A 42501-2022 tillsynsbegäran.docx", "A 42501-2022")</f>
        <v/>
      </c>
      <c r="Y72">
        <f>HYPERLINK("https://klasma.github.io/Logging_1737/tillsynsmail/A 42501-2022 tillsynsbegäran mail.docx", "A 42501-2022")</f>
        <v/>
      </c>
    </row>
    <row r="73" ht="15" customHeight="1">
      <c r="A73" t="inlineStr">
        <is>
          <t>A 20763-2025</t>
        </is>
      </c>
      <c r="B73" s="1" t="n">
        <v>45776</v>
      </c>
      <c r="C73" s="1" t="n">
        <v>46191</v>
      </c>
      <c r="D73" t="inlineStr">
        <is>
          <t>VÄRMLANDS LÄN</t>
        </is>
      </c>
      <c r="E73" t="inlineStr">
        <is>
          <t>TORSBY</t>
        </is>
      </c>
      <c r="G73" t="n">
        <v>4.9</v>
      </c>
      <c r="H73" t="n">
        <v>0</v>
      </c>
      <c r="I73" t="n">
        <v>0</v>
      </c>
      <c r="J73" t="n">
        <v>3</v>
      </c>
      <c r="K73" t="n">
        <v>1</v>
      </c>
      <c r="L73" t="n">
        <v>0</v>
      </c>
      <c r="M73" t="n">
        <v>0</v>
      </c>
      <c r="N73" t="n">
        <v>0</v>
      </c>
      <c r="O73" t="n">
        <v>4</v>
      </c>
      <c r="P73" t="n">
        <v>1</v>
      </c>
      <c r="Q73" t="n">
        <v>4</v>
      </c>
      <c r="R73" s="2" t="inlineStr">
        <is>
          <t>Garnlav
Kolflarnlav
Mörk kolflarnlav
Vedskivlav</t>
        </is>
      </c>
      <c r="S73">
        <f>HYPERLINK("https://klasma.github.io/Logging_1737/artfynd/A 20763-2025 artfynd.xlsx", "A 20763-2025")</f>
        <v/>
      </c>
      <c r="T73">
        <f>HYPERLINK("https://klasma.github.io/Logging_1737/kartor/A 20763-2025 karta.png", "A 20763-2025")</f>
        <v/>
      </c>
      <c r="V73">
        <f>HYPERLINK("https://klasma.github.io/Logging_1737/klagomål/A 20763-2025 FSC-klagomål.docx", "A 20763-2025")</f>
        <v/>
      </c>
      <c r="W73">
        <f>HYPERLINK("https://klasma.github.io/Logging_1737/klagomålsmail/A 20763-2025 FSC-klagomål mail.docx", "A 20763-2025")</f>
        <v/>
      </c>
      <c r="X73">
        <f>HYPERLINK("https://klasma.github.io/Logging_1737/tillsyn/A 20763-2025 tillsynsbegäran.docx", "A 20763-2025")</f>
        <v/>
      </c>
      <c r="Y73">
        <f>HYPERLINK("https://klasma.github.io/Logging_1737/tillsynsmail/A 20763-2025 tillsynsbegäran mail.docx", "A 20763-2025")</f>
        <v/>
      </c>
    </row>
    <row r="74" ht="15" customHeight="1">
      <c r="A74" t="inlineStr">
        <is>
          <t>A 42500-2022</t>
        </is>
      </c>
      <c r="B74" s="1" t="n">
        <v>44831</v>
      </c>
      <c r="C74" s="1" t="n">
        <v>46191</v>
      </c>
      <c r="D74" t="inlineStr">
        <is>
          <t>VÄRMLANDS LÄN</t>
        </is>
      </c>
      <c r="E74" t="inlineStr">
        <is>
          <t>TORSBY</t>
        </is>
      </c>
      <c r="F74" t="inlineStr">
        <is>
          <t>Kommuner</t>
        </is>
      </c>
      <c r="G74" t="n">
        <v>2.3</v>
      </c>
      <c r="H74" t="n">
        <v>0</v>
      </c>
      <c r="I74" t="n">
        <v>0</v>
      </c>
      <c r="J74" t="n">
        <v>3</v>
      </c>
      <c r="K74" t="n">
        <v>1</v>
      </c>
      <c r="L74" t="n">
        <v>0</v>
      </c>
      <c r="M74" t="n">
        <v>0</v>
      </c>
      <c r="N74" t="n">
        <v>0</v>
      </c>
      <c r="O74" t="n">
        <v>4</v>
      </c>
      <c r="P74" t="n">
        <v>1</v>
      </c>
      <c r="Q74" t="n">
        <v>4</v>
      </c>
      <c r="R74" s="2" t="inlineStr">
        <is>
          <t>Garnlav
Dvärgbägarlav
Vedskivlav
Violettgrå tagellav</t>
        </is>
      </c>
      <c r="S74">
        <f>HYPERLINK("https://klasma.github.io/Logging_1737/artfynd/A 42500-2022 artfynd.xlsx", "A 42500-2022")</f>
        <v/>
      </c>
      <c r="T74">
        <f>HYPERLINK("https://klasma.github.io/Logging_1737/kartor/A 42500-2022 karta.png", "A 42500-2022")</f>
        <v/>
      </c>
      <c r="U74">
        <f>HYPERLINK("https://klasma.github.io/Logging_1737/knärot/A 42500-2022 karta knärot.png", "A 42500-2022")</f>
        <v/>
      </c>
      <c r="V74">
        <f>HYPERLINK("https://klasma.github.io/Logging_1737/klagomål/A 42500-2022 FSC-klagomål.docx", "A 42500-2022")</f>
        <v/>
      </c>
      <c r="W74">
        <f>HYPERLINK("https://klasma.github.io/Logging_1737/klagomålsmail/A 42500-2022 FSC-klagomål mail.docx", "A 42500-2022")</f>
        <v/>
      </c>
      <c r="X74">
        <f>HYPERLINK("https://klasma.github.io/Logging_1737/tillsyn/A 42500-2022 tillsynsbegäran.docx", "A 42500-2022")</f>
        <v/>
      </c>
      <c r="Y74">
        <f>HYPERLINK("https://klasma.github.io/Logging_1737/tillsynsmail/A 42500-2022 tillsynsbegäran mail.docx", "A 42500-2022")</f>
        <v/>
      </c>
    </row>
    <row r="75" ht="15" customHeight="1">
      <c r="A75" t="inlineStr">
        <is>
          <t>A 34930-2022</t>
        </is>
      </c>
      <c r="B75" s="1" t="n">
        <v>44796</v>
      </c>
      <c r="C75" s="1" t="n">
        <v>46191</v>
      </c>
      <c r="D75" t="inlineStr">
        <is>
          <t>VÄRMLANDS LÄN</t>
        </is>
      </c>
      <c r="E75" t="inlineStr">
        <is>
          <t>TORSBY</t>
        </is>
      </c>
      <c r="G75" t="n">
        <v>3.3</v>
      </c>
      <c r="H75" t="n">
        <v>0</v>
      </c>
      <c r="I75" t="n">
        <v>3</v>
      </c>
      <c r="J75" t="n">
        <v>1</v>
      </c>
      <c r="K75" t="n">
        <v>0</v>
      </c>
      <c r="L75" t="n">
        <v>0</v>
      </c>
      <c r="M75" t="n">
        <v>0</v>
      </c>
      <c r="N75" t="n">
        <v>0</v>
      </c>
      <c r="O75" t="n">
        <v>1</v>
      </c>
      <c r="P75" t="n">
        <v>0</v>
      </c>
      <c r="Q75" t="n">
        <v>4</v>
      </c>
      <c r="R75" s="2" t="inlineStr">
        <is>
          <t>Späd bäckmossa
Mörk husmossa
Strutbräken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16369-2024</t>
        </is>
      </c>
      <c r="B76" s="1" t="n">
        <v>45407</v>
      </c>
      <c r="C76" s="1" t="n">
        <v>46191</v>
      </c>
      <c r="D76" t="inlineStr">
        <is>
          <t>VÄRMLANDS LÄN</t>
        </is>
      </c>
      <c r="E76" t="inlineStr">
        <is>
          <t>TORSBY</t>
        </is>
      </c>
      <c r="F76" t="inlineStr">
        <is>
          <t>Kommuner</t>
        </is>
      </c>
      <c r="G76" t="n">
        <v>2.2</v>
      </c>
      <c r="H76" t="n">
        <v>0</v>
      </c>
      <c r="I76" t="n">
        <v>0</v>
      </c>
      <c r="J76" t="n">
        <v>2</v>
      </c>
      <c r="K76" t="n">
        <v>1</v>
      </c>
      <c r="L76" t="n">
        <v>0</v>
      </c>
      <c r="M76" t="n">
        <v>0</v>
      </c>
      <c r="N76" t="n">
        <v>0</v>
      </c>
      <c r="O76" t="n">
        <v>3</v>
      </c>
      <c r="P76" t="n">
        <v>1</v>
      </c>
      <c r="Q76" t="n">
        <v>3</v>
      </c>
      <c r="R76" s="2" t="inlineStr">
        <is>
          <t>Fältgentiana
Månlåsbräken
Vitfläckig guldvinge</t>
        </is>
      </c>
      <c r="S76">
        <f>HYPERLINK("https://klasma.github.io/Logging_1737/artfynd/A 16369-2024 artfynd.xlsx", "A 16369-2024")</f>
        <v/>
      </c>
      <c r="T76">
        <f>HYPERLINK("https://klasma.github.io/Logging_1737/kartor/A 16369-2024 karta.png", "A 16369-2024")</f>
        <v/>
      </c>
      <c r="V76">
        <f>HYPERLINK("https://klasma.github.io/Logging_1737/klagomål/A 16369-2024 FSC-klagomål.docx", "A 16369-2024")</f>
        <v/>
      </c>
      <c r="W76">
        <f>HYPERLINK("https://klasma.github.io/Logging_1737/klagomålsmail/A 16369-2024 FSC-klagomål mail.docx", "A 16369-2024")</f>
        <v/>
      </c>
      <c r="X76">
        <f>HYPERLINK("https://klasma.github.io/Logging_1737/tillsyn/A 16369-2024 tillsynsbegäran.docx", "A 16369-2024")</f>
        <v/>
      </c>
      <c r="Y76">
        <f>HYPERLINK("https://klasma.github.io/Logging_1737/tillsynsmail/A 16369-2024 tillsynsbegäran mail.docx", "A 16369-2024")</f>
        <v/>
      </c>
    </row>
    <row r="77" ht="15" customHeight="1">
      <c r="A77" t="inlineStr">
        <is>
          <t>A 2898-2026</t>
        </is>
      </c>
      <c r="B77" s="1" t="n">
        <v>46037</v>
      </c>
      <c r="C77" s="1" t="n">
        <v>46191</v>
      </c>
      <c r="D77" t="inlineStr">
        <is>
          <t>VÄRMLANDS LÄN</t>
        </is>
      </c>
      <c r="E77" t="inlineStr">
        <is>
          <t>TORSBY</t>
        </is>
      </c>
      <c r="G77" t="n">
        <v>2.7</v>
      </c>
      <c r="H77" t="n">
        <v>0</v>
      </c>
      <c r="I77" t="n">
        <v>1</v>
      </c>
      <c r="J77" t="n">
        <v>2</v>
      </c>
      <c r="K77" t="n">
        <v>0</v>
      </c>
      <c r="L77" t="n">
        <v>0</v>
      </c>
      <c r="M77" t="n">
        <v>0</v>
      </c>
      <c r="N77" t="n">
        <v>0</v>
      </c>
      <c r="O77" t="n">
        <v>2</v>
      </c>
      <c r="P77" t="n">
        <v>0</v>
      </c>
      <c r="Q77" t="n">
        <v>3</v>
      </c>
      <c r="R77" s="2" t="inlineStr">
        <is>
          <t>Brunpudrad nållav
Vedtrappmossa
Vedticka</t>
        </is>
      </c>
      <c r="S77">
        <f>HYPERLINK("https://klasma.github.io/Logging_1737/artfynd/A 2898-2026 artfynd.xlsx", "A 2898-2026")</f>
        <v/>
      </c>
      <c r="T77">
        <f>HYPERLINK("https://klasma.github.io/Logging_1737/kartor/A 2898-2026 karta.png", "A 2898-2026")</f>
        <v/>
      </c>
      <c r="V77">
        <f>HYPERLINK("https://klasma.github.io/Logging_1737/klagomål/A 2898-2026 FSC-klagomål.docx", "A 2898-2026")</f>
        <v/>
      </c>
      <c r="W77">
        <f>HYPERLINK("https://klasma.github.io/Logging_1737/klagomålsmail/A 2898-2026 FSC-klagomål mail.docx", "A 2898-2026")</f>
        <v/>
      </c>
      <c r="X77">
        <f>HYPERLINK("https://klasma.github.io/Logging_1737/tillsyn/A 2898-2026 tillsynsbegäran.docx", "A 2898-2026")</f>
        <v/>
      </c>
      <c r="Y77">
        <f>HYPERLINK("https://klasma.github.io/Logging_1737/tillsynsmail/A 2898-2026 tillsynsbegäran mail.docx", "A 2898-2026")</f>
        <v/>
      </c>
    </row>
    <row r="78" ht="15" customHeight="1">
      <c r="A78" t="inlineStr">
        <is>
          <t>A 4718-2023</t>
        </is>
      </c>
      <c r="B78" s="1" t="n">
        <v>44957</v>
      </c>
      <c r="C78" s="1" t="n">
        <v>46191</v>
      </c>
      <c r="D78" t="inlineStr">
        <is>
          <t>VÄRMLANDS LÄN</t>
        </is>
      </c>
      <c r="E78" t="inlineStr">
        <is>
          <t>TORSBY</t>
        </is>
      </c>
      <c r="G78" t="n">
        <v>8.5</v>
      </c>
      <c r="H78" t="n">
        <v>0</v>
      </c>
      <c r="I78" t="n">
        <v>0</v>
      </c>
      <c r="J78" t="n">
        <v>2</v>
      </c>
      <c r="K78" t="n">
        <v>1</v>
      </c>
      <c r="L78" t="n">
        <v>0</v>
      </c>
      <c r="M78" t="n">
        <v>0</v>
      </c>
      <c r="N78" t="n">
        <v>0</v>
      </c>
      <c r="O78" t="n">
        <v>3</v>
      </c>
      <c r="P78" t="n">
        <v>1</v>
      </c>
      <c r="Q78" t="n">
        <v>3</v>
      </c>
      <c r="R78" s="2" t="inlineStr">
        <is>
          <t>Garnlav
Lunglav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5680-2024</t>
        </is>
      </c>
      <c r="B79" s="1" t="n">
        <v>45334</v>
      </c>
      <c r="C79" s="1" t="n">
        <v>46191</v>
      </c>
      <c r="D79" t="inlineStr">
        <is>
          <t>VÄRMLANDS LÄN</t>
        </is>
      </c>
      <c r="E79" t="inlineStr">
        <is>
          <t>TORSBY</t>
        </is>
      </c>
      <c r="G79" t="n">
        <v>24</v>
      </c>
      <c r="H79" t="n">
        <v>0</v>
      </c>
      <c r="I79" t="n">
        <v>0</v>
      </c>
      <c r="J79" t="n">
        <v>2</v>
      </c>
      <c r="K79" t="n">
        <v>1</v>
      </c>
      <c r="L79" t="n">
        <v>0</v>
      </c>
      <c r="M79" t="n">
        <v>0</v>
      </c>
      <c r="N79" t="n">
        <v>0</v>
      </c>
      <c r="O79" t="n">
        <v>3</v>
      </c>
      <c r="P79" t="n">
        <v>1</v>
      </c>
      <c r="Q79" t="n">
        <v>3</v>
      </c>
      <c r="R79" s="2" t="inlineStr">
        <is>
          <t>Garnlav
Dropptaggsvamp
Motaggsvamp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17740-2025</t>
        </is>
      </c>
      <c r="B80" s="1" t="n">
        <v>45758</v>
      </c>
      <c r="C80" s="1" t="n">
        <v>46191</v>
      </c>
      <c r="D80" t="inlineStr">
        <is>
          <t>VÄRMLANDS LÄN</t>
        </is>
      </c>
      <c r="E80" t="inlineStr">
        <is>
          <t>TORSBY</t>
        </is>
      </c>
      <c r="G80" t="n">
        <v>4.8</v>
      </c>
      <c r="H80" t="n">
        <v>0</v>
      </c>
      <c r="I80" t="n">
        <v>1</v>
      </c>
      <c r="J80" t="n">
        <v>1</v>
      </c>
      <c r="K80" t="n">
        <v>1</v>
      </c>
      <c r="L80" t="n">
        <v>0</v>
      </c>
      <c r="M80" t="n">
        <v>0</v>
      </c>
      <c r="N80" t="n">
        <v>0</v>
      </c>
      <c r="O80" t="n">
        <v>2</v>
      </c>
      <c r="P80" t="n">
        <v>1</v>
      </c>
      <c r="Q80" t="n">
        <v>3</v>
      </c>
      <c r="R80" s="2" t="inlineStr">
        <is>
          <t>Garnlav
Vedskivlav
Nästlav</t>
        </is>
      </c>
      <c r="S80">
        <f>HYPERLINK("https://klasma.github.io/Logging_1737/artfynd/A 17740-2025 artfynd.xlsx", "A 17740-2025")</f>
        <v/>
      </c>
      <c r="T80">
        <f>HYPERLINK("https://klasma.github.io/Logging_1737/kartor/A 17740-2025 karta.png", "A 17740-2025")</f>
        <v/>
      </c>
      <c r="V80">
        <f>HYPERLINK("https://klasma.github.io/Logging_1737/klagomål/A 17740-2025 FSC-klagomål.docx", "A 17740-2025")</f>
        <v/>
      </c>
      <c r="W80">
        <f>HYPERLINK("https://klasma.github.io/Logging_1737/klagomålsmail/A 17740-2025 FSC-klagomål mail.docx", "A 17740-2025")</f>
        <v/>
      </c>
      <c r="X80">
        <f>HYPERLINK("https://klasma.github.io/Logging_1737/tillsyn/A 17740-2025 tillsynsbegäran.docx", "A 17740-2025")</f>
        <v/>
      </c>
      <c r="Y80">
        <f>HYPERLINK("https://klasma.github.io/Logging_1737/tillsynsmail/A 17740-2025 tillsynsbegäran mail.docx", "A 17740-2025")</f>
        <v/>
      </c>
    </row>
    <row r="81" ht="15" customHeight="1">
      <c r="A81" t="inlineStr">
        <is>
          <t>A 45231-2023</t>
        </is>
      </c>
      <c r="B81" s="1" t="n">
        <v>45191</v>
      </c>
      <c r="C81" s="1" t="n">
        <v>46191</v>
      </c>
      <c r="D81" t="inlineStr">
        <is>
          <t>VÄRMLANDS LÄN</t>
        </is>
      </c>
      <c r="E81" t="inlineStr">
        <is>
          <t>TORSBY</t>
        </is>
      </c>
      <c r="F81" t="inlineStr">
        <is>
          <t>Bergvik skog väst AB</t>
        </is>
      </c>
      <c r="G81" t="n">
        <v>7.8</v>
      </c>
      <c r="H81" t="n">
        <v>2</v>
      </c>
      <c r="I81" t="n">
        <v>0</v>
      </c>
      <c r="J81" t="n">
        <v>2</v>
      </c>
      <c r="K81" t="n">
        <v>0</v>
      </c>
      <c r="L81" t="n">
        <v>1</v>
      </c>
      <c r="M81" t="n">
        <v>0</v>
      </c>
      <c r="N81" t="n">
        <v>0</v>
      </c>
      <c r="O81" t="n">
        <v>3</v>
      </c>
      <c r="P81" t="n">
        <v>1</v>
      </c>
      <c r="Q81" t="n">
        <v>3</v>
      </c>
      <c r="R81" s="2" t="inlineStr">
        <is>
          <t>Pärluggla
Sparvuggla
Vitplätt</t>
        </is>
      </c>
      <c r="S81">
        <f>HYPERLINK("https://klasma.github.io/Logging_1737/artfynd/A 45231-2023 artfynd.xlsx", "A 45231-2023")</f>
        <v/>
      </c>
      <c r="T81">
        <f>HYPERLINK("https://klasma.github.io/Logging_1737/kartor/A 45231-2023 karta.png", "A 45231-2023")</f>
        <v/>
      </c>
      <c r="V81">
        <f>HYPERLINK("https://klasma.github.io/Logging_1737/klagomål/A 45231-2023 FSC-klagomål.docx", "A 45231-2023")</f>
        <v/>
      </c>
      <c r="W81">
        <f>HYPERLINK("https://klasma.github.io/Logging_1737/klagomålsmail/A 45231-2023 FSC-klagomål mail.docx", "A 45231-2023")</f>
        <v/>
      </c>
      <c r="X81">
        <f>HYPERLINK("https://klasma.github.io/Logging_1737/tillsyn/A 45231-2023 tillsynsbegäran.docx", "A 45231-2023")</f>
        <v/>
      </c>
      <c r="Y81">
        <f>HYPERLINK("https://klasma.github.io/Logging_1737/tillsynsmail/A 45231-2023 tillsynsbegäran mail.docx", "A 45231-2023")</f>
        <v/>
      </c>
      <c r="Z81">
        <f>HYPERLINK("https://klasma.github.io/Logging_1737/fåglar/A 45231-2023 prioriterade fågelarter.docx", "A 45231-2023")</f>
        <v/>
      </c>
    </row>
    <row r="82" ht="15" customHeight="1">
      <c r="A82" t="inlineStr">
        <is>
          <t>A 42590-2023</t>
        </is>
      </c>
      <c r="B82" s="1" t="n">
        <v>45181</v>
      </c>
      <c r="C82" s="1" t="n">
        <v>46191</v>
      </c>
      <c r="D82" t="inlineStr">
        <is>
          <t>VÄRMLANDS LÄN</t>
        </is>
      </c>
      <c r="E82" t="inlineStr">
        <is>
          <t>TORSBY</t>
        </is>
      </c>
      <c r="G82" t="n">
        <v>12.1</v>
      </c>
      <c r="H82" t="n">
        <v>1</v>
      </c>
      <c r="I82" t="n">
        <v>0</v>
      </c>
      <c r="J82" t="n">
        <v>2</v>
      </c>
      <c r="K82" t="n">
        <v>1</v>
      </c>
      <c r="L82" t="n">
        <v>0</v>
      </c>
      <c r="M82" t="n">
        <v>0</v>
      </c>
      <c r="N82" t="n">
        <v>0</v>
      </c>
      <c r="O82" t="n">
        <v>3</v>
      </c>
      <c r="P82" t="n">
        <v>1</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19030-2025</t>
        </is>
      </c>
      <c r="B83" s="1" t="n">
        <v>45764</v>
      </c>
      <c r="C83" s="1" t="n">
        <v>46191</v>
      </c>
      <c r="D83" t="inlineStr">
        <is>
          <t>VÄRMLANDS LÄN</t>
        </is>
      </c>
      <c r="E83" t="inlineStr">
        <is>
          <t>TORSBY</t>
        </is>
      </c>
      <c r="F83" t="inlineStr">
        <is>
          <t>Övriga statliga verk och myndigheter</t>
        </is>
      </c>
      <c r="G83" t="n">
        <v>1.9</v>
      </c>
      <c r="H83" t="n">
        <v>0</v>
      </c>
      <c r="I83" t="n">
        <v>0</v>
      </c>
      <c r="J83" t="n">
        <v>2</v>
      </c>
      <c r="K83" t="n">
        <v>1</v>
      </c>
      <c r="L83" t="n">
        <v>0</v>
      </c>
      <c r="M83" t="n">
        <v>0</v>
      </c>
      <c r="N83" t="n">
        <v>0</v>
      </c>
      <c r="O83" t="n">
        <v>3</v>
      </c>
      <c r="P83" t="n">
        <v>1</v>
      </c>
      <c r="Q83" t="n">
        <v>3</v>
      </c>
      <c r="R83" s="2" t="inlineStr">
        <is>
          <t>Garnlav
Kolflarnlav
Mörk kolflarnlav</t>
        </is>
      </c>
      <c r="S83">
        <f>HYPERLINK("https://klasma.github.io/Logging_1737/artfynd/A 19030-2025 artfynd.xlsx", "A 19030-2025")</f>
        <v/>
      </c>
      <c r="T83">
        <f>HYPERLINK("https://klasma.github.io/Logging_1737/kartor/A 19030-2025 karta.png", "A 19030-2025")</f>
        <v/>
      </c>
      <c r="V83">
        <f>HYPERLINK("https://klasma.github.io/Logging_1737/klagomål/A 19030-2025 FSC-klagomål.docx", "A 19030-2025")</f>
        <v/>
      </c>
      <c r="W83">
        <f>HYPERLINK("https://klasma.github.io/Logging_1737/klagomålsmail/A 19030-2025 FSC-klagomål mail.docx", "A 19030-2025")</f>
        <v/>
      </c>
      <c r="X83">
        <f>HYPERLINK("https://klasma.github.io/Logging_1737/tillsyn/A 19030-2025 tillsynsbegäran.docx", "A 19030-2025")</f>
        <v/>
      </c>
      <c r="Y83">
        <f>HYPERLINK("https://klasma.github.io/Logging_1737/tillsynsmail/A 19030-2025 tillsynsbegäran mail.docx", "A 19030-2025")</f>
        <v/>
      </c>
    </row>
    <row r="84" ht="15" customHeight="1">
      <c r="A84" t="inlineStr">
        <is>
          <t>A 7394-2026</t>
        </is>
      </c>
      <c r="B84" s="1" t="n">
        <v>46059</v>
      </c>
      <c r="C84" s="1" t="n">
        <v>46191</v>
      </c>
      <c r="D84" t="inlineStr">
        <is>
          <t>VÄRMLANDS LÄN</t>
        </is>
      </c>
      <c r="E84" t="inlineStr">
        <is>
          <t>TORSBY</t>
        </is>
      </c>
      <c r="F84" t="inlineStr">
        <is>
          <t>Bergvik skog väst AB</t>
        </is>
      </c>
      <c r="G84" t="n">
        <v>15.3</v>
      </c>
      <c r="H84" t="n">
        <v>0</v>
      </c>
      <c r="I84" t="n">
        <v>0</v>
      </c>
      <c r="J84" t="n">
        <v>3</v>
      </c>
      <c r="K84" t="n">
        <v>0</v>
      </c>
      <c r="L84" t="n">
        <v>0</v>
      </c>
      <c r="M84" t="n">
        <v>0</v>
      </c>
      <c r="N84" t="n">
        <v>0</v>
      </c>
      <c r="O84" t="n">
        <v>3</v>
      </c>
      <c r="P84" t="n">
        <v>0</v>
      </c>
      <c r="Q84" t="n">
        <v>3</v>
      </c>
      <c r="R84" s="2" t="inlineStr">
        <is>
          <t>Dropptaggsvamp
Motaggsvamp
Skarp dropptaggsvamp</t>
        </is>
      </c>
      <c r="S84">
        <f>HYPERLINK("https://klasma.github.io/Logging_1737/artfynd/A 7394-2026 artfynd.xlsx", "A 7394-2026")</f>
        <v/>
      </c>
      <c r="T84">
        <f>HYPERLINK("https://klasma.github.io/Logging_1737/kartor/A 7394-2026 karta.png", "A 7394-2026")</f>
        <v/>
      </c>
      <c r="V84">
        <f>HYPERLINK("https://klasma.github.io/Logging_1737/klagomål/A 7394-2026 FSC-klagomål.docx", "A 7394-2026")</f>
        <v/>
      </c>
      <c r="W84">
        <f>HYPERLINK("https://klasma.github.io/Logging_1737/klagomålsmail/A 7394-2026 FSC-klagomål mail.docx", "A 7394-2026")</f>
        <v/>
      </c>
      <c r="X84">
        <f>HYPERLINK("https://klasma.github.io/Logging_1737/tillsyn/A 7394-2026 tillsynsbegäran.docx", "A 7394-2026")</f>
        <v/>
      </c>
      <c r="Y84">
        <f>HYPERLINK("https://klasma.github.io/Logging_1737/tillsynsmail/A 7394-2026 tillsynsbegäran mail.docx", "A 7394-2026")</f>
        <v/>
      </c>
    </row>
    <row r="85" ht="15" customHeight="1">
      <c r="A85" t="inlineStr">
        <is>
          <t>A 59789-2024</t>
        </is>
      </c>
      <c r="B85" s="1" t="n">
        <v>45639</v>
      </c>
      <c r="C85" s="1" t="n">
        <v>46191</v>
      </c>
      <c r="D85" t="inlineStr">
        <is>
          <t>VÄRMLANDS LÄN</t>
        </is>
      </c>
      <c r="E85" t="inlineStr">
        <is>
          <t>TORSBY</t>
        </is>
      </c>
      <c r="G85" t="n">
        <v>4.8</v>
      </c>
      <c r="H85" t="n">
        <v>0</v>
      </c>
      <c r="I85" t="n">
        <v>0</v>
      </c>
      <c r="J85" t="n">
        <v>2</v>
      </c>
      <c r="K85" t="n">
        <v>1</v>
      </c>
      <c r="L85" t="n">
        <v>0</v>
      </c>
      <c r="M85" t="n">
        <v>0</v>
      </c>
      <c r="N85" t="n">
        <v>0</v>
      </c>
      <c r="O85" t="n">
        <v>3</v>
      </c>
      <c r="P85" t="n">
        <v>1</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46580-2025</t>
        </is>
      </c>
      <c r="B86" s="1" t="n">
        <v>45926</v>
      </c>
      <c r="C86" s="1" t="n">
        <v>46191</v>
      </c>
      <c r="D86" t="inlineStr">
        <is>
          <t>VÄRMLANDS LÄN</t>
        </is>
      </c>
      <c r="E86" t="inlineStr">
        <is>
          <t>TORSBY</t>
        </is>
      </c>
      <c r="G86" t="n">
        <v>1.4</v>
      </c>
      <c r="H86" t="n">
        <v>0</v>
      </c>
      <c r="I86" t="n">
        <v>0</v>
      </c>
      <c r="J86" t="n">
        <v>2</v>
      </c>
      <c r="K86" t="n">
        <v>1</v>
      </c>
      <c r="L86" t="n">
        <v>0</v>
      </c>
      <c r="M86" t="n">
        <v>0</v>
      </c>
      <c r="N86" t="n">
        <v>0</v>
      </c>
      <c r="O86" t="n">
        <v>3</v>
      </c>
      <c r="P86" t="n">
        <v>1</v>
      </c>
      <c r="Q86" t="n">
        <v>3</v>
      </c>
      <c r="R86" s="2" t="inlineStr">
        <is>
          <t>Garnlav
Kolflarnlav
Vedskivlav</t>
        </is>
      </c>
      <c r="S86">
        <f>HYPERLINK("https://klasma.github.io/Logging_1737/artfynd/A 46580-2025 artfynd.xlsx", "A 46580-2025")</f>
        <v/>
      </c>
      <c r="T86">
        <f>HYPERLINK("https://klasma.github.io/Logging_1737/kartor/A 46580-2025 karta.png", "A 46580-2025")</f>
        <v/>
      </c>
      <c r="V86">
        <f>HYPERLINK("https://klasma.github.io/Logging_1737/klagomål/A 46580-2025 FSC-klagomål.docx", "A 46580-2025")</f>
        <v/>
      </c>
      <c r="W86">
        <f>HYPERLINK("https://klasma.github.io/Logging_1737/klagomålsmail/A 46580-2025 FSC-klagomål mail.docx", "A 46580-2025")</f>
        <v/>
      </c>
      <c r="X86">
        <f>HYPERLINK("https://klasma.github.io/Logging_1737/tillsyn/A 46580-2025 tillsynsbegäran.docx", "A 46580-2025")</f>
        <v/>
      </c>
      <c r="Y86">
        <f>HYPERLINK("https://klasma.github.io/Logging_1737/tillsynsmail/A 46580-2025 tillsynsbegäran mail.docx", "A 46580-2025")</f>
        <v/>
      </c>
    </row>
    <row r="87" ht="15" customHeight="1">
      <c r="A87" t="inlineStr">
        <is>
          <t>A 50712-2025</t>
        </is>
      </c>
      <c r="B87" s="1" t="n">
        <v>45946</v>
      </c>
      <c r="C87" s="1" t="n">
        <v>46191</v>
      </c>
      <c r="D87" t="inlineStr">
        <is>
          <t>VÄRMLANDS LÄN</t>
        </is>
      </c>
      <c r="E87" t="inlineStr">
        <is>
          <t>TORSBY</t>
        </is>
      </c>
      <c r="F87" t="inlineStr">
        <is>
          <t>Bergvik skog väst AB</t>
        </is>
      </c>
      <c r="G87" t="n">
        <v>7.6</v>
      </c>
      <c r="H87" t="n">
        <v>0</v>
      </c>
      <c r="I87" t="n">
        <v>0</v>
      </c>
      <c r="J87" t="n">
        <v>2</v>
      </c>
      <c r="K87" t="n">
        <v>1</v>
      </c>
      <c r="L87" t="n">
        <v>0</v>
      </c>
      <c r="M87" t="n">
        <v>0</v>
      </c>
      <c r="N87" t="n">
        <v>0</v>
      </c>
      <c r="O87" t="n">
        <v>3</v>
      </c>
      <c r="P87" t="n">
        <v>1</v>
      </c>
      <c r="Q87" t="n">
        <v>3</v>
      </c>
      <c r="R87" s="2" t="inlineStr">
        <is>
          <t>Garnlav
Lunglav
Vedskivlav</t>
        </is>
      </c>
      <c r="S87">
        <f>HYPERLINK("https://klasma.github.io/Logging_1737/artfynd/A 50712-2025 artfynd.xlsx", "A 50712-2025")</f>
        <v/>
      </c>
      <c r="T87">
        <f>HYPERLINK("https://klasma.github.io/Logging_1737/kartor/A 50712-2025 karta.png", "A 50712-2025")</f>
        <v/>
      </c>
      <c r="V87">
        <f>HYPERLINK("https://klasma.github.io/Logging_1737/klagomål/A 50712-2025 FSC-klagomål.docx", "A 50712-2025")</f>
        <v/>
      </c>
      <c r="W87">
        <f>HYPERLINK("https://klasma.github.io/Logging_1737/klagomålsmail/A 50712-2025 FSC-klagomål mail.docx", "A 50712-2025")</f>
        <v/>
      </c>
      <c r="X87">
        <f>HYPERLINK("https://klasma.github.io/Logging_1737/tillsyn/A 50712-2025 tillsynsbegäran.docx", "A 50712-2025")</f>
        <v/>
      </c>
      <c r="Y87">
        <f>HYPERLINK("https://klasma.github.io/Logging_1737/tillsynsmail/A 50712-2025 tillsynsbegäran mail.docx", "A 50712-2025")</f>
        <v/>
      </c>
    </row>
    <row r="88" ht="15" customHeight="1">
      <c r="A88" t="inlineStr">
        <is>
          <t>A 51144-2023</t>
        </is>
      </c>
      <c r="B88" s="1" t="n">
        <v>45212</v>
      </c>
      <c r="C88" s="1" t="n">
        <v>46191</v>
      </c>
      <c r="D88" t="inlineStr">
        <is>
          <t>VÄRMLANDS LÄN</t>
        </is>
      </c>
      <c r="E88" t="inlineStr">
        <is>
          <t>TORSBY</t>
        </is>
      </c>
      <c r="G88" t="n">
        <v>7.3</v>
      </c>
      <c r="H88" t="n">
        <v>2</v>
      </c>
      <c r="I88" t="n">
        <v>2</v>
      </c>
      <c r="J88" t="n">
        <v>0</v>
      </c>
      <c r="K88" t="n">
        <v>1</v>
      </c>
      <c r="L88" t="n">
        <v>0</v>
      </c>
      <c r="M88" t="n">
        <v>0</v>
      </c>
      <c r="N88" t="n">
        <v>0</v>
      </c>
      <c r="O88" t="n">
        <v>1</v>
      </c>
      <c r="P88" t="n">
        <v>1</v>
      </c>
      <c r="Q88" t="n">
        <v>3</v>
      </c>
      <c r="R88" s="2" t="inlineStr">
        <is>
          <t>Aspgelélav
Korallrot
Spindelblomster</t>
        </is>
      </c>
      <c r="S88">
        <f>HYPERLINK("https://klasma.github.io/Logging_1737/artfynd/A 51144-2023 artfynd.xlsx", "A 51144-2023")</f>
        <v/>
      </c>
      <c r="T88">
        <f>HYPERLINK("https://klasma.github.io/Logging_1737/kartor/A 51144-2023 karta.png", "A 51144-2023")</f>
        <v/>
      </c>
      <c r="V88">
        <f>HYPERLINK("https://klasma.github.io/Logging_1737/klagomål/A 51144-2023 FSC-klagomål.docx", "A 51144-2023")</f>
        <v/>
      </c>
      <c r="W88">
        <f>HYPERLINK("https://klasma.github.io/Logging_1737/klagomålsmail/A 51144-2023 FSC-klagomål mail.docx", "A 51144-2023")</f>
        <v/>
      </c>
      <c r="X88">
        <f>HYPERLINK("https://klasma.github.io/Logging_1737/tillsyn/A 51144-2023 tillsynsbegäran.docx", "A 51144-2023")</f>
        <v/>
      </c>
      <c r="Y88">
        <f>HYPERLINK("https://klasma.github.io/Logging_1737/tillsynsmail/A 51144-2023 tillsynsbegäran mail.docx", "A 51144-2023")</f>
        <v/>
      </c>
    </row>
    <row r="89" ht="15" customHeight="1">
      <c r="A89" t="inlineStr">
        <is>
          <t>A 45468-2025</t>
        </is>
      </c>
      <c r="B89" s="1" t="n">
        <v>45922</v>
      </c>
      <c r="C89" s="1" t="n">
        <v>46191</v>
      </c>
      <c r="D89" t="inlineStr">
        <is>
          <t>VÄRMLANDS LÄN</t>
        </is>
      </c>
      <c r="E89" t="inlineStr">
        <is>
          <t>TORSBY</t>
        </is>
      </c>
      <c r="G89" t="n">
        <v>5.6</v>
      </c>
      <c r="H89" t="n">
        <v>0</v>
      </c>
      <c r="I89" t="n">
        <v>0</v>
      </c>
      <c r="J89" t="n">
        <v>2</v>
      </c>
      <c r="K89" t="n">
        <v>1</v>
      </c>
      <c r="L89" t="n">
        <v>0</v>
      </c>
      <c r="M89" t="n">
        <v>0</v>
      </c>
      <c r="N89" t="n">
        <v>0</v>
      </c>
      <c r="O89" t="n">
        <v>3</v>
      </c>
      <c r="P89" t="n">
        <v>1</v>
      </c>
      <c r="Q89" t="n">
        <v>3</v>
      </c>
      <c r="R89" s="2" t="inlineStr">
        <is>
          <t>Garnlav
Kolflarnlav
Vedskivlav</t>
        </is>
      </c>
      <c r="S89">
        <f>HYPERLINK("https://klasma.github.io/Logging_1737/artfynd/A 45468-2025 artfynd.xlsx", "A 45468-2025")</f>
        <v/>
      </c>
      <c r="T89">
        <f>HYPERLINK("https://klasma.github.io/Logging_1737/kartor/A 45468-2025 karta.png", "A 45468-2025")</f>
        <v/>
      </c>
      <c r="V89">
        <f>HYPERLINK("https://klasma.github.io/Logging_1737/klagomål/A 45468-2025 FSC-klagomål.docx", "A 45468-2025")</f>
        <v/>
      </c>
      <c r="W89">
        <f>HYPERLINK("https://klasma.github.io/Logging_1737/klagomålsmail/A 45468-2025 FSC-klagomål mail.docx", "A 45468-2025")</f>
        <v/>
      </c>
      <c r="X89">
        <f>HYPERLINK("https://klasma.github.io/Logging_1737/tillsyn/A 45468-2025 tillsynsbegäran.docx", "A 45468-2025")</f>
        <v/>
      </c>
      <c r="Y89">
        <f>HYPERLINK("https://klasma.github.io/Logging_1737/tillsynsmail/A 45468-2025 tillsynsbegäran mail.docx", "A 45468-2025")</f>
        <v/>
      </c>
    </row>
    <row r="90" ht="15" customHeight="1">
      <c r="A90" t="inlineStr">
        <is>
          <t>A 15044-2025</t>
        </is>
      </c>
      <c r="B90" s="1" t="n">
        <v>45743</v>
      </c>
      <c r="C90" s="1" t="n">
        <v>46191</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HYPERLINK("https://klasma.github.io/Logging_1737/artfynd/A 15044-2025 artfynd.xlsx", "A 15044-2025")</f>
        <v/>
      </c>
      <c r="T90">
        <f>HYPERLINK("https://klasma.github.io/Logging_1737/kartor/A 15044-2025 karta.png", "A 15044-2025")</f>
        <v/>
      </c>
      <c r="V90">
        <f>HYPERLINK("https://klasma.github.io/Logging_1737/klagomål/A 15044-2025 FSC-klagomål.docx", "A 15044-2025")</f>
        <v/>
      </c>
      <c r="W90">
        <f>HYPERLINK("https://klasma.github.io/Logging_1737/klagomålsmail/A 15044-2025 FSC-klagomål mail.docx", "A 15044-2025")</f>
        <v/>
      </c>
      <c r="X90">
        <f>HYPERLINK("https://klasma.github.io/Logging_1737/tillsyn/A 15044-2025 tillsynsbegäran.docx", "A 15044-2025")</f>
        <v/>
      </c>
      <c r="Y90">
        <f>HYPERLINK("https://klasma.github.io/Logging_1737/tillsynsmail/A 15044-2025 tillsynsbegäran mail.docx", "A 15044-2025")</f>
        <v/>
      </c>
    </row>
    <row r="91" ht="15" customHeight="1">
      <c r="A91" t="inlineStr">
        <is>
          <t>A 16414-2023</t>
        </is>
      </c>
      <c r="B91" s="1" t="n">
        <v>45022</v>
      </c>
      <c r="C91" s="1" t="n">
        <v>46191</v>
      </c>
      <c r="D91" t="inlineStr">
        <is>
          <t>VÄRMLANDS LÄN</t>
        </is>
      </c>
      <c r="E91" t="inlineStr">
        <is>
          <t>TORSBY</t>
        </is>
      </c>
      <c r="G91" t="n">
        <v>8.800000000000001</v>
      </c>
      <c r="H91" t="n">
        <v>3</v>
      </c>
      <c r="I91" t="n">
        <v>0</v>
      </c>
      <c r="J91" t="n">
        <v>2</v>
      </c>
      <c r="K91" t="n">
        <v>0</v>
      </c>
      <c r="L91" t="n">
        <v>0</v>
      </c>
      <c r="M91" t="n">
        <v>0</v>
      </c>
      <c r="N91" t="n">
        <v>0</v>
      </c>
      <c r="O91" t="n">
        <v>2</v>
      </c>
      <c r="P91" t="n">
        <v>0</v>
      </c>
      <c r="Q91" t="n">
        <v>3</v>
      </c>
      <c r="R91" s="2" t="inlineStr">
        <is>
          <t>Sparvuggla
Talltita
Spillkråka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44018-2025</t>
        </is>
      </c>
      <c r="B92" s="1" t="n">
        <v>45915</v>
      </c>
      <c r="C92" s="1" t="n">
        <v>46191</v>
      </c>
      <c r="D92" t="inlineStr">
        <is>
          <t>VÄRMLANDS LÄN</t>
        </is>
      </c>
      <c r="E92" t="inlineStr">
        <is>
          <t>TORSBY</t>
        </is>
      </c>
      <c r="G92" t="n">
        <v>8.1</v>
      </c>
      <c r="H92" t="n">
        <v>0</v>
      </c>
      <c r="I92" t="n">
        <v>1</v>
      </c>
      <c r="J92" t="n">
        <v>2</v>
      </c>
      <c r="K92" t="n">
        <v>0</v>
      </c>
      <c r="L92" t="n">
        <v>0</v>
      </c>
      <c r="M92" t="n">
        <v>0</v>
      </c>
      <c r="N92" t="n">
        <v>0</v>
      </c>
      <c r="O92" t="n">
        <v>2</v>
      </c>
      <c r="P92" t="n">
        <v>0</v>
      </c>
      <c r="Q92" t="n">
        <v>3</v>
      </c>
      <c r="R92" s="2" t="inlineStr">
        <is>
          <t>Gammelgransskål
Skuggblåslav
Korallblylav</t>
        </is>
      </c>
      <c r="S92">
        <f>HYPERLINK("https://klasma.github.io/Logging_1737/artfynd/A 44018-2025 artfynd.xlsx", "A 44018-2025")</f>
        <v/>
      </c>
      <c r="T92">
        <f>HYPERLINK("https://klasma.github.io/Logging_1737/kartor/A 44018-2025 karta.png", "A 44018-2025")</f>
        <v/>
      </c>
      <c r="V92">
        <f>HYPERLINK("https://klasma.github.io/Logging_1737/klagomål/A 44018-2025 FSC-klagomål.docx", "A 44018-2025")</f>
        <v/>
      </c>
      <c r="W92">
        <f>HYPERLINK("https://klasma.github.io/Logging_1737/klagomålsmail/A 44018-2025 FSC-klagomål mail.docx", "A 44018-2025")</f>
        <v/>
      </c>
      <c r="X92">
        <f>HYPERLINK("https://klasma.github.io/Logging_1737/tillsyn/A 44018-2025 tillsynsbegäran.docx", "A 44018-2025")</f>
        <v/>
      </c>
      <c r="Y92">
        <f>HYPERLINK("https://klasma.github.io/Logging_1737/tillsynsmail/A 44018-2025 tillsynsbegäran mail.docx", "A 44018-2025")</f>
        <v/>
      </c>
    </row>
    <row r="93" ht="15" customHeight="1">
      <c r="A93" t="inlineStr">
        <is>
          <t>A 3099-2024</t>
        </is>
      </c>
      <c r="B93" s="1" t="n">
        <v>45316</v>
      </c>
      <c r="C93" s="1" t="n">
        <v>46191</v>
      </c>
      <c r="D93" t="inlineStr">
        <is>
          <t>VÄRMLANDS LÄN</t>
        </is>
      </c>
      <c r="E93" t="inlineStr">
        <is>
          <t>TORSBY</t>
        </is>
      </c>
      <c r="G93" t="n">
        <v>6.3</v>
      </c>
      <c r="H93" t="n">
        <v>0</v>
      </c>
      <c r="I93" t="n">
        <v>1</v>
      </c>
      <c r="J93" t="n">
        <v>1</v>
      </c>
      <c r="K93" t="n">
        <v>1</v>
      </c>
      <c r="L93" t="n">
        <v>0</v>
      </c>
      <c r="M93" t="n">
        <v>0</v>
      </c>
      <c r="N93" t="n">
        <v>0</v>
      </c>
      <c r="O93" t="n">
        <v>2</v>
      </c>
      <c r="P93" t="n">
        <v>1</v>
      </c>
      <c r="Q93" t="n">
        <v>3</v>
      </c>
      <c r="R93" s="2" t="inlineStr">
        <is>
          <t>Garnlav
Dvärgbägarlav
Vedticka</t>
        </is>
      </c>
      <c r="S93">
        <f>HYPERLINK("https://klasma.github.io/Logging_1737/artfynd/A 3099-2024 artfynd.xlsx", "A 3099-2024")</f>
        <v/>
      </c>
      <c r="T93">
        <f>HYPERLINK("https://klasma.github.io/Logging_1737/kartor/A 3099-2024 karta.png", "A 3099-2024")</f>
        <v/>
      </c>
      <c r="V93">
        <f>HYPERLINK("https://klasma.github.io/Logging_1737/klagomål/A 3099-2024 FSC-klagomål.docx", "A 3099-2024")</f>
        <v/>
      </c>
      <c r="W93">
        <f>HYPERLINK("https://klasma.github.io/Logging_1737/klagomålsmail/A 3099-2024 FSC-klagomål mail.docx", "A 3099-2024")</f>
        <v/>
      </c>
      <c r="X93">
        <f>HYPERLINK("https://klasma.github.io/Logging_1737/tillsyn/A 3099-2024 tillsynsbegäran.docx", "A 3099-2024")</f>
        <v/>
      </c>
      <c r="Y93">
        <f>HYPERLINK("https://klasma.github.io/Logging_1737/tillsynsmail/A 3099-2024 tillsynsbegäran mail.docx", "A 3099-2024")</f>
        <v/>
      </c>
    </row>
    <row r="94" ht="15" customHeight="1">
      <c r="A94" t="inlineStr">
        <is>
          <t>A 16442-2023</t>
        </is>
      </c>
      <c r="B94" s="1" t="n">
        <v>45026</v>
      </c>
      <c r="C94" s="1" t="n">
        <v>46191</v>
      </c>
      <c r="D94" t="inlineStr">
        <is>
          <t>VÄRMLANDS LÄN</t>
        </is>
      </c>
      <c r="E94" t="inlineStr">
        <is>
          <t>TORSBY</t>
        </is>
      </c>
      <c r="G94" t="n">
        <v>2.1</v>
      </c>
      <c r="H94" t="n">
        <v>0</v>
      </c>
      <c r="I94" t="n">
        <v>0</v>
      </c>
      <c r="J94" t="n">
        <v>2</v>
      </c>
      <c r="K94" t="n">
        <v>1</v>
      </c>
      <c r="L94" t="n">
        <v>0</v>
      </c>
      <c r="M94" t="n">
        <v>0</v>
      </c>
      <c r="N94" t="n">
        <v>0</v>
      </c>
      <c r="O94" t="n">
        <v>3</v>
      </c>
      <c r="P94" t="n">
        <v>1</v>
      </c>
      <c r="Q94" t="n">
        <v>3</v>
      </c>
      <c r="R94" s="2" t="inlineStr">
        <is>
          <t>Garnlav
Mörk kolflarnlav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10343-2025</t>
        </is>
      </c>
      <c r="B95" s="1" t="n">
        <v>45720</v>
      </c>
      <c r="C95" s="1" t="n">
        <v>46191</v>
      </c>
      <c r="D95" t="inlineStr">
        <is>
          <t>VÄRMLANDS LÄN</t>
        </is>
      </c>
      <c r="E95" t="inlineStr">
        <is>
          <t>TORSBY</t>
        </is>
      </c>
      <c r="G95" t="n">
        <v>3.1</v>
      </c>
      <c r="H95" t="n">
        <v>0</v>
      </c>
      <c r="I95" t="n">
        <v>0</v>
      </c>
      <c r="J95" t="n">
        <v>2</v>
      </c>
      <c r="K95" t="n">
        <v>1</v>
      </c>
      <c r="L95" t="n">
        <v>0</v>
      </c>
      <c r="M95" t="n">
        <v>0</v>
      </c>
      <c r="N95" t="n">
        <v>0</v>
      </c>
      <c r="O95" t="n">
        <v>3</v>
      </c>
      <c r="P95" t="n">
        <v>1</v>
      </c>
      <c r="Q95" t="n">
        <v>3</v>
      </c>
      <c r="R95" s="2" t="inlineStr">
        <is>
          <t>Norsk näverlav
Skuggblåslav
Violettgrå tagellav</t>
        </is>
      </c>
      <c r="S95">
        <f>HYPERLINK("https://klasma.github.io/Logging_1737/artfynd/A 10343-2025 artfynd.xlsx", "A 10343-2025")</f>
        <v/>
      </c>
      <c r="T95">
        <f>HYPERLINK("https://klasma.github.io/Logging_1737/kartor/A 10343-2025 karta.png", "A 10343-2025")</f>
        <v/>
      </c>
      <c r="V95">
        <f>HYPERLINK("https://klasma.github.io/Logging_1737/klagomål/A 10343-2025 FSC-klagomål.docx", "A 10343-2025")</f>
        <v/>
      </c>
      <c r="W95">
        <f>HYPERLINK("https://klasma.github.io/Logging_1737/klagomålsmail/A 10343-2025 FSC-klagomål mail.docx", "A 10343-2025")</f>
        <v/>
      </c>
      <c r="X95">
        <f>HYPERLINK("https://klasma.github.io/Logging_1737/tillsyn/A 10343-2025 tillsynsbegäran.docx", "A 10343-2025")</f>
        <v/>
      </c>
      <c r="Y95">
        <f>HYPERLINK("https://klasma.github.io/Logging_1737/tillsynsmail/A 10343-2025 tillsynsbegäran mail.docx", "A 10343-2025")</f>
        <v/>
      </c>
    </row>
    <row r="96" ht="15" customHeight="1">
      <c r="A96" t="inlineStr">
        <is>
          <t>A 67528-2021</t>
        </is>
      </c>
      <c r="B96" s="1" t="n">
        <v>44524</v>
      </c>
      <c r="C96" s="1" t="n">
        <v>46191</v>
      </c>
      <c r="D96" t="inlineStr">
        <is>
          <t>VÄRMLANDS LÄN</t>
        </is>
      </c>
      <c r="E96" t="inlineStr">
        <is>
          <t>TORSBY</t>
        </is>
      </c>
      <c r="G96" t="n">
        <v>47</v>
      </c>
      <c r="H96" t="n">
        <v>1</v>
      </c>
      <c r="I96" t="n">
        <v>1</v>
      </c>
      <c r="J96" t="n">
        <v>0</v>
      </c>
      <c r="K96" t="n">
        <v>1</v>
      </c>
      <c r="L96" t="n">
        <v>0</v>
      </c>
      <c r="M96" t="n">
        <v>0</v>
      </c>
      <c r="N96" t="n">
        <v>0</v>
      </c>
      <c r="O96" t="n">
        <v>1</v>
      </c>
      <c r="P96" t="n">
        <v>1</v>
      </c>
      <c r="Q96" t="n">
        <v>3</v>
      </c>
      <c r="R96" s="2" t="inlineStr">
        <is>
          <t>Garnlav
Vedticka
Tjäder</t>
        </is>
      </c>
      <c r="S96">
        <f>HYPERLINK("https://klasma.github.io/Logging_1737/artfynd/A 67528-2021 artfynd.xlsx", "A 67528-2021")</f>
        <v/>
      </c>
      <c r="T96">
        <f>HYPERLINK("https://klasma.github.io/Logging_1737/kartor/A 67528-2021 karta.png", "A 67528-2021")</f>
        <v/>
      </c>
      <c r="V96">
        <f>HYPERLINK("https://klasma.github.io/Logging_1737/klagomål/A 67528-2021 FSC-klagomål.docx", "A 67528-2021")</f>
        <v/>
      </c>
      <c r="W96">
        <f>HYPERLINK("https://klasma.github.io/Logging_1737/klagomålsmail/A 67528-2021 FSC-klagomål mail.docx", "A 67528-2021")</f>
        <v/>
      </c>
      <c r="X96">
        <f>HYPERLINK("https://klasma.github.io/Logging_1737/tillsyn/A 67528-2021 tillsynsbegäran.docx", "A 67528-2021")</f>
        <v/>
      </c>
      <c r="Y96">
        <f>HYPERLINK("https://klasma.github.io/Logging_1737/tillsynsmail/A 67528-2021 tillsynsbegäran mail.docx", "A 67528-2021")</f>
        <v/>
      </c>
      <c r="Z96">
        <f>HYPERLINK("https://klasma.github.io/Logging_1737/fåglar/A 67528-2021 prioriterade fågelarter.docx", "A 67528-2021")</f>
        <v/>
      </c>
    </row>
    <row r="97" ht="15" customHeight="1">
      <c r="A97" t="inlineStr">
        <is>
          <t>A 52728-2021</t>
        </is>
      </c>
      <c r="B97" s="1" t="n">
        <v>44467</v>
      </c>
      <c r="C97" s="1" t="n">
        <v>46191</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46191</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46191</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46191</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c r="Z100">
        <f>HYPERLINK("https://klasma.github.io/Logging_1737/fåglar/A 62039-2021 prioriterade fågelarter.docx", "A 62039-2021")</f>
        <v/>
      </c>
    </row>
    <row r="101" ht="15" customHeight="1">
      <c r="A101" t="inlineStr">
        <is>
          <t>A 33906-2025</t>
        </is>
      </c>
      <c r="B101" s="1" t="n">
        <v>45842</v>
      </c>
      <c r="C101" s="1" t="n">
        <v>46191</v>
      </c>
      <c r="D101" t="inlineStr">
        <is>
          <t>VÄRMLANDS LÄN</t>
        </is>
      </c>
      <c r="E101" t="inlineStr">
        <is>
          <t>TORSBY</t>
        </is>
      </c>
      <c r="G101" t="n">
        <v>11.5</v>
      </c>
      <c r="H101" t="n">
        <v>0</v>
      </c>
      <c r="I101" t="n">
        <v>1</v>
      </c>
      <c r="J101" t="n">
        <v>0</v>
      </c>
      <c r="K101" t="n">
        <v>1</v>
      </c>
      <c r="L101" t="n">
        <v>0</v>
      </c>
      <c r="M101" t="n">
        <v>0</v>
      </c>
      <c r="N101" t="n">
        <v>0</v>
      </c>
      <c r="O101" t="n">
        <v>1</v>
      </c>
      <c r="P101" t="n">
        <v>1</v>
      </c>
      <c r="Q101" t="n">
        <v>2</v>
      </c>
      <c r="R101" s="2" t="inlineStr">
        <is>
          <t>Garnlav
Korallblylav</t>
        </is>
      </c>
      <c r="S101">
        <f>HYPERLINK("https://klasma.github.io/Logging_1737/artfynd/A 33906-2025 artfynd.xlsx", "A 33906-2025")</f>
        <v/>
      </c>
      <c r="T101">
        <f>HYPERLINK("https://klasma.github.io/Logging_1737/kartor/A 33906-2025 karta.png", "A 33906-2025")</f>
        <v/>
      </c>
      <c r="V101">
        <f>HYPERLINK("https://klasma.github.io/Logging_1737/klagomål/A 33906-2025 FSC-klagomål.docx", "A 33906-2025")</f>
        <v/>
      </c>
      <c r="W101">
        <f>HYPERLINK("https://klasma.github.io/Logging_1737/klagomålsmail/A 33906-2025 FSC-klagomål mail.docx", "A 33906-2025")</f>
        <v/>
      </c>
      <c r="X101">
        <f>HYPERLINK("https://klasma.github.io/Logging_1737/tillsyn/A 33906-2025 tillsynsbegäran.docx", "A 33906-2025")</f>
        <v/>
      </c>
      <c r="Y101">
        <f>HYPERLINK("https://klasma.github.io/Logging_1737/tillsynsmail/A 33906-2025 tillsynsbegäran mail.docx", "A 33906-2025")</f>
        <v/>
      </c>
    </row>
    <row r="102" ht="15" customHeight="1">
      <c r="A102" t="inlineStr">
        <is>
          <t>A 44286-2025</t>
        </is>
      </c>
      <c r="B102" s="1" t="n">
        <v>45916</v>
      </c>
      <c r="C102" s="1" t="n">
        <v>46191</v>
      </c>
      <c r="D102" t="inlineStr">
        <is>
          <t>VÄRMLANDS LÄN</t>
        </is>
      </c>
      <c r="E102" t="inlineStr">
        <is>
          <t>TORSBY</t>
        </is>
      </c>
      <c r="F102" t="inlineStr">
        <is>
          <t>Bergvik skog väst AB</t>
        </is>
      </c>
      <c r="G102" t="n">
        <v>13.8</v>
      </c>
      <c r="H102" t="n">
        <v>0</v>
      </c>
      <c r="I102" t="n">
        <v>2</v>
      </c>
      <c r="J102" t="n">
        <v>0</v>
      </c>
      <c r="K102" t="n">
        <v>0</v>
      </c>
      <c r="L102" t="n">
        <v>0</v>
      </c>
      <c r="M102" t="n">
        <v>0</v>
      </c>
      <c r="N102" t="n">
        <v>0</v>
      </c>
      <c r="O102" t="n">
        <v>0</v>
      </c>
      <c r="P102" t="n">
        <v>0</v>
      </c>
      <c r="Q102" t="n">
        <v>2</v>
      </c>
      <c r="R102" s="2" t="inlineStr">
        <is>
          <t>Kransrams
Spädstarr</t>
        </is>
      </c>
      <c r="S102">
        <f>HYPERLINK("https://klasma.github.io/Logging_1737/artfynd/A 44286-2025 artfynd.xlsx", "A 44286-2025")</f>
        <v/>
      </c>
      <c r="T102">
        <f>HYPERLINK("https://klasma.github.io/Logging_1737/kartor/A 44286-2025 karta.png", "A 44286-2025")</f>
        <v/>
      </c>
      <c r="V102">
        <f>HYPERLINK("https://klasma.github.io/Logging_1737/klagomål/A 44286-2025 FSC-klagomål.docx", "A 44286-2025")</f>
        <v/>
      </c>
      <c r="W102">
        <f>HYPERLINK("https://klasma.github.io/Logging_1737/klagomålsmail/A 44286-2025 FSC-klagomål mail.docx", "A 44286-2025")</f>
        <v/>
      </c>
      <c r="X102">
        <f>HYPERLINK("https://klasma.github.io/Logging_1737/tillsyn/A 44286-2025 tillsynsbegäran.docx", "A 44286-2025")</f>
        <v/>
      </c>
      <c r="Y102">
        <f>HYPERLINK("https://klasma.github.io/Logging_1737/tillsynsmail/A 44286-2025 tillsynsbegäran mail.docx", "A 44286-2025")</f>
        <v/>
      </c>
    </row>
    <row r="103" ht="15" customHeight="1">
      <c r="A103" t="inlineStr">
        <is>
          <t>A 23091-2024</t>
        </is>
      </c>
      <c r="B103" s="1" t="n">
        <v>45450</v>
      </c>
      <c r="C103" s="1" t="n">
        <v>46191</v>
      </c>
      <c r="D103" t="inlineStr">
        <is>
          <t>VÄRMLANDS LÄN</t>
        </is>
      </c>
      <c r="E103" t="inlineStr">
        <is>
          <t>TORSBY</t>
        </is>
      </c>
      <c r="F103" t="inlineStr">
        <is>
          <t>Bergvik skog väst AB</t>
        </is>
      </c>
      <c r="G103" t="n">
        <v>14.3</v>
      </c>
      <c r="H103" t="n">
        <v>0</v>
      </c>
      <c r="I103" t="n">
        <v>1</v>
      </c>
      <c r="J103" t="n">
        <v>1</v>
      </c>
      <c r="K103" t="n">
        <v>0</v>
      </c>
      <c r="L103" t="n">
        <v>0</v>
      </c>
      <c r="M103" t="n">
        <v>0</v>
      </c>
      <c r="N103" t="n">
        <v>0</v>
      </c>
      <c r="O103" t="n">
        <v>1</v>
      </c>
      <c r="P103" t="n">
        <v>0</v>
      </c>
      <c r="Q103" t="n">
        <v>2</v>
      </c>
      <c r="R103" s="2" t="inlineStr">
        <is>
          <t>Vedskivlav
Kambräken</t>
        </is>
      </c>
      <c r="S103">
        <f>HYPERLINK("https://klasma.github.io/Logging_1737/artfynd/A 23091-2024 artfynd.xlsx", "A 23091-2024")</f>
        <v/>
      </c>
      <c r="T103">
        <f>HYPERLINK("https://klasma.github.io/Logging_1737/kartor/A 23091-2024 karta.png", "A 23091-2024")</f>
        <v/>
      </c>
      <c r="V103">
        <f>HYPERLINK("https://klasma.github.io/Logging_1737/klagomål/A 23091-2024 FSC-klagomål.docx", "A 23091-2024")</f>
        <v/>
      </c>
      <c r="W103">
        <f>HYPERLINK("https://klasma.github.io/Logging_1737/klagomålsmail/A 23091-2024 FSC-klagomål mail.docx", "A 23091-2024")</f>
        <v/>
      </c>
      <c r="X103">
        <f>HYPERLINK("https://klasma.github.io/Logging_1737/tillsyn/A 23091-2024 tillsynsbegäran.docx", "A 23091-2024")</f>
        <v/>
      </c>
      <c r="Y103">
        <f>HYPERLINK("https://klasma.github.io/Logging_1737/tillsynsmail/A 23091-2024 tillsynsbegäran mail.docx", "A 23091-2024")</f>
        <v/>
      </c>
    </row>
    <row r="104" ht="15" customHeight="1">
      <c r="A104" t="inlineStr">
        <is>
          <t>A 59423-2024</t>
        </is>
      </c>
      <c r="B104" s="1" t="n">
        <v>45638</v>
      </c>
      <c r="C104" s="1" t="n">
        <v>46191</v>
      </c>
      <c r="D104" t="inlineStr">
        <is>
          <t>VÄRMLANDS LÄN</t>
        </is>
      </c>
      <c r="E104" t="inlineStr">
        <is>
          <t>TORSBY</t>
        </is>
      </c>
      <c r="G104" t="n">
        <v>23.7</v>
      </c>
      <c r="H104" t="n">
        <v>0</v>
      </c>
      <c r="I104" t="n">
        <v>0</v>
      </c>
      <c r="J104" t="n">
        <v>1</v>
      </c>
      <c r="K104" t="n">
        <v>1</v>
      </c>
      <c r="L104" t="n">
        <v>0</v>
      </c>
      <c r="M104" t="n">
        <v>0</v>
      </c>
      <c r="N104" t="n">
        <v>0</v>
      </c>
      <c r="O104" t="n">
        <v>2</v>
      </c>
      <c r="P104" t="n">
        <v>1</v>
      </c>
      <c r="Q104" t="n">
        <v>2</v>
      </c>
      <c r="R104" s="2" t="inlineStr">
        <is>
          <t>Garnlav
Blågrå svartspik</t>
        </is>
      </c>
      <c r="S104">
        <f>HYPERLINK("https://klasma.github.io/Logging_1737/artfynd/A 59423-2024 artfynd.xlsx", "A 59423-2024")</f>
        <v/>
      </c>
      <c r="T104">
        <f>HYPERLINK("https://klasma.github.io/Logging_1737/kartor/A 59423-2024 karta.png", "A 59423-2024")</f>
        <v/>
      </c>
      <c r="V104">
        <f>HYPERLINK("https://klasma.github.io/Logging_1737/klagomål/A 59423-2024 FSC-klagomål.docx", "A 59423-2024")</f>
        <v/>
      </c>
      <c r="W104">
        <f>HYPERLINK("https://klasma.github.io/Logging_1737/klagomålsmail/A 59423-2024 FSC-klagomål mail.docx", "A 59423-2024")</f>
        <v/>
      </c>
      <c r="X104">
        <f>HYPERLINK("https://klasma.github.io/Logging_1737/tillsyn/A 59423-2024 tillsynsbegäran.docx", "A 59423-2024")</f>
        <v/>
      </c>
      <c r="Y104">
        <f>HYPERLINK("https://klasma.github.io/Logging_1737/tillsynsmail/A 59423-2024 tillsynsbegäran mail.docx", "A 59423-2024")</f>
        <v/>
      </c>
    </row>
    <row r="105" ht="15" customHeight="1">
      <c r="A105" t="inlineStr">
        <is>
          <t>A 42610-2023</t>
        </is>
      </c>
      <c r="B105" s="1" t="n">
        <v>45181</v>
      </c>
      <c r="C105" s="1" t="n">
        <v>46191</v>
      </c>
      <c r="D105" t="inlineStr">
        <is>
          <t>VÄRMLANDS LÄN</t>
        </is>
      </c>
      <c r="E105" t="inlineStr">
        <is>
          <t>TORSBY</t>
        </is>
      </c>
      <c r="G105" t="n">
        <v>16.9</v>
      </c>
      <c r="H105" t="n">
        <v>1</v>
      </c>
      <c r="I105" t="n">
        <v>0</v>
      </c>
      <c r="J105" t="n">
        <v>0</v>
      </c>
      <c r="K105" t="n">
        <v>1</v>
      </c>
      <c r="L105" t="n">
        <v>0</v>
      </c>
      <c r="M105" t="n">
        <v>0</v>
      </c>
      <c r="N105" t="n">
        <v>0</v>
      </c>
      <c r="O105" t="n">
        <v>1</v>
      </c>
      <c r="P105" t="n">
        <v>1</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12372-2022</t>
        </is>
      </c>
      <c r="B106" s="1" t="n">
        <v>44637</v>
      </c>
      <c r="C106" s="1" t="n">
        <v>46191</v>
      </c>
      <c r="D106" t="inlineStr">
        <is>
          <t>VÄRMLANDS LÄN</t>
        </is>
      </c>
      <c r="E106" t="inlineStr">
        <is>
          <t>TORSBY</t>
        </is>
      </c>
      <c r="G106" t="n">
        <v>3.4</v>
      </c>
      <c r="H106" t="n">
        <v>0</v>
      </c>
      <c r="I106" t="n">
        <v>0</v>
      </c>
      <c r="J106" t="n">
        <v>1</v>
      </c>
      <c r="K106" t="n">
        <v>1</v>
      </c>
      <c r="L106" t="n">
        <v>0</v>
      </c>
      <c r="M106" t="n">
        <v>0</v>
      </c>
      <c r="N106" t="n">
        <v>0</v>
      </c>
      <c r="O106" t="n">
        <v>2</v>
      </c>
      <c r="P106" t="n">
        <v>1</v>
      </c>
      <c r="Q106" t="n">
        <v>2</v>
      </c>
      <c r="R106" s="2" t="inlineStr">
        <is>
          <t>Garnlav
Gammelgransskål</t>
        </is>
      </c>
      <c r="S106">
        <f>HYPERLINK("https://klasma.github.io/Logging_1737/artfynd/A 12372-2022 artfynd.xlsx", "A 12372-2022")</f>
        <v/>
      </c>
      <c r="T106">
        <f>HYPERLINK("https://klasma.github.io/Logging_1737/kartor/A 12372-2022 karta.png", "A 12372-2022")</f>
        <v/>
      </c>
      <c r="V106">
        <f>HYPERLINK("https://klasma.github.io/Logging_1737/klagomål/A 12372-2022 FSC-klagomål.docx", "A 12372-2022")</f>
        <v/>
      </c>
      <c r="W106">
        <f>HYPERLINK("https://klasma.github.io/Logging_1737/klagomålsmail/A 12372-2022 FSC-klagomål mail.docx", "A 12372-2022")</f>
        <v/>
      </c>
      <c r="X106">
        <f>HYPERLINK("https://klasma.github.io/Logging_1737/tillsyn/A 12372-2022 tillsynsbegäran.docx", "A 12372-2022")</f>
        <v/>
      </c>
      <c r="Y106">
        <f>HYPERLINK("https://klasma.github.io/Logging_1737/tillsynsmail/A 12372-2022 tillsynsbegäran mail.docx", "A 12372-2022")</f>
        <v/>
      </c>
    </row>
    <row r="107" ht="15" customHeight="1">
      <c r="A107" t="inlineStr">
        <is>
          <t>A 12375-2022</t>
        </is>
      </c>
      <c r="B107" s="1" t="n">
        <v>44637</v>
      </c>
      <c r="C107" s="1" t="n">
        <v>46191</v>
      </c>
      <c r="D107" t="inlineStr">
        <is>
          <t>VÄRMLANDS LÄN</t>
        </is>
      </c>
      <c r="E107" t="inlineStr">
        <is>
          <t>TORSBY</t>
        </is>
      </c>
      <c r="G107" t="n">
        <v>5.8</v>
      </c>
      <c r="H107" t="n">
        <v>0</v>
      </c>
      <c r="I107" t="n">
        <v>1</v>
      </c>
      <c r="J107" t="n">
        <v>0</v>
      </c>
      <c r="K107" t="n">
        <v>1</v>
      </c>
      <c r="L107" t="n">
        <v>0</v>
      </c>
      <c r="M107" t="n">
        <v>0</v>
      </c>
      <c r="N107" t="n">
        <v>0</v>
      </c>
      <c r="O107" t="n">
        <v>1</v>
      </c>
      <c r="P107" t="n">
        <v>1</v>
      </c>
      <c r="Q107" t="n">
        <v>2</v>
      </c>
      <c r="R107" s="2" t="inlineStr">
        <is>
          <t>Garnlav
Nästlav</t>
        </is>
      </c>
      <c r="S107">
        <f>HYPERLINK("https://klasma.github.io/Logging_1737/artfynd/A 12375-2022 artfynd.xlsx", "A 12375-2022")</f>
        <v/>
      </c>
      <c r="T107">
        <f>HYPERLINK("https://klasma.github.io/Logging_1737/kartor/A 12375-2022 karta.png", "A 12375-2022")</f>
        <v/>
      </c>
      <c r="V107">
        <f>HYPERLINK("https://klasma.github.io/Logging_1737/klagomål/A 12375-2022 FSC-klagomål.docx", "A 12375-2022")</f>
        <v/>
      </c>
      <c r="W107">
        <f>HYPERLINK("https://klasma.github.io/Logging_1737/klagomålsmail/A 12375-2022 FSC-klagomål mail.docx", "A 12375-2022")</f>
        <v/>
      </c>
      <c r="X107">
        <f>HYPERLINK("https://klasma.github.io/Logging_1737/tillsyn/A 12375-2022 tillsynsbegäran.docx", "A 12375-2022")</f>
        <v/>
      </c>
      <c r="Y107">
        <f>HYPERLINK("https://klasma.github.io/Logging_1737/tillsynsmail/A 12375-2022 tillsynsbegäran mail.docx", "A 12375-2022")</f>
        <v/>
      </c>
    </row>
    <row r="108" ht="15" customHeight="1">
      <c r="A108" t="inlineStr">
        <is>
          <t>A 11763-2026</t>
        </is>
      </c>
      <c r="B108" s="1" t="n">
        <v>46084</v>
      </c>
      <c r="C108" s="1" t="n">
        <v>46191</v>
      </c>
      <c r="D108" t="inlineStr">
        <is>
          <t>VÄRMLANDS LÄN</t>
        </is>
      </c>
      <c r="E108" t="inlineStr">
        <is>
          <t>TORSBY</t>
        </is>
      </c>
      <c r="G108" t="n">
        <v>0.9</v>
      </c>
      <c r="H108" t="n">
        <v>0</v>
      </c>
      <c r="I108" t="n">
        <v>0</v>
      </c>
      <c r="J108" t="n">
        <v>1</v>
      </c>
      <c r="K108" t="n">
        <v>1</v>
      </c>
      <c r="L108" t="n">
        <v>0</v>
      </c>
      <c r="M108" t="n">
        <v>0</v>
      </c>
      <c r="N108" t="n">
        <v>0</v>
      </c>
      <c r="O108" t="n">
        <v>2</v>
      </c>
      <c r="P108" t="n">
        <v>1</v>
      </c>
      <c r="Q108" t="n">
        <v>2</v>
      </c>
      <c r="R108" s="2" t="inlineStr">
        <is>
          <t>Garnlav
Dropptaggsvamp</t>
        </is>
      </c>
      <c r="S108">
        <f>HYPERLINK("https://klasma.github.io/Logging_1737/artfynd/A 11763-2026 artfynd.xlsx", "A 11763-2026")</f>
        <v/>
      </c>
      <c r="T108">
        <f>HYPERLINK("https://klasma.github.io/Logging_1737/kartor/A 11763-2026 karta.png", "A 11763-2026")</f>
        <v/>
      </c>
      <c r="V108">
        <f>HYPERLINK("https://klasma.github.io/Logging_1737/klagomål/A 11763-2026 FSC-klagomål.docx", "A 11763-2026")</f>
        <v/>
      </c>
      <c r="W108">
        <f>HYPERLINK("https://klasma.github.io/Logging_1737/klagomålsmail/A 11763-2026 FSC-klagomål mail.docx", "A 11763-2026")</f>
        <v/>
      </c>
      <c r="X108">
        <f>HYPERLINK("https://klasma.github.io/Logging_1737/tillsyn/A 11763-2026 tillsynsbegäran.docx", "A 11763-2026")</f>
        <v/>
      </c>
      <c r="Y108">
        <f>HYPERLINK("https://klasma.github.io/Logging_1737/tillsynsmail/A 11763-2026 tillsynsbegäran mail.docx", "A 11763-2026")</f>
        <v/>
      </c>
    </row>
    <row r="109" ht="15" customHeight="1">
      <c r="A109" t="inlineStr">
        <is>
          <t>A 12915-2026</t>
        </is>
      </c>
      <c r="B109" s="1" t="n">
        <v>46092</v>
      </c>
      <c r="C109" s="1" t="n">
        <v>46191</v>
      </c>
      <c r="D109" t="inlineStr">
        <is>
          <t>VÄRMLANDS LÄN</t>
        </is>
      </c>
      <c r="E109" t="inlineStr">
        <is>
          <t>TORSBY</t>
        </is>
      </c>
      <c r="F109" t="inlineStr">
        <is>
          <t>Bergvik skog väst AB</t>
        </is>
      </c>
      <c r="G109" t="n">
        <v>16.4</v>
      </c>
      <c r="H109" t="n">
        <v>0</v>
      </c>
      <c r="I109" t="n">
        <v>0</v>
      </c>
      <c r="J109" t="n">
        <v>1</v>
      </c>
      <c r="K109" t="n">
        <v>1</v>
      </c>
      <c r="L109" t="n">
        <v>0</v>
      </c>
      <c r="M109" t="n">
        <v>0</v>
      </c>
      <c r="N109" t="n">
        <v>0</v>
      </c>
      <c r="O109" t="n">
        <v>2</v>
      </c>
      <c r="P109" t="n">
        <v>1</v>
      </c>
      <c r="Q109" t="n">
        <v>2</v>
      </c>
      <c r="R109" s="2" t="inlineStr">
        <is>
          <t>Garnlav
Tallticka</t>
        </is>
      </c>
      <c r="S109">
        <f>HYPERLINK("https://klasma.github.io/Logging_1737/artfynd/A 12915-2026 artfynd.xlsx", "A 12915-2026")</f>
        <v/>
      </c>
      <c r="T109">
        <f>HYPERLINK("https://klasma.github.io/Logging_1737/kartor/A 12915-2026 karta.png", "A 12915-2026")</f>
        <v/>
      </c>
      <c r="V109">
        <f>HYPERLINK("https://klasma.github.io/Logging_1737/klagomål/A 12915-2026 FSC-klagomål.docx", "A 12915-2026")</f>
        <v/>
      </c>
      <c r="W109">
        <f>HYPERLINK("https://klasma.github.io/Logging_1737/klagomålsmail/A 12915-2026 FSC-klagomål mail.docx", "A 12915-2026")</f>
        <v/>
      </c>
      <c r="X109">
        <f>HYPERLINK("https://klasma.github.io/Logging_1737/tillsyn/A 12915-2026 tillsynsbegäran.docx", "A 12915-2026")</f>
        <v/>
      </c>
      <c r="Y109">
        <f>HYPERLINK("https://klasma.github.io/Logging_1737/tillsynsmail/A 12915-2026 tillsynsbegäran mail.docx", "A 12915-2026")</f>
        <v/>
      </c>
    </row>
    <row r="110" ht="15" customHeight="1">
      <c r="A110" t="inlineStr">
        <is>
          <t>A 28156-2022</t>
        </is>
      </c>
      <c r="B110" s="1" t="n">
        <v>44746</v>
      </c>
      <c r="C110" s="1" t="n">
        <v>46191</v>
      </c>
      <c r="D110" t="inlineStr">
        <is>
          <t>VÄRMLANDS LÄN</t>
        </is>
      </c>
      <c r="E110" t="inlineStr">
        <is>
          <t>TORSBY</t>
        </is>
      </c>
      <c r="F110" t="inlineStr">
        <is>
          <t>Bergvik skog väst AB</t>
        </is>
      </c>
      <c r="G110" t="n">
        <v>8.300000000000001</v>
      </c>
      <c r="H110" t="n">
        <v>0</v>
      </c>
      <c r="I110" t="n">
        <v>0</v>
      </c>
      <c r="J110" t="n">
        <v>1</v>
      </c>
      <c r="K110" t="n">
        <v>1</v>
      </c>
      <c r="L110" t="n">
        <v>0</v>
      </c>
      <c r="M110" t="n">
        <v>0</v>
      </c>
      <c r="N110" t="n">
        <v>0</v>
      </c>
      <c r="O110" t="n">
        <v>2</v>
      </c>
      <c r="P110" t="n">
        <v>1</v>
      </c>
      <c r="Q110" t="n">
        <v>2</v>
      </c>
      <c r="R110" s="2" t="inlineStr">
        <is>
          <t>Raggbock
Tallticka</t>
        </is>
      </c>
      <c r="S110">
        <f>HYPERLINK("https://klasma.github.io/Logging_1737/artfynd/A 28156-2022 artfynd.xlsx", "A 28156-2022")</f>
        <v/>
      </c>
      <c r="T110">
        <f>HYPERLINK("https://klasma.github.io/Logging_1737/kartor/A 28156-2022 karta.png", "A 28156-2022")</f>
        <v/>
      </c>
      <c r="V110">
        <f>HYPERLINK("https://klasma.github.io/Logging_1737/klagomål/A 28156-2022 FSC-klagomål.docx", "A 28156-2022")</f>
        <v/>
      </c>
      <c r="W110">
        <f>HYPERLINK("https://klasma.github.io/Logging_1737/klagomålsmail/A 28156-2022 FSC-klagomål mail.docx", "A 28156-2022")</f>
        <v/>
      </c>
      <c r="X110">
        <f>HYPERLINK("https://klasma.github.io/Logging_1737/tillsyn/A 28156-2022 tillsynsbegäran.docx", "A 28156-2022")</f>
        <v/>
      </c>
      <c r="Y110">
        <f>HYPERLINK("https://klasma.github.io/Logging_1737/tillsynsmail/A 28156-2022 tillsynsbegäran mail.docx", "A 28156-2022")</f>
        <v/>
      </c>
    </row>
    <row r="111" ht="15" customHeight="1">
      <c r="A111" t="inlineStr">
        <is>
          <t>A 61950-2024</t>
        </is>
      </c>
      <c r="B111" s="1" t="n">
        <v>45653</v>
      </c>
      <c r="C111" s="1" t="n">
        <v>46191</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58537-2025</t>
        </is>
      </c>
      <c r="B112" s="1" t="n">
        <v>45985</v>
      </c>
      <c r="C112" s="1" t="n">
        <v>46191</v>
      </c>
      <c r="D112" t="inlineStr">
        <is>
          <t>VÄRMLANDS LÄN</t>
        </is>
      </c>
      <c r="E112" t="inlineStr">
        <is>
          <t>TORSBY</t>
        </is>
      </c>
      <c r="F112" t="inlineStr">
        <is>
          <t>Övriga statliga verk och myndigheter</t>
        </is>
      </c>
      <c r="G112" t="n">
        <v>0.6</v>
      </c>
      <c r="H112" t="n">
        <v>1</v>
      </c>
      <c r="I112" t="n">
        <v>1</v>
      </c>
      <c r="J112" t="n">
        <v>1</v>
      </c>
      <c r="K112" t="n">
        <v>0</v>
      </c>
      <c r="L112" t="n">
        <v>0</v>
      </c>
      <c r="M112" t="n">
        <v>0</v>
      </c>
      <c r="N112" t="n">
        <v>0</v>
      </c>
      <c r="O112" t="n">
        <v>1</v>
      </c>
      <c r="P112" t="n">
        <v>0</v>
      </c>
      <c r="Q112" t="n">
        <v>2</v>
      </c>
      <c r="R112" s="2" t="inlineStr">
        <is>
          <t>Tretåig hackspett
Stor revmossa</t>
        </is>
      </c>
      <c r="S112">
        <f>HYPERLINK("https://klasma.github.io/Logging_1737/artfynd/A 58537-2025 artfynd.xlsx", "A 58537-2025")</f>
        <v/>
      </c>
      <c r="T112">
        <f>HYPERLINK("https://klasma.github.io/Logging_1737/kartor/A 58537-2025 karta.png", "A 58537-2025")</f>
        <v/>
      </c>
      <c r="V112">
        <f>HYPERLINK("https://klasma.github.io/Logging_1737/klagomål/A 58537-2025 FSC-klagomål.docx", "A 58537-2025")</f>
        <v/>
      </c>
      <c r="W112">
        <f>HYPERLINK("https://klasma.github.io/Logging_1737/klagomålsmail/A 58537-2025 FSC-klagomål mail.docx", "A 58537-2025")</f>
        <v/>
      </c>
      <c r="X112">
        <f>HYPERLINK("https://klasma.github.io/Logging_1737/tillsyn/A 58537-2025 tillsynsbegäran.docx", "A 58537-2025")</f>
        <v/>
      </c>
      <c r="Y112">
        <f>HYPERLINK("https://klasma.github.io/Logging_1737/tillsynsmail/A 58537-2025 tillsynsbegäran mail.docx", "A 58537-2025")</f>
        <v/>
      </c>
      <c r="Z112">
        <f>HYPERLINK("https://klasma.github.io/Logging_1737/fåglar/A 58537-2025 prioriterade fågelarter.docx", "A 58537-2025")</f>
        <v/>
      </c>
    </row>
    <row r="113" ht="15" customHeight="1">
      <c r="A113" t="inlineStr">
        <is>
          <t>A 58928-2025</t>
        </is>
      </c>
      <c r="B113" s="1" t="n">
        <v>45987</v>
      </c>
      <c r="C113" s="1" t="n">
        <v>46191</v>
      </c>
      <c r="D113" t="inlineStr">
        <is>
          <t>VÄRMLANDS LÄN</t>
        </is>
      </c>
      <c r="E113" t="inlineStr">
        <is>
          <t>TORSBY</t>
        </is>
      </c>
      <c r="F113" t="inlineStr">
        <is>
          <t>Bergvik skog väst AB</t>
        </is>
      </c>
      <c r="G113" t="n">
        <v>1.5</v>
      </c>
      <c r="H113" t="n">
        <v>0</v>
      </c>
      <c r="I113" t="n">
        <v>0</v>
      </c>
      <c r="J113" t="n">
        <v>2</v>
      </c>
      <c r="K113" t="n">
        <v>0</v>
      </c>
      <c r="L113" t="n">
        <v>0</v>
      </c>
      <c r="M113" t="n">
        <v>0</v>
      </c>
      <c r="N113" t="n">
        <v>0</v>
      </c>
      <c r="O113" t="n">
        <v>2</v>
      </c>
      <c r="P113" t="n">
        <v>0</v>
      </c>
      <c r="Q113" t="n">
        <v>2</v>
      </c>
      <c r="R113" s="2" t="inlineStr">
        <is>
          <t>Lunglav
Skrovellav</t>
        </is>
      </c>
      <c r="S113">
        <f>HYPERLINK("https://klasma.github.io/Logging_1737/artfynd/A 58928-2025 artfynd.xlsx", "A 58928-2025")</f>
        <v/>
      </c>
      <c r="T113">
        <f>HYPERLINK("https://klasma.github.io/Logging_1737/kartor/A 58928-2025 karta.png", "A 58928-2025")</f>
        <v/>
      </c>
      <c r="V113">
        <f>HYPERLINK("https://klasma.github.io/Logging_1737/klagomål/A 58928-2025 FSC-klagomål.docx", "A 58928-2025")</f>
        <v/>
      </c>
      <c r="W113">
        <f>HYPERLINK("https://klasma.github.io/Logging_1737/klagomålsmail/A 58928-2025 FSC-klagomål mail.docx", "A 58928-2025")</f>
        <v/>
      </c>
      <c r="X113">
        <f>HYPERLINK("https://klasma.github.io/Logging_1737/tillsyn/A 58928-2025 tillsynsbegäran.docx", "A 58928-2025")</f>
        <v/>
      </c>
      <c r="Y113">
        <f>HYPERLINK("https://klasma.github.io/Logging_1737/tillsynsmail/A 58928-2025 tillsynsbegäran mail.docx", "A 58928-2025")</f>
        <v/>
      </c>
    </row>
    <row r="114" ht="15" customHeight="1">
      <c r="A114" t="inlineStr">
        <is>
          <t>A 62690-2025</t>
        </is>
      </c>
      <c r="B114" s="1" t="n">
        <v>46007</v>
      </c>
      <c r="C114" s="1" t="n">
        <v>46191</v>
      </c>
      <c r="D114" t="inlineStr">
        <is>
          <t>VÄRMLANDS LÄN</t>
        </is>
      </c>
      <c r="E114" t="inlineStr">
        <is>
          <t>TORSBY</t>
        </is>
      </c>
      <c r="G114" t="n">
        <v>2.2</v>
      </c>
      <c r="H114" t="n">
        <v>1</v>
      </c>
      <c r="I114" t="n">
        <v>0</v>
      </c>
      <c r="J114" t="n">
        <v>0</v>
      </c>
      <c r="K114" t="n">
        <v>1</v>
      </c>
      <c r="L114" t="n">
        <v>0</v>
      </c>
      <c r="M114" t="n">
        <v>0</v>
      </c>
      <c r="N114" t="n">
        <v>0</v>
      </c>
      <c r="O114" t="n">
        <v>1</v>
      </c>
      <c r="P114" t="n">
        <v>1</v>
      </c>
      <c r="Q114" t="n">
        <v>2</v>
      </c>
      <c r="R114" s="2" t="inlineStr">
        <is>
          <t>Grantickeporing
Utter</t>
        </is>
      </c>
      <c r="S114">
        <f>HYPERLINK("https://klasma.github.io/Logging_1737/artfynd/A 62690-2025 artfynd.xlsx", "A 62690-2025")</f>
        <v/>
      </c>
      <c r="T114">
        <f>HYPERLINK("https://klasma.github.io/Logging_1737/kartor/A 62690-2025 karta.png", "A 62690-2025")</f>
        <v/>
      </c>
      <c r="V114">
        <f>HYPERLINK("https://klasma.github.io/Logging_1737/klagomål/A 62690-2025 FSC-klagomål.docx", "A 62690-2025")</f>
        <v/>
      </c>
      <c r="W114">
        <f>HYPERLINK("https://klasma.github.io/Logging_1737/klagomålsmail/A 62690-2025 FSC-klagomål mail.docx", "A 62690-2025")</f>
        <v/>
      </c>
      <c r="X114">
        <f>HYPERLINK("https://klasma.github.io/Logging_1737/tillsyn/A 62690-2025 tillsynsbegäran.docx", "A 62690-2025")</f>
        <v/>
      </c>
      <c r="Y114">
        <f>HYPERLINK("https://klasma.github.io/Logging_1737/tillsynsmail/A 62690-2025 tillsynsbegäran mail.docx", "A 62690-2025")</f>
        <v/>
      </c>
    </row>
    <row r="115" ht="15" customHeight="1">
      <c r="A115" t="inlineStr">
        <is>
          <t>A 62568-2025</t>
        </is>
      </c>
      <c r="B115" s="1" t="n">
        <v>46007</v>
      </c>
      <c r="C115" s="1" t="n">
        <v>46191</v>
      </c>
      <c r="D115" t="inlineStr">
        <is>
          <t>VÄRMLANDS LÄN</t>
        </is>
      </c>
      <c r="E115" t="inlineStr">
        <is>
          <t>TORSBY</t>
        </is>
      </c>
      <c r="G115" t="n">
        <v>7</v>
      </c>
      <c r="H115" t="n">
        <v>0</v>
      </c>
      <c r="I115" t="n">
        <v>1</v>
      </c>
      <c r="J115" t="n">
        <v>1</v>
      </c>
      <c r="K115" t="n">
        <v>0</v>
      </c>
      <c r="L115" t="n">
        <v>0</v>
      </c>
      <c r="M115" t="n">
        <v>0</v>
      </c>
      <c r="N115" t="n">
        <v>0</v>
      </c>
      <c r="O115" t="n">
        <v>1</v>
      </c>
      <c r="P115" t="n">
        <v>0</v>
      </c>
      <c r="Q115" t="n">
        <v>2</v>
      </c>
      <c r="R115" s="2" t="inlineStr">
        <is>
          <t>Doftskinn
Vedticka</t>
        </is>
      </c>
      <c r="S115">
        <f>HYPERLINK("https://klasma.github.io/Logging_1737/artfynd/A 62568-2025 artfynd.xlsx", "A 62568-2025")</f>
        <v/>
      </c>
      <c r="T115">
        <f>HYPERLINK("https://klasma.github.io/Logging_1737/kartor/A 62568-2025 karta.png", "A 62568-2025")</f>
        <v/>
      </c>
      <c r="V115">
        <f>HYPERLINK("https://klasma.github.io/Logging_1737/klagomål/A 62568-2025 FSC-klagomål.docx", "A 62568-2025")</f>
        <v/>
      </c>
      <c r="W115">
        <f>HYPERLINK("https://klasma.github.io/Logging_1737/klagomålsmail/A 62568-2025 FSC-klagomål mail.docx", "A 62568-2025")</f>
        <v/>
      </c>
      <c r="X115">
        <f>HYPERLINK("https://klasma.github.io/Logging_1737/tillsyn/A 62568-2025 tillsynsbegäran.docx", "A 62568-2025")</f>
        <v/>
      </c>
      <c r="Y115">
        <f>HYPERLINK("https://klasma.github.io/Logging_1737/tillsynsmail/A 62568-2025 tillsynsbegäran mail.docx", "A 62568-2025")</f>
        <v/>
      </c>
    </row>
    <row r="116" ht="15" customHeight="1">
      <c r="A116" t="inlineStr">
        <is>
          <t>A 1979-2023</t>
        </is>
      </c>
      <c r="B116" s="1" t="n">
        <v>44939</v>
      </c>
      <c r="C116" s="1" t="n">
        <v>46191</v>
      </c>
      <c r="D116" t="inlineStr">
        <is>
          <t>VÄRMLANDS LÄN</t>
        </is>
      </c>
      <c r="E116" t="inlineStr">
        <is>
          <t>TORSBY</t>
        </is>
      </c>
      <c r="G116" t="n">
        <v>2.2</v>
      </c>
      <c r="H116" t="n">
        <v>2</v>
      </c>
      <c r="I116" t="n">
        <v>1</v>
      </c>
      <c r="J116" t="n">
        <v>0</v>
      </c>
      <c r="K116" t="n">
        <v>0</v>
      </c>
      <c r="L116" t="n">
        <v>0</v>
      </c>
      <c r="M116" t="n">
        <v>0</v>
      </c>
      <c r="N116" t="n">
        <v>0</v>
      </c>
      <c r="O116" t="n">
        <v>0</v>
      </c>
      <c r="P116" t="n">
        <v>0</v>
      </c>
      <c r="Q116" t="n">
        <v>2</v>
      </c>
      <c r="R116" s="2" t="inlineStr">
        <is>
          <t>Korallrot
Fläcknycklar</t>
        </is>
      </c>
      <c r="S116">
        <f>HYPERLINK("https://klasma.github.io/Logging_1737/artfynd/A 1979-2023 artfynd.xlsx", "A 1979-2023")</f>
        <v/>
      </c>
      <c r="T116">
        <f>HYPERLINK("https://klasma.github.io/Logging_1737/kartor/A 1979-2023 karta.png", "A 1979-2023")</f>
        <v/>
      </c>
      <c r="V116">
        <f>HYPERLINK("https://klasma.github.io/Logging_1737/klagomål/A 1979-2023 FSC-klagomål.docx", "A 1979-2023")</f>
        <v/>
      </c>
      <c r="W116">
        <f>HYPERLINK("https://klasma.github.io/Logging_1737/klagomålsmail/A 1979-2023 FSC-klagomål mail.docx", "A 1979-2023")</f>
        <v/>
      </c>
      <c r="X116">
        <f>HYPERLINK("https://klasma.github.io/Logging_1737/tillsyn/A 1979-2023 tillsynsbegäran.docx", "A 1979-2023")</f>
        <v/>
      </c>
      <c r="Y116">
        <f>HYPERLINK("https://klasma.github.io/Logging_1737/tillsynsmail/A 1979-2023 tillsynsbegäran mail.docx", "A 1979-2023")</f>
        <v/>
      </c>
    </row>
    <row r="117" ht="15" customHeight="1">
      <c r="A117" t="inlineStr">
        <is>
          <t>A 63388-2025</t>
        </is>
      </c>
      <c r="B117" s="1" t="n">
        <v>46011</v>
      </c>
      <c r="C117" s="1" t="n">
        <v>46191</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Mörk kolflarnlav
Vedskivlav</t>
        </is>
      </c>
      <c r="S117">
        <f>HYPERLINK("https://klasma.github.io/Logging_1737/artfynd/A 63388-2025 artfynd.xlsx", "A 63388-2025")</f>
        <v/>
      </c>
      <c r="T117">
        <f>HYPERLINK("https://klasma.github.io/Logging_1737/kartor/A 63388-2025 karta.png", "A 63388-2025")</f>
        <v/>
      </c>
      <c r="V117">
        <f>HYPERLINK("https://klasma.github.io/Logging_1737/klagomål/A 63388-2025 FSC-klagomål.docx", "A 63388-2025")</f>
        <v/>
      </c>
      <c r="W117">
        <f>HYPERLINK("https://klasma.github.io/Logging_1737/klagomålsmail/A 63388-2025 FSC-klagomål mail.docx", "A 63388-2025")</f>
        <v/>
      </c>
      <c r="X117">
        <f>HYPERLINK("https://klasma.github.io/Logging_1737/tillsyn/A 63388-2025 tillsynsbegäran.docx", "A 63388-2025")</f>
        <v/>
      </c>
      <c r="Y117">
        <f>HYPERLINK("https://klasma.github.io/Logging_1737/tillsynsmail/A 63388-2025 tillsynsbegäran mail.docx", "A 63388-2025")</f>
        <v/>
      </c>
    </row>
    <row r="118" ht="15" customHeight="1">
      <c r="A118" t="inlineStr">
        <is>
          <t>A 2000-2023</t>
        </is>
      </c>
      <c r="B118" s="1" t="n">
        <v>44939</v>
      </c>
      <c r="C118" s="1" t="n">
        <v>46191</v>
      </c>
      <c r="D118" t="inlineStr">
        <is>
          <t>VÄRMLANDS LÄN</t>
        </is>
      </c>
      <c r="E118" t="inlineStr">
        <is>
          <t>TORSBY</t>
        </is>
      </c>
      <c r="G118" t="n">
        <v>3.2</v>
      </c>
      <c r="H118" t="n">
        <v>2</v>
      </c>
      <c r="I118" t="n">
        <v>1</v>
      </c>
      <c r="J118" t="n">
        <v>0</v>
      </c>
      <c r="K118" t="n">
        <v>0</v>
      </c>
      <c r="L118" t="n">
        <v>0</v>
      </c>
      <c r="M118" t="n">
        <v>0</v>
      </c>
      <c r="N118" t="n">
        <v>0</v>
      </c>
      <c r="O118" t="n">
        <v>0</v>
      </c>
      <c r="P118" t="n">
        <v>0</v>
      </c>
      <c r="Q118" t="n">
        <v>2</v>
      </c>
      <c r="R118" s="2" t="inlineStr">
        <is>
          <t>Spindelblomster
Mattlummer</t>
        </is>
      </c>
      <c r="S118">
        <f>HYPERLINK("https://klasma.github.io/Logging_1737/artfynd/A 2000-2023 artfynd.xlsx", "A 2000-2023")</f>
        <v/>
      </c>
      <c r="T118">
        <f>HYPERLINK("https://klasma.github.io/Logging_1737/kartor/A 2000-2023 karta.png", "A 2000-2023")</f>
        <v/>
      </c>
      <c r="V118">
        <f>HYPERLINK("https://klasma.github.io/Logging_1737/klagomål/A 2000-2023 FSC-klagomål.docx", "A 2000-2023")</f>
        <v/>
      </c>
      <c r="W118">
        <f>HYPERLINK("https://klasma.github.io/Logging_1737/klagomålsmail/A 2000-2023 FSC-klagomål mail.docx", "A 2000-2023")</f>
        <v/>
      </c>
      <c r="X118">
        <f>HYPERLINK("https://klasma.github.io/Logging_1737/tillsyn/A 2000-2023 tillsynsbegäran.docx", "A 2000-2023")</f>
        <v/>
      </c>
      <c r="Y118">
        <f>HYPERLINK("https://klasma.github.io/Logging_1737/tillsynsmail/A 2000-2023 tillsynsbegäran mail.docx", "A 2000-2023")</f>
        <v/>
      </c>
    </row>
    <row r="119" ht="15" customHeight="1">
      <c r="A119" t="inlineStr">
        <is>
          <t>A 30974-2025</t>
        </is>
      </c>
      <c r="B119" s="1" t="n">
        <v>45832</v>
      </c>
      <c r="C119" s="1" t="n">
        <v>46191</v>
      </c>
      <c r="D119" t="inlineStr">
        <is>
          <t>VÄRMLANDS LÄN</t>
        </is>
      </c>
      <c r="E119" t="inlineStr">
        <is>
          <t>TORSBY</t>
        </is>
      </c>
      <c r="G119" t="n">
        <v>29.2</v>
      </c>
      <c r="H119" t="n">
        <v>1</v>
      </c>
      <c r="I119" t="n">
        <v>1</v>
      </c>
      <c r="J119" t="n">
        <v>1</v>
      </c>
      <c r="K119" t="n">
        <v>0</v>
      </c>
      <c r="L119" t="n">
        <v>0</v>
      </c>
      <c r="M119" t="n">
        <v>0</v>
      </c>
      <c r="N119" t="n">
        <v>0</v>
      </c>
      <c r="O119" t="n">
        <v>1</v>
      </c>
      <c r="P119" t="n">
        <v>0</v>
      </c>
      <c r="Q119" t="n">
        <v>2</v>
      </c>
      <c r="R119" s="2" t="inlineStr">
        <is>
          <t>Lunglav
Spindelblomster</t>
        </is>
      </c>
      <c r="S119">
        <f>HYPERLINK("https://klasma.github.io/Logging_1737/artfynd/A 30974-2025 artfynd.xlsx", "A 30974-2025")</f>
        <v/>
      </c>
      <c r="T119">
        <f>HYPERLINK("https://klasma.github.io/Logging_1737/kartor/A 30974-2025 karta.png", "A 30974-2025")</f>
        <v/>
      </c>
      <c r="V119">
        <f>HYPERLINK("https://klasma.github.io/Logging_1737/klagomål/A 30974-2025 FSC-klagomål.docx", "A 30974-2025")</f>
        <v/>
      </c>
      <c r="W119">
        <f>HYPERLINK("https://klasma.github.io/Logging_1737/klagomålsmail/A 30974-2025 FSC-klagomål mail.docx", "A 30974-2025")</f>
        <v/>
      </c>
      <c r="X119">
        <f>HYPERLINK("https://klasma.github.io/Logging_1737/tillsyn/A 30974-2025 tillsynsbegäran.docx", "A 30974-2025")</f>
        <v/>
      </c>
      <c r="Y119">
        <f>HYPERLINK("https://klasma.github.io/Logging_1737/tillsynsmail/A 30974-2025 tillsynsbegäran mail.docx", "A 30974-2025")</f>
        <v/>
      </c>
    </row>
    <row r="120" ht="15" customHeight="1">
      <c r="A120" t="inlineStr">
        <is>
          <t>A 62955-2023</t>
        </is>
      </c>
      <c r="B120" s="1" t="n">
        <v>45271</v>
      </c>
      <c r="C120" s="1" t="n">
        <v>46191</v>
      </c>
      <c r="D120" t="inlineStr">
        <is>
          <t>VÄRMLANDS LÄN</t>
        </is>
      </c>
      <c r="E120" t="inlineStr">
        <is>
          <t>TORSBY</t>
        </is>
      </c>
      <c r="F120" t="inlineStr">
        <is>
          <t>Övriga statliga verk och myndigheter</t>
        </is>
      </c>
      <c r="G120" t="n">
        <v>4.2</v>
      </c>
      <c r="H120" t="n">
        <v>0</v>
      </c>
      <c r="I120" t="n">
        <v>0</v>
      </c>
      <c r="J120" t="n">
        <v>1</v>
      </c>
      <c r="K120" t="n">
        <v>1</v>
      </c>
      <c r="L120" t="n">
        <v>0</v>
      </c>
      <c r="M120" t="n">
        <v>0</v>
      </c>
      <c r="N120" t="n">
        <v>0</v>
      </c>
      <c r="O120" t="n">
        <v>2</v>
      </c>
      <c r="P120" t="n">
        <v>1</v>
      </c>
      <c r="Q120" t="n">
        <v>2</v>
      </c>
      <c r="R120" s="2" t="inlineStr">
        <is>
          <t>Garnlav
Vedtrappmossa</t>
        </is>
      </c>
      <c r="S120">
        <f>HYPERLINK("https://klasma.github.io/Logging_1737/artfynd/A 62955-2023 artfynd.xlsx", "A 62955-2023")</f>
        <v/>
      </c>
      <c r="T120">
        <f>HYPERLINK("https://klasma.github.io/Logging_1737/kartor/A 62955-2023 karta.png", "A 62955-2023")</f>
        <v/>
      </c>
      <c r="V120">
        <f>HYPERLINK("https://klasma.github.io/Logging_1737/klagomål/A 62955-2023 FSC-klagomål.docx", "A 62955-2023")</f>
        <v/>
      </c>
      <c r="W120">
        <f>HYPERLINK("https://klasma.github.io/Logging_1737/klagomålsmail/A 62955-2023 FSC-klagomål mail.docx", "A 62955-2023")</f>
        <v/>
      </c>
      <c r="X120">
        <f>HYPERLINK("https://klasma.github.io/Logging_1737/tillsyn/A 62955-2023 tillsynsbegäran.docx", "A 62955-2023")</f>
        <v/>
      </c>
      <c r="Y120">
        <f>HYPERLINK("https://klasma.github.io/Logging_1737/tillsynsmail/A 62955-2023 tillsynsbegäran mail.docx", "A 62955-2023")</f>
        <v/>
      </c>
    </row>
    <row r="121" ht="15" customHeight="1">
      <c r="A121" t="inlineStr">
        <is>
          <t>A 48292-2023</t>
        </is>
      </c>
      <c r="B121" s="1" t="n">
        <v>45205</v>
      </c>
      <c r="C121" s="1" t="n">
        <v>46191</v>
      </c>
      <c r="D121" t="inlineStr">
        <is>
          <t>VÄRMLANDS LÄN</t>
        </is>
      </c>
      <c r="E121" t="inlineStr">
        <is>
          <t>TORSBY</t>
        </is>
      </c>
      <c r="G121" t="n">
        <v>2.3</v>
      </c>
      <c r="H121" t="n">
        <v>0</v>
      </c>
      <c r="I121" t="n">
        <v>1</v>
      </c>
      <c r="J121" t="n">
        <v>1</v>
      </c>
      <c r="K121" t="n">
        <v>0</v>
      </c>
      <c r="L121" t="n">
        <v>0</v>
      </c>
      <c r="M121" t="n">
        <v>0</v>
      </c>
      <c r="N121" t="n">
        <v>0</v>
      </c>
      <c r="O121" t="n">
        <v>1</v>
      </c>
      <c r="P121" t="n">
        <v>0</v>
      </c>
      <c r="Q121" t="n">
        <v>2</v>
      </c>
      <c r="R121" s="2" t="inlineStr">
        <is>
          <t>Vedtrappmossa
Vedticka</t>
        </is>
      </c>
      <c r="S121">
        <f>HYPERLINK("https://klasma.github.io/Logging_1737/artfynd/A 48292-2023 artfynd.xlsx", "A 48292-2023")</f>
        <v/>
      </c>
      <c r="T121">
        <f>HYPERLINK("https://klasma.github.io/Logging_1737/kartor/A 48292-2023 karta.png", "A 48292-2023")</f>
        <v/>
      </c>
      <c r="V121">
        <f>HYPERLINK("https://klasma.github.io/Logging_1737/klagomål/A 48292-2023 FSC-klagomål.docx", "A 48292-2023")</f>
        <v/>
      </c>
      <c r="W121">
        <f>HYPERLINK("https://klasma.github.io/Logging_1737/klagomålsmail/A 48292-2023 FSC-klagomål mail.docx", "A 48292-2023")</f>
        <v/>
      </c>
      <c r="X121">
        <f>HYPERLINK("https://klasma.github.io/Logging_1737/tillsyn/A 48292-2023 tillsynsbegäran.docx", "A 48292-2023")</f>
        <v/>
      </c>
      <c r="Y121">
        <f>HYPERLINK("https://klasma.github.io/Logging_1737/tillsynsmail/A 48292-2023 tillsynsbegäran mail.docx", "A 48292-2023")</f>
        <v/>
      </c>
    </row>
    <row r="122" ht="15" customHeight="1">
      <c r="A122" t="inlineStr">
        <is>
          <t>A 1161-2025</t>
        </is>
      </c>
      <c r="B122" s="1" t="n">
        <v>45666</v>
      </c>
      <c r="C122" s="1" t="n">
        <v>46191</v>
      </c>
      <c r="D122" t="inlineStr">
        <is>
          <t>VÄRMLANDS LÄN</t>
        </is>
      </c>
      <c r="E122" t="inlineStr">
        <is>
          <t>TORSBY</t>
        </is>
      </c>
      <c r="G122" t="n">
        <v>1.3</v>
      </c>
      <c r="H122" t="n">
        <v>0</v>
      </c>
      <c r="I122" t="n">
        <v>0</v>
      </c>
      <c r="J122" t="n">
        <v>2</v>
      </c>
      <c r="K122" t="n">
        <v>0</v>
      </c>
      <c r="L122" t="n">
        <v>0</v>
      </c>
      <c r="M122" t="n">
        <v>0</v>
      </c>
      <c r="N122" t="n">
        <v>0</v>
      </c>
      <c r="O122" t="n">
        <v>2</v>
      </c>
      <c r="P122" t="n">
        <v>0</v>
      </c>
      <c r="Q122" t="n">
        <v>2</v>
      </c>
      <c r="R122" s="2" t="inlineStr">
        <is>
          <t>Gullklöver
Skogsklocka</t>
        </is>
      </c>
      <c r="S122">
        <f>HYPERLINK("https://klasma.github.io/Logging_1737/artfynd/A 1161-2025 artfynd.xlsx", "A 1161-2025")</f>
        <v/>
      </c>
      <c r="T122">
        <f>HYPERLINK("https://klasma.github.io/Logging_1737/kartor/A 1161-2025 karta.png", "A 1161-2025")</f>
        <v/>
      </c>
      <c r="V122">
        <f>HYPERLINK("https://klasma.github.io/Logging_1737/klagomål/A 1161-2025 FSC-klagomål.docx", "A 1161-2025")</f>
        <v/>
      </c>
      <c r="W122">
        <f>HYPERLINK("https://klasma.github.io/Logging_1737/klagomålsmail/A 1161-2025 FSC-klagomål mail.docx", "A 1161-2025")</f>
        <v/>
      </c>
      <c r="X122">
        <f>HYPERLINK("https://klasma.github.io/Logging_1737/tillsyn/A 1161-2025 tillsynsbegäran.docx", "A 1161-2025")</f>
        <v/>
      </c>
      <c r="Y122">
        <f>HYPERLINK("https://klasma.github.io/Logging_1737/tillsynsmail/A 1161-2025 tillsynsbegäran mail.docx", "A 1161-2025")</f>
        <v/>
      </c>
    </row>
    <row r="123" ht="15" customHeight="1">
      <c r="A123" t="inlineStr">
        <is>
          <t>A 25859-2025</t>
        </is>
      </c>
      <c r="B123" s="1" t="n">
        <v>45804</v>
      </c>
      <c r="C123" s="1" t="n">
        <v>46191</v>
      </c>
      <c r="D123" t="inlineStr">
        <is>
          <t>VÄRMLANDS LÄN</t>
        </is>
      </c>
      <c r="E123" t="inlineStr">
        <is>
          <t>TORSBY</t>
        </is>
      </c>
      <c r="G123" t="n">
        <v>2.4</v>
      </c>
      <c r="H123" t="n">
        <v>1</v>
      </c>
      <c r="I123" t="n">
        <v>1</v>
      </c>
      <c r="J123" t="n">
        <v>0</v>
      </c>
      <c r="K123" t="n">
        <v>1</v>
      </c>
      <c r="L123" t="n">
        <v>0</v>
      </c>
      <c r="M123" t="n">
        <v>0</v>
      </c>
      <c r="N123" t="n">
        <v>0</v>
      </c>
      <c r="O123" t="n">
        <v>1</v>
      </c>
      <c r="P123" t="n">
        <v>1</v>
      </c>
      <c r="Q123" t="n">
        <v>2</v>
      </c>
      <c r="R123" s="2" t="inlineStr">
        <is>
          <t>Garnlav
Spindelblomster</t>
        </is>
      </c>
      <c r="S123">
        <f>HYPERLINK("https://klasma.github.io/Logging_1737/artfynd/A 25859-2025 artfynd.xlsx", "A 25859-2025")</f>
        <v/>
      </c>
      <c r="T123">
        <f>HYPERLINK("https://klasma.github.io/Logging_1737/kartor/A 25859-2025 karta.png", "A 25859-2025")</f>
        <v/>
      </c>
      <c r="V123">
        <f>HYPERLINK("https://klasma.github.io/Logging_1737/klagomål/A 25859-2025 FSC-klagomål.docx", "A 25859-2025")</f>
        <v/>
      </c>
      <c r="W123">
        <f>HYPERLINK("https://klasma.github.io/Logging_1737/klagomålsmail/A 25859-2025 FSC-klagomål mail.docx", "A 25859-2025")</f>
        <v/>
      </c>
      <c r="X123">
        <f>HYPERLINK("https://klasma.github.io/Logging_1737/tillsyn/A 25859-2025 tillsynsbegäran.docx", "A 25859-2025")</f>
        <v/>
      </c>
      <c r="Y123">
        <f>HYPERLINK("https://klasma.github.io/Logging_1737/tillsynsmail/A 25859-2025 tillsynsbegäran mail.docx", "A 25859-2025")</f>
        <v/>
      </c>
    </row>
    <row r="124" ht="15" customHeight="1">
      <c r="A124" t="inlineStr">
        <is>
          <t>A 50236-2022</t>
        </is>
      </c>
      <c r="B124" s="1" t="n">
        <v>44865</v>
      </c>
      <c r="C124" s="1" t="n">
        <v>46191</v>
      </c>
      <c r="D124" t="inlineStr">
        <is>
          <t>VÄRMLANDS LÄN</t>
        </is>
      </c>
      <c r="E124" t="inlineStr">
        <is>
          <t>TORSBY</t>
        </is>
      </c>
      <c r="G124" t="n">
        <v>2.3</v>
      </c>
      <c r="H124" t="n">
        <v>0</v>
      </c>
      <c r="I124" t="n">
        <v>0</v>
      </c>
      <c r="J124" t="n">
        <v>1</v>
      </c>
      <c r="K124" t="n">
        <v>1</v>
      </c>
      <c r="L124" t="n">
        <v>0</v>
      </c>
      <c r="M124" t="n">
        <v>0</v>
      </c>
      <c r="N124" t="n">
        <v>0</v>
      </c>
      <c r="O124" t="n">
        <v>2</v>
      </c>
      <c r="P124" t="n">
        <v>1</v>
      </c>
      <c r="Q124" t="n">
        <v>2</v>
      </c>
      <c r="R124" s="2" t="inlineStr">
        <is>
          <t>Garnlav
Vedskivlav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28511-2025</t>
        </is>
      </c>
      <c r="B125" s="1" t="n">
        <v>45819</v>
      </c>
      <c r="C125" s="1" t="n">
        <v>46191</v>
      </c>
      <c r="D125" t="inlineStr">
        <is>
          <t>VÄRMLANDS LÄN</t>
        </is>
      </c>
      <c r="E125" t="inlineStr">
        <is>
          <t>TORSBY</t>
        </is>
      </c>
      <c r="F125" t="inlineStr">
        <is>
          <t>Bergvik skog väst AB</t>
        </is>
      </c>
      <c r="G125" t="n">
        <v>7.3</v>
      </c>
      <c r="H125" t="n">
        <v>1</v>
      </c>
      <c r="I125" t="n">
        <v>0</v>
      </c>
      <c r="J125" t="n">
        <v>1</v>
      </c>
      <c r="K125" t="n">
        <v>0</v>
      </c>
      <c r="L125" t="n">
        <v>0</v>
      </c>
      <c r="M125" t="n">
        <v>0</v>
      </c>
      <c r="N125" t="n">
        <v>0</v>
      </c>
      <c r="O125" t="n">
        <v>1</v>
      </c>
      <c r="P125" t="n">
        <v>0</v>
      </c>
      <c r="Q125" t="n">
        <v>2</v>
      </c>
      <c r="R125" s="2" t="inlineStr">
        <is>
          <t>Brokig spegellöpare
Kopparödla</t>
        </is>
      </c>
      <c r="S125">
        <f>HYPERLINK("https://klasma.github.io/Logging_1737/artfynd/A 28511-2025 artfynd.xlsx", "A 28511-2025")</f>
        <v/>
      </c>
      <c r="T125">
        <f>HYPERLINK("https://klasma.github.io/Logging_1737/kartor/A 28511-2025 karta.png", "A 28511-2025")</f>
        <v/>
      </c>
      <c r="V125">
        <f>HYPERLINK("https://klasma.github.io/Logging_1737/klagomål/A 28511-2025 FSC-klagomål.docx", "A 28511-2025")</f>
        <v/>
      </c>
      <c r="W125">
        <f>HYPERLINK("https://klasma.github.io/Logging_1737/klagomålsmail/A 28511-2025 FSC-klagomål mail.docx", "A 28511-2025")</f>
        <v/>
      </c>
      <c r="X125">
        <f>HYPERLINK("https://klasma.github.io/Logging_1737/tillsyn/A 28511-2025 tillsynsbegäran.docx", "A 28511-2025")</f>
        <v/>
      </c>
      <c r="Y125">
        <f>HYPERLINK("https://klasma.github.io/Logging_1737/tillsynsmail/A 28511-2025 tillsynsbegäran mail.docx", "A 28511-2025")</f>
        <v/>
      </c>
    </row>
    <row r="126" ht="15" customHeight="1">
      <c r="A126" t="inlineStr">
        <is>
          <t>A 28791-2025</t>
        </is>
      </c>
      <c r="B126" s="1" t="n">
        <v>45820</v>
      </c>
      <c r="C126" s="1" t="n">
        <v>46191</v>
      </c>
      <c r="D126" t="inlineStr">
        <is>
          <t>VÄRMLANDS LÄN</t>
        </is>
      </c>
      <c r="E126" t="inlineStr">
        <is>
          <t>TORSBY</t>
        </is>
      </c>
      <c r="G126" t="n">
        <v>6.4</v>
      </c>
      <c r="H126" t="n">
        <v>0</v>
      </c>
      <c r="I126" t="n">
        <v>0</v>
      </c>
      <c r="J126" t="n">
        <v>1</v>
      </c>
      <c r="K126" t="n">
        <v>1</v>
      </c>
      <c r="L126" t="n">
        <v>0</v>
      </c>
      <c r="M126" t="n">
        <v>0</v>
      </c>
      <c r="N126" t="n">
        <v>0</v>
      </c>
      <c r="O126" t="n">
        <v>2</v>
      </c>
      <c r="P126" t="n">
        <v>1</v>
      </c>
      <c r="Q126" t="n">
        <v>2</v>
      </c>
      <c r="R126" s="2" t="inlineStr">
        <is>
          <t>Garnlav
Kolflarnlav</t>
        </is>
      </c>
      <c r="S126">
        <f>HYPERLINK("https://klasma.github.io/Logging_1737/artfynd/A 28791-2025 artfynd.xlsx", "A 28791-2025")</f>
        <v/>
      </c>
      <c r="T126">
        <f>HYPERLINK("https://klasma.github.io/Logging_1737/kartor/A 28791-2025 karta.png", "A 28791-2025")</f>
        <v/>
      </c>
      <c r="V126">
        <f>HYPERLINK("https://klasma.github.io/Logging_1737/klagomål/A 28791-2025 FSC-klagomål.docx", "A 28791-2025")</f>
        <v/>
      </c>
      <c r="W126">
        <f>HYPERLINK("https://klasma.github.io/Logging_1737/klagomålsmail/A 28791-2025 FSC-klagomål mail.docx", "A 28791-2025")</f>
        <v/>
      </c>
      <c r="X126">
        <f>HYPERLINK("https://klasma.github.io/Logging_1737/tillsyn/A 28791-2025 tillsynsbegäran.docx", "A 28791-2025")</f>
        <v/>
      </c>
      <c r="Y126">
        <f>HYPERLINK("https://klasma.github.io/Logging_1737/tillsynsmail/A 28791-2025 tillsynsbegäran mail.docx", "A 28791-2025")</f>
        <v/>
      </c>
    </row>
    <row r="127" ht="15" customHeight="1">
      <c r="A127" t="inlineStr">
        <is>
          <t>A 25212-2025</t>
        </is>
      </c>
      <c r="B127" s="1" t="n">
        <v>45800</v>
      </c>
      <c r="C127" s="1" t="n">
        <v>46191</v>
      </c>
      <c r="D127" t="inlineStr">
        <is>
          <t>VÄRMLANDS LÄN</t>
        </is>
      </c>
      <c r="E127" t="inlineStr">
        <is>
          <t>TORSBY</t>
        </is>
      </c>
      <c r="F127" t="inlineStr">
        <is>
          <t>Bergvik skog väst AB</t>
        </is>
      </c>
      <c r="G127" t="n">
        <v>6.4</v>
      </c>
      <c r="H127" t="n">
        <v>1</v>
      </c>
      <c r="I127" t="n">
        <v>1</v>
      </c>
      <c r="J127" t="n">
        <v>0</v>
      </c>
      <c r="K127" t="n">
        <v>0</v>
      </c>
      <c r="L127" t="n">
        <v>1</v>
      </c>
      <c r="M127" t="n">
        <v>0</v>
      </c>
      <c r="N127" t="n">
        <v>0</v>
      </c>
      <c r="O127" t="n">
        <v>1</v>
      </c>
      <c r="P127" t="n">
        <v>1</v>
      </c>
      <c r="Q127" t="n">
        <v>2</v>
      </c>
      <c r="R127" s="2" t="inlineStr">
        <is>
          <t>Bombmurkla
Vedticka</t>
        </is>
      </c>
      <c r="S127">
        <f>HYPERLINK("https://klasma.github.io/Logging_1737/artfynd/A 25212-2025 artfynd.xlsx", "A 25212-2025")</f>
        <v/>
      </c>
      <c r="T127">
        <f>HYPERLINK("https://klasma.github.io/Logging_1737/kartor/A 25212-2025 karta.png", "A 25212-2025")</f>
        <v/>
      </c>
      <c r="V127">
        <f>HYPERLINK("https://klasma.github.io/Logging_1737/klagomål/A 25212-2025 FSC-klagomål.docx", "A 25212-2025")</f>
        <v/>
      </c>
      <c r="W127">
        <f>HYPERLINK("https://klasma.github.io/Logging_1737/klagomålsmail/A 25212-2025 FSC-klagomål mail.docx", "A 25212-2025")</f>
        <v/>
      </c>
      <c r="X127">
        <f>HYPERLINK("https://klasma.github.io/Logging_1737/tillsyn/A 25212-2025 tillsynsbegäran.docx", "A 25212-2025")</f>
        <v/>
      </c>
      <c r="Y127">
        <f>HYPERLINK("https://klasma.github.io/Logging_1737/tillsynsmail/A 25212-2025 tillsynsbegäran mail.docx", "A 25212-2025")</f>
        <v/>
      </c>
    </row>
    <row r="128" ht="15" customHeight="1">
      <c r="A128" t="inlineStr">
        <is>
          <t>A 58014-2024</t>
        </is>
      </c>
      <c r="B128" s="1" t="n">
        <v>45631</v>
      </c>
      <c r="C128" s="1" t="n">
        <v>46191</v>
      </c>
      <c r="D128" t="inlineStr">
        <is>
          <t>VÄRMLANDS LÄN</t>
        </is>
      </c>
      <c r="E128" t="inlineStr">
        <is>
          <t>TORSBY</t>
        </is>
      </c>
      <c r="G128" t="n">
        <v>2.2</v>
      </c>
      <c r="H128" t="n">
        <v>0</v>
      </c>
      <c r="I128" t="n">
        <v>0</v>
      </c>
      <c r="J128" t="n">
        <v>2</v>
      </c>
      <c r="K128" t="n">
        <v>0</v>
      </c>
      <c r="L128" t="n">
        <v>0</v>
      </c>
      <c r="M128" t="n">
        <v>0</v>
      </c>
      <c r="N128" t="n">
        <v>0</v>
      </c>
      <c r="O128" t="n">
        <v>2</v>
      </c>
      <c r="P128" t="n">
        <v>0</v>
      </c>
      <c r="Q128" t="n">
        <v>2</v>
      </c>
      <c r="R128" s="2" t="inlineStr">
        <is>
          <t>Kattfotslav
Lunglav</t>
        </is>
      </c>
      <c r="S128">
        <f>HYPERLINK("https://klasma.github.io/Logging_1737/artfynd/A 58014-2024 artfynd.xlsx", "A 58014-2024")</f>
        <v/>
      </c>
      <c r="T128">
        <f>HYPERLINK("https://klasma.github.io/Logging_1737/kartor/A 58014-2024 karta.png", "A 58014-2024")</f>
        <v/>
      </c>
      <c r="V128">
        <f>HYPERLINK("https://klasma.github.io/Logging_1737/klagomål/A 58014-2024 FSC-klagomål.docx", "A 58014-2024")</f>
        <v/>
      </c>
      <c r="W128">
        <f>HYPERLINK("https://klasma.github.io/Logging_1737/klagomålsmail/A 58014-2024 FSC-klagomål mail.docx", "A 58014-2024")</f>
        <v/>
      </c>
      <c r="X128">
        <f>HYPERLINK("https://klasma.github.io/Logging_1737/tillsyn/A 58014-2024 tillsynsbegäran.docx", "A 58014-2024")</f>
        <v/>
      </c>
      <c r="Y128">
        <f>HYPERLINK("https://klasma.github.io/Logging_1737/tillsynsmail/A 58014-2024 tillsynsbegäran mail.docx", "A 58014-2024")</f>
        <v/>
      </c>
    </row>
    <row r="129" ht="15" customHeight="1">
      <c r="A129" t="inlineStr">
        <is>
          <t>A 49845-2024</t>
        </is>
      </c>
      <c r="B129" s="1" t="n">
        <v>45597</v>
      </c>
      <c r="C129" s="1" t="n">
        <v>46191</v>
      </c>
      <c r="D129" t="inlineStr">
        <is>
          <t>VÄRMLANDS LÄN</t>
        </is>
      </c>
      <c r="E129" t="inlineStr">
        <is>
          <t>TORSBY</t>
        </is>
      </c>
      <c r="G129" t="n">
        <v>0.4</v>
      </c>
      <c r="H129" t="n">
        <v>0</v>
      </c>
      <c r="I129" t="n">
        <v>1</v>
      </c>
      <c r="J129" t="n">
        <v>1</v>
      </c>
      <c r="K129" t="n">
        <v>0</v>
      </c>
      <c r="L129" t="n">
        <v>0</v>
      </c>
      <c r="M129" t="n">
        <v>0</v>
      </c>
      <c r="N129" t="n">
        <v>0</v>
      </c>
      <c r="O129" t="n">
        <v>1</v>
      </c>
      <c r="P129" t="n">
        <v>0</v>
      </c>
      <c r="Q129" t="n">
        <v>2</v>
      </c>
      <c r="R129" s="2" t="inlineStr">
        <is>
          <t>Späd bäckmossa
Strutbräken</t>
        </is>
      </c>
      <c r="S129">
        <f>HYPERLINK("https://klasma.github.io/Logging_1737/artfynd/A 49845-2024 artfynd.xlsx", "A 49845-2024")</f>
        <v/>
      </c>
      <c r="T129">
        <f>HYPERLINK("https://klasma.github.io/Logging_1737/kartor/A 49845-2024 karta.png", "A 49845-2024")</f>
        <v/>
      </c>
      <c r="V129">
        <f>HYPERLINK("https://klasma.github.io/Logging_1737/klagomål/A 49845-2024 FSC-klagomål.docx", "A 49845-2024")</f>
        <v/>
      </c>
      <c r="W129">
        <f>HYPERLINK("https://klasma.github.io/Logging_1737/klagomålsmail/A 49845-2024 FSC-klagomål mail.docx", "A 49845-2024")</f>
        <v/>
      </c>
      <c r="X129">
        <f>HYPERLINK("https://klasma.github.io/Logging_1737/tillsyn/A 49845-2024 tillsynsbegäran.docx", "A 49845-2024")</f>
        <v/>
      </c>
      <c r="Y129">
        <f>HYPERLINK("https://klasma.github.io/Logging_1737/tillsynsmail/A 49845-2024 tillsynsbegäran mail.docx", "A 49845-2024")</f>
        <v/>
      </c>
    </row>
    <row r="130" ht="15" customHeight="1">
      <c r="A130" t="inlineStr">
        <is>
          <t>A 18411-2023</t>
        </is>
      </c>
      <c r="B130" s="1" t="n">
        <v>45042</v>
      </c>
      <c r="C130" s="1" t="n">
        <v>46191</v>
      </c>
      <c r="D130" t="inlineStr">
        <is>
          <t>VÄRMLANDS LÄN</t>
        </is>
      </c>
      <c r="E130" t="inlineStr">
        <is>
          <t>TORSBY</t>
        </is>
      </c>
      <c r="G130" t="n">
        <v>5.9</v>
      </c>
      <c r="H130" t="n">
        <v>0</v>
      </c>
      <c r="I130" t="n">
        <v>1</v>
      </c>
      <c r="J130" t="n">
        <v>1</v>
      </c>
      <c r="K130" t="n">
        <v>0</v>
      </c>
      <c r="L130" t="n">
        <v>0</v>
      </c>
      <c r="M130" t="n">
        <v>0</v>
      </c>
      <c r="N130" t="n">
        <v>0</v>
      </c>
      <c r="O130" t="n">
        <v>1</v>
      </c>
      <c r="P130" t="n">
        <v>0</v>
      </c>
      <c r="Q130" t="n">
        <v>2</v>
      </c>
      <c r="R130" s="2" t="inlineStr">
        <is>
          <t>Gullpudra
Dvärghäxört</t>
        </is>
      </c>
      <c r="S130">
        <f>HYPERLINK("https://klasma.github.io/Logging_1737/artfynd/A 18411-2023 artfynd.xlsx", "A 18411-2023")</f>
        <v/>
      </c>
      <c r="T130">
        <f>HYPERLINK("https://klasma.github.io/Logging_1737/kartor/A 18411-2023 karta.png", "A 18411-2023")</f>
        <v/>
      </c>
      <c r="V130">
        <f>HYPERLINK("https://klasma.github.io/Logging_1737/klagomål/A 18411-2023 FSC-klagomål.docx", "A 18411-2023")</f>
        <v/>
      </c>
      <c r="W130">
        <f>HYPERLINK("https://klasma.github.io/Logging_1737/klagomålsmail/A 18411-2023 FSC-klagomål mail.docx", "A 18411-2023")</f>
        <v/>
      </c>
      <c r="X130">
        <f>HYPERLINK("https://klasma.github.io/Logging_1737/tillsyn/A 18411-2023 tillsynsbegäran.docx", "A 18411-2023")</f>
        <v/>
      </c>
      <c r="Y130">
        <f>HYPERLINK("https://klasma.github.io/Logging_1737/tillsynsmail/A 18411-2023 tillsynsbegäran mail.docx", "A 18411-2023")</f>
        <v/>
      </c>
    </row>
    <row r="131" ht="15" customHeight="1">
      <c r="A131" t="inlineStr">
        <is>
          <t>A 52591-2023</t>
        </is>
      </c>
      <c r="B131" s="1" t="n">
        <v>45225</v>
      </c>
      <c r="C131" s="1" t="n">
        <v>46191</v>
      </c>
      <c r="D131" t="inlineStr">
        <is>
          <t>VÄRMLANDS LÄN</t>
        </is>
      </c>
      <c r="E131" t="inlineStr">
        <is>
          <t>TORSBY</t>
        </is>
      </c>
      <c r="G131" t="n">
        <v>1.2</v>
      </c>
      <c r="H131" t="n">
        <v>2</v>
      </c>
      <c r="I131" t="n">
        <v>0</v>
      </c>
      <c r="J131" t="n">
        <v>2</v>
      </c>
      <c r="K131" t="n">
        <v>0</v>
      </c>
      <c r="L131" t="n">
        <v>0</v>
      </c>
      <c r="M131" t="n">
        <v>0</v>
      </c>
      <c r="N131" t="n">
        <v>0</v>
      </c>
      <c r="O131" t="n">
        <v>2</v>
      </c>
      <c r="P131" t="n">
        <v>0</v>
      </c>
      <c r="Q131" t="n">
        <v>2</v>
      </c>
      <c r="R131" s="2" t="inlineStr">
        <is>
          <t>Rödvingetrast
Talltita</t>
        </is>
      </c>
      <c r="S131">
        <f>HYPERLINK("https://klasma.github.io/Logging_1737/artfynd/A 52591-2023 artfynd.xlsx", "A 52591-2023")</f>
        <v/>
      </c>
      <c r="T131">
        <f>HYPERLINK("https://klasma.github.io/Logging_1737/kartor/A 52591-2023 karta.png", "A 52591-2023")</f>
        <v/>
      </c>
      <c r="V131">
        <f>HYPERLINK("https://klasma.github.io/Logging_1737/klagomål/A 52591-2023 FSC-klagomål.docx", "A 52591-2023")</f>
        <v/>
      </c>
      <c r="W131">
        <f>HYPERLINK("https://klasma.github.io/Logging_1737/klagomålsmail/A 52591-2023 FSC-klagomål mail.docx", "A 52591-2023")</f>
        <v/>
      </c>
      <c r="X131">
        <f>HYPERLINK("https://klasma.github.io/Logging_1737/tillsyn/A 52591-2023 tillsynsbegäran.docx", "A 52591-2023")</f>
        <v/>
      </c>
      <c r="Y131">
        <f>HYPERLINK("https://klasma.github.io/Logging_1737/tillsynsmail/A 52591-2023 tillsynsbegäran mail.docx", "A 52591-2023")</f>
        <v/>
      </c>
      <c r="Z131">
        <f>HYPERLINK("https://klasma.github.io/Logging_1737/fåglar/A 52591-2023 prioriterade fågelarter.docx", "A 52591-2023")</f>
        <v/>
      </c>
    </row>
    <row r="132" ht="15" customHeight="1">
      <c r="A132" t="inlineStr">
        <is>
          <t>A 37583-2025</t>
        </is>
      </c>
      <c r="B132" s="1" t="n">
        <v>45880</v>
      </c>
      <c r="C132" s="1" t="n">
        <v>46191</v>
      </c>
      <c r="D132" t="inlineStr">
        <is>
          <t>VÄRMLANDS LÄN</t>
        </is>
      </c>
      <c r="E132" t="inlineStr">
        <is>
          <t>TORSBY</t>
        </is>
      </c>
      <c r="G132" t="n">
        <v>1.2</v>
      </c>
      <c r="H132" t="n">
        <v>1</v>
      </c>
      <c r="I132" t="n">
        <v>0</v>
      </c>
      <c r="J132" t="n">
        <v>1</v>
      </c>
      <c r="K132" t="n">
        <v>1</v>
      </c>
      <c r="L132" t="n">
        <v>0</v>
      </c>
      <c r="M132" t="n">
        <v>0</v>
      </c>
      <c r="N132" t="n">
        <v>0</v>
      </c>
      <c r="O132" t="n">
        <v>2</v>
      </c>
      <c r="P132" t="n">
        <v>1</v>
      </c>
      <c r="Q132" t="n">
        <v>2</v>
      </c>
      <c r="R132" s="2" t="inlineStr">
        <is>
          <t>Garnlav
Tretåig hackspett</t>
        </is>
      </c>
      <c r="S132">
        <f>HYPERLINK("https://klasma.github.io/Logging_1737/artfynd/A 37583-2025 artfynd.xlsx", "A 37583-2025")</f>
        <v/>
      </c>
      <c r="T132">
        <f>HYPERLINK("https://klasma.github.io/Logging_1737/kartor/A 37583-2025 karta.png", "A 37583-2025")</f>
        <v/>
      </c>
      <c r="V132">
        <f>HYPERLINK("https://klasma.github.io/Logging_1737/klagomål/A 37583-2025 FSC-klagomål.docx", "A 37583-2025")</f>
        <v/>
      </c>
      <c r="W132">
        <f>HYPERLINK("https://klasma.github.io/Logging_1737/klagomålsmail/A 37583-2025 FSC-klagomål mail.docx", "A 37583-2025")</f>
        <v/>
      </c>
      <c r="X132">
        <f>HYPERLINK("https://klasma.github.io/Logging_1737/tillsyn/A 37583-2025 tillsynsbegäran.docx", "A 37583-2025")</f>
        <v/>
      </c>
      <c r="Y132">
        <f>HYPERLINK("https://klasma.github.io/Logging_1737/tillsynsmail/A 37583-2025 tillsynsbegäran mail.docx", "A 37583-2025")</f>
        <v/>
      </c>
      <c r="Z132">
        <f>HYPERLINK("https://klasma.github.io/Logging_1737/fåglar/A 37583-2025 prioriterade fågelarter.docx", "A 37583-2025")</f>
        <v/>
      </c>
    </row>
    <row r="133" ht="15" customHeight="1">
      <c r="A133" t="inlineStr">
        <is>
          <t>A 3404-2022</t>
        </is>
      </c>
      <c r="B133" s="1" t="n">
        <v>44585</v>
      </c>
      <c r="C133" s="1" t="n">
        <v>46191</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54143-2022</t>
        </is>
      </c>
      <c r="B134" s="1" t="n">
        <v>44881</v>
      </c>
      <c r="C134" s="1" t="n">
        <v>46191</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54143-2022 artfynd.xlsx", "A 54143-2022")</f>
        <v/>
      </c>
      <c r="T134">
        <f>HYPERLINK("https://klasma.github.io/Logging_1737/kartor/A 54143-2022 karta.png", "A 54143-2022")</f>
        <v/>
      </c>
      <c r="V134">
        <f>HYPERLINK("https://klasma.github.io/Logging_1737/klagomål/A 54143-2022 FSC-klagomål.docx", "A 54143-2022")</f>
        <v/>
      </c>
      <c r="W134">
        <f>HYPERLINK("https://klasma.github.io/Logging_1737/klagomålsmail/A 54143-2022 FSC-klagomål mail.docx", "A 54143-2022")</f>
        <v/>
      </c>
      <c r="X134">
        <f>HYPERLINK("https://klasma.github.io/Logging_1737/tillsyn/A 54143-2022 tillsynsbegäran.docx", "A 54143-2022")</f>
        <v/>
      </c>
      <c r="Y134">
        <f>HYPERLINK("https://klasma.github.io/Logging_1737/tillsynsmail/A 54143-2022 tillsynsbegäran mail.docx", "A 54143-2022")</f>
        <v/>
      </c>
    </row>
    <row r="135" ht="15" customHeight="1">
      <c r="A135" t="inlineStr">
        <is>
          <t>A 71594-2021</t>
        </is>
      </c>
      <c r="B135" s="1" t="n">
        <v>44541</v>
      </c>
      <c r="C135" s="1" t="n">
        <v>46191</v>
      </c>
      <c r="D135" t="inlineStr">
        <is>
          <t>VÄRMLANDS LÄN</t>
        </is>
      </c>
      <c r="E135" t="inlineStr">
        <is>
          <t>TORSBY</t>
        </is>
      </c>
      <c r="G135" t="n">
        <v>13.1</v>
      </c>
      <c r="H135" t="n">
        <v>0</v>
      </c>
      <c r="I135" t="n">
        <v>0</v>
      </c>
      <c r="J135" t="n">
        <v>0</v>
      </c>
      <c r="K135" t="n">
        <v>1</v>
      </c>
      <c r="L135" t="n">
        <v>0</v>
      </c>
      <c r="M135" t="n">
        <v>0</v>
      </c>
      <c r="N135" t="n">
        <v>0</v>
      </c>
      <c r="O135" t="n">
        <v>1</v>
      </c>
      <c r="P135" t="n">
        <v>1</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3382-2022</t>
        </is>
      </c>
      <c r="B136" s="1" t="n">
        <v>44585</v>
      </c>
      <c r="C136" s="1" t="n">
        <v>46191</v>
      </c>
      <c r="D136" t="inlineStr">
        <is>
          <t>VÄRMLANDS LÄN</t>
        </is>
      </c>
      <c r="E136" t="inlineStr">
        <is>
          <t>TORSBY</t>
        </is>
      </c>
      <c r="G136" t="n">
        <v>0.6</v>
      </c>
      <c r="H136" t="n">
        <v>1</v>
      </c>
      <c r="I136" t="n">
        <v>0</v>
      </c>
      <c r="J136" t="n">
        <v>0</v>
      </c>
      <c r="K136" t="n">
        <v>0</v>
      </c>
      <c r="L136" t="n">
        <v>1</v>
      </c>
      <c r="M136" t="n">
        <v>0</v>
      </c>
      <c r="N136" t="n">
        <v>0</v>
      </c>
      <c r="O136" t="n">
        <v>1</v>
      </c>
      <c r="P136" t="n">
        <v>1</v>
      </c>
      <c r="Q136" t="n">
        <v>1</v>
      </c>
      <c r="R136" s="2" t="inlineStr">
        <is>
          <t>Bombmurkla</t>
        </is>
      </c>
      <c r="S136">
        <f>HYPERLINK("https://klasma.github.io/Logging_1737/artfynd/A 3382-2022 artfynd.xlsx", "A 3382-2022")</f>
        <v/>
      </c>
      <c r="T136">
        <f>HYPERLINK("https://klasma.github.io/Logging_1737/kartor/A 3382-2022 karta.png", "A 3382-2022")</f>
        <v/>
      </c>
      <c r="V136">
        <f>HYPERLINK("https://klasma.github.io/Logging_1737/klagomål/A 3382-2022 FSC-klagomål.docx", "A 3382-2022")</f>
        <v/>
      </c>
      <c r="W136">
        <f>HYPERLINK("https://klasma.github.io/Logging_1737/klagomålsmail/A 3382-2022 FSC-klagomål mail.docx", "A 3382-2022")</f>
        <v/>
      </c>
      <c r="X136">
        <f>HYPERLINK("https://klasma.github.io/Logging_1737/tillsyn/A 3382-2022 tillsynsbegäran.docx", "A 3382-2022")</f>
        <v/>
      </c>
      <c r="Y136">
        <f>HYPERLINK("https://klasma.github.io/Logging_1737/tillsynsmail/A 3382-2022 tillsynsbegäran mail.docx", "A 3382-2022")</f>
        <v/>
      </c>
    </row>
    <row r="137" ht="15" customHeight="1">
      <c r="A137" t="inlineStr">
        <is>
          <t>A 35909-2021</t>
        </is>
      </c>
      <c r="B137" s="1" t="n">
        <v>44387</v>
      </c>
      <c r="C137" s="1" t="n">
        <v>46191</v>
      </c>
      <c r="D137" t="inlineStr">
        <is>
          <t>VÄRMLANDS LÄN</t>
        </is>
      </c>
      <c r="E137" t="inlineStr">
        <is>
          <t>TORSBY</t>
        </is>
      </c>
      <c r="G137" t="n">
        <v>3.3</v>
      </c>
      <c r="H137" t="n">
        <v>0</v>
      </c>
      <c r="I137" t="n">
        <v>0</v>
      </c>
      <c r="J137" t="n">
        <v>1</v>
      </c>
      <c r="K137" t="n">
        <v>0</v>
      </c>
      <c r="L137" t="n">
        <v>0</v>
      </c>
      <c r="M137" t="n">
        <v>0</v>
      </c>
      <c r="N137" t="n">
        <v>0</v>
      </c>
      <c r="O137" t="n">
        <v>1</v>
      </c>
      <c r="P137" t="n">
        <v>0</v>
      </c>
      <c r="Q137" t="n">
        <v>1</v>
      </c>
      <c r="R137" s="2" t="inlineStr">
        <is>
          <t>Stiftgelélav</t>
        </is>
      </c>
      <c r="S137">
        <f>HYPERLINK("https://klasma.github.io/Logging_1737/artfynd/A 35909-2021 artfynd.xlsx", "A 35909-2021")</f>
        <v/>
      </c>
      <c r="T137">
        <f>HYPERLINK("https://klasma.github.io/Logging_1737/kartor/A 35909-2021 karta.png", "A 35909-2021")</f>
        <v/>
      </c>
      <c r="V137">
        <f>HYPERLINK("https://klasma.github.io/Logging_1737/klagomål/A 35909-2021 FSC-klagomål.docx", "A 35909-2021")</f>
        <v/>
      </c>
      <c r="W137">
        <f>HYPERLINK("https://klasma.github.io/Logging_1737/klagomålsmail/A 35909-2021 FSC-klagomål mail.docx", "A 35909-2021")</f>
        <v/>
      </c>
      <c r="X137">
        <f>HYPERLINK("https://klasma.github.io/Logging_1737/tillsyn/A 35909-2021 tillsynsbegäran.docx", "A 35909-2021")</f>
        <v/>
      </c>
      <c r="Y137">
        <f>HYPERLINK("https://klasma.github.io/Logging_1737/tillsynsmail/A 35909-2021 tillsynsbegäran mail.docx", "A 35909-2021")</f>
        <v/>
      </c>
    </row>
    <row r="138" ht="15" customHeight="1">
      <c r="A138" t="inlineStr">
        <is>
          <t>A 58470-2021</t>
        </is>
      </c>
      <c r="B138" s="1" t="n">
        <v>44488</v>
      </c>
      <c r="C138" s="1" t="n">
        <v>46191</v>
      </c>
      <c r="D138" t="inlineStr">
        <is>
          <t>VÄRMLANDS LÄN</t>
        </is>
      </c>
      <c r="E138" t="inlineStr">
        <is>
          <t>TORSBY</t>
        </is>
      </c>
      <c r="G138" t="n">
        <v>8.699999999999999</v>
      </c>
      <c r="H138" t="n">
        <v>0</v>
      </c>
      <c r="I138" t="n">
        <v>0</v>
      </c>
      <c r="J138" t="n">
        <v>1</v>
      </c>
      <c r="K138" t="n">
        <v>0</v>
      </c>
      <c r="L138" t="n">
        <v>0</v>
      </c>
      <c r="M138" t="n">
        <v>0</v>
      </c>
      <c r="N138" t="n">
        <v>0</v>
      </c>
      <c r="O138" t="n">
        <v>1</v>
      </c>
      <c r="P138" t="n">
        <v>0</v>
      </c>
      <c r="Q138" t="n">
        <v>1</v>
      </c>
      <c r="R138" s="2" t="inlineStr">
        <is>
          <t>Dropptaggsvamp</t>
        </is>
      </c>
      <c r="S138">
        <f>HYPERLINK("https://klasma.github.io/Logging_1737/artfynd/A 58470-2021 artfynd.xlsx", "A 58470-2021")</f>
        <v/>
      </c>
      <c r="T138">
        <f>HYPERLINK("https://klasma.github.io/Logging_1737/kartor/A 58470-2021 karta.png", "A 58470-2021")</f>
        <v/>
      </c>
      <c r="V138">
        <f>HYPERLINK("https://klasma.github.io/Logging_1737/klagomål/A 58470-2021 FSC-klagomål.docx", "A 58470-2021")</f>
        <v/>
      </c>
      <c r="W138">
        <f>HYPERLINK("https://klasma.github.io/Logging_1737/klagomålsmail/A 58470-2021 FSC-klagomål mail.docx", "A 58470-2021")</f>
        <v/>
      </c>
      <c r="X138">
        <f>HYPERLINK("https://klasma.github.io/Logging_1737/tillsyn/A 58470-2021 tillsynsbegäran.docx", "A 58470-2021")</f>
        <v/>
      </c>
      <c r="Y138">
        <f>HYPERLINK("https://klasma.github.io/Logging_1737/tillsynsmail/A 58470-2021 tillsynsbegäran mail.docx", "A 58470-2021")</f>
        <v/>
      </c>
    </row>
    <row r="139" ht="15" customHeight="1">
      <c r="A139" t="inlineStr">
        <is>
          <t>A 40033-2024</t>
        </is>
      </c>
      <c r="B139" s="1" t="n">
        <v>45553</v>
      </c>
      <c r="C139" s="1" t="n">
        <v>46191</v>
      </c>
      <c r="D139" t="inlineStr">
        <is>
          <t>VÄRMLANDS LÄN</t>
        </is>
      </c>
      <c r="E139" t="inlineStr">
        <is>
          <t>TORSBY</t>
        </is>
      </c>
      <c r="G139" t="n">
        <v>6.2</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40033-2024 artfynd.xlsx", "A 40033-2024")</f>
        <v/>
      </c>
      <c r="T139">
        <f>HYPERLINK("https://klasma.github.io/Logging_1737/kartor/A 40033-2024 karta.png", "A 40033-2024")</f>
        <v/>
      </c>
      <c r="V139">
        <f>HYPERLINK("https://klasma.github.io/Logging_1737/klagomål/A 40033-2024 FSC-klagomål.docx", "A 40033-2024")</f>
        <v/>
      </c>
      <c r="W139">
        <f>HYPERLINK("https://klasma.github.io/Logging_1737/klagomålsmail/A 40033-2024 FSC-klagomål mail.docx", "A 40033-2024")</f>
        <v/>
      </c>
      <c r="X139">
        <f>HYPERLINK("https://klasma.github.io/Logging_1737/tillsyn/A 40033-2024 tillsynsbegäran.docx", "A 40033-2024")</f>
        <v/>
      </c>
      <c r="Y139">
        <f>HYPERLINK("https://klasma.github.io/Logging_1737/tillsynsmail/A 40033-2024 tillsynsbegäran mail.docx", "A 40033-2024")</f>
        <v/>
      </c>
    </row>
    <row r="140" ht="15" customHeight="1">
      <c r="A140" t="inlineStr">
        <is>
          <t>A 62507-2023</t>
        </is>
      </c>
      <c r="B140" s="1" t="n">
        <v>45267</v>
      </c>
      <c r="C140" s="1" t="n">
        <v>46191</v>
      </c>
      <c r="D140" t="inlineStr">
        <is>
          <t>VÄRMLANDS LÄN</t>
        </is>
      </c>
      <c r="E140" t="inlineStr">
        <is>
          <t>TORSBY</t>
        </is>
      </c>
      <c r="G140" t="n">
        <v>3.3</v>
      </c>
      <c r="H140" t="n">
        <v>1</v>
      </c>
      <c r="I140" t="n">
        <v>0</v>
      </c>
      <c r="J140" t="n">
        <v>0</v>
      </c>
      <c r="K140" t="n">
        <v>0</v>
      </c>
      <c r="L140" t="n">
        <v>0</v>
      </c>
      <c r="M140" t="n">
        <v>0</v>
      </c>
      <c r="N140" t="n">
        <v>0</v>
      </c>
      <c r="O140" t="n">
        <v>0</v>
      </c>
      <c r="P140" t="n">
        <v>0</v>
      </c>
      <c r="Q140" t="n">
        <v>1</v>
      </c>
      <c r="R140" s="2" t="inlineStr">
        <is>
          <t>Fläcknycklar</t>
        </is>
      </c>
      <c r="S140">
        <f>HYPERLINK("https://klasma.github.io/Logging_1737/artfynd/A 62507-2023 artfynd.xlsx", "A 62507-2023")</f>
        <v/>
      </c>
      <c r="T140">
        <f>HYPERLINK("https://klasma.github.io/Logging_1737/kartor/A 62507-2023 karta.png", "A 62507-2023")</f>
        <v/>
      </c>
      <c r="V140">
        <f>HYPERLINK("https://klasma.github.io/Logging_1737/klagomål/A 62507-2023 FSC-klagomål.docx", "A 62507-2023")</f>
        <v/>
      </c>
      <c r="W140">
        <f>HYPERLINK("https://klasma.github.io/Logging_1737/klagomålsmail/A 62507-2023 FSC-klagomål mail.docx", "A 62507-2023")</f>
        <v/>
      </c>
      <c r="X140">
        <f>HYPERLINK("https://klasma.github.io/Logging_1737/tillsyn/A 62507-2023 tillsynsbegäran.docx", "A 62507-2023")</f>
        <v/>
      </c>
      <c r="Y140">
        <f>HYPERLINK("https://klasma.github.io/Logging_1737/tillsynsmail/A 62507-2023 tillsynsbegäran mail.docx", "A 62507-2023")</f>
        <v/>
      </c>
    </row>
    <row r="141" ht="15" customHeight="1">
      <c r="A141" t="inlineStr">
        <is>
          <t>A 24708-2024</t>
        </is>
      </c>
      <c r="B141" s="1" t="n">
        <v>45460</v>
      </c>
      <c r="C141" s="1" t="n">
        <v>46191</v>
      </c>
      <c r="D141" t="inlineStr">
        <is>
          <t>VÄRMLANDS LÄN</t>
        </is>
      </c>
      <c r="E141" t="inlineStr">
        <is>
          <t>TORSBY</t>
        </is>
      </c>
      <c r="G141" t="n">
        <v>3.9</v>
      </c>
      <c r="H141" t="n">
        <v>0</v>
      </c>
      <c r="I141" t="n">
        <v>0</v>
      </c>
      <c r="J141" t="n">
        <v>0</v>
      </c>
      <c r="K141" t="n">
        <v>1</v>
      </c>
      <c r="L141" t="n">
        <v>0</v>
      </c>
      <c r="M141" t="n">
        <v>0</v>
      </c>
      <c r="N141" t="n">
        <v>0</v>
      </c>
      <c r="O141" t="n">
        <v>1</v>
      </c>
      <c r="P141" t="n">
        <v>1</v>
      </c>
      <c r="Q141" t="n">
        <v>1</v>
      </c>
      <c r="R141" s="2" t="inlineStr">
        <is>
          <t>Garnlav</t>
        </is>
      </c>
      <c r="S141">
        <f>HYPERLINK("https://klasma.github.io/Logging_1737/artfynd/A 24708-2024 artfynd.xlsx", "A 24708-2024")</f>
        <v/>
      </c>
      <c r="T141">
        <f>HYPERLINK("https://klasma.github.io/Logging_1737/kartor/A 24708-2024 karta.png", "A 24708-2024")</f>
        <v/>
      </c>
      <c r="V141">
        <f>HYPERLINK("https://klasma.github.io/Logging_1737/klagomål/A 24708-2024 FSC-klagomål.docx", "A 24708-2024")</f>
        <v/>
      </c>
      <c r="W141">
        <f>HYPERLINK("https://klasma.github.io/Logging_1737/klagomålsmail/A 24708-2024 FSC-klagomål mail.docx", "A 24708-2024")</f>
        <v/>
      </c>
      <c r="X141">
        <f>HYPERLINK("https://klasma.github.io/Logging_1737/tillsyn/A 24708-2024 tillsynsbegäran.docx", "A 24708-2024")</f>
        <v/>
      </c>
      <c r="Y141">
        <f>HYPERLINK("https://klasma.github.io/Logging_1737/tillsynsmail/A 24708-2024 tillsynsbegäran mail.docx", "A 24708-2024")</f>
        <v/>
      </c>
    </row>
    <row r="142" ht="15" customHeight="1">
      <c r="A142" t="inlineStr">
        <is>
          <t>A 39473-2025</t>
        </is>
      </c>
      <c r="B142" s="1" t="n">
        <v>45890</v>
      </c>
      <c r="C142" s="1" t="n">
        <v>46191</v>
      </c>
      <c r="D142" t="inlineStr">
        <is>
          <t>VÄRMLANDS LÄN</t>
        </is>
      </c>
      <c r="E142" t="inlineStr">
        <is>
          <t>TORSBY</t>
        </is>
      </c>
      <c r="G142" t="n">
        <v>2.5</v>
      </c>
      <c r="H142" t="n">
        <v>1</v>
      </c>
      <c r="I142" t="n">
        <v>0</v>
      </c>
      <c r="J142" t="n">
        <v>0</v>
      </c>
      <c r="K142" t="n">
        <v>0</v>
      </c>
      <c r="L142" t="n">
        <v>0</v>
      </c>
      <c r="M142" t="n">
        <v>0</v>
      </c>
      <c r="N142" t="n">
        <v>0</v>
      </c>
      <c r="O142" t="n">
        <v>0</v>
      </c>
      <c r="P142" t="n">
        <v>0</v>
      </c>
      <c r="Q142" t="n">
        <v>1</v>
      </c>
      <c r="R142" s="2" t="inlineStr">
        <is>
          <t>Kungsfågel</t>
        </is>
      </c>
      <c r="S142">
        <f>HYPERLINK("https://klasma.github.io/Logging_1737/artfynd/A 39473-2025 artfynd.xlsx", "A 39473-2025")</f>
        <v/>
      </c>
      <c r="T142">
        <f>HYPERLINK("https://klasma.github.io/Logging_1737/kartor/A 39473-2025 karta.png", "A 39473-2025")</f>
        <v/>
      </c>
      <c r="V142">
        <f>HYPERLINK("https://klasma.github.io/Logging_1737/klagomål/A 39473-2025 FSC-klagomål.docx", "A 39473-2025")</f>
        <v/>
      </c>
      <c r="W142">
        <f>HYPERLINK("https://klasma.github.io/Logging_1737/klagomålsmail/A 39473-2025 FSC-klagomål mail.docx", "A 39473-2025")</f>
        <v/>
      </c>
      <c r="X142">
        <f>HYPERLINK("https://klasma.github.io/Logging_1737/tillsyn/A 39473-2025 tillsynsbegäran.docx", "A 39473-2025")</f>
        <v/>
      </c>
      <c r="Y142">
        <f>HYPERLINK("https://klasma.github.io/Logging_1737/tillsynsmail/A 39473-2025 tillsynsbegäran mail.docx", "A 39473-2025")</f>
        <v/>
      </c>
      <c r="Z142">
        <f>HYPERLINK("https://klasma.github.io/Logging_1737/fåglar/A 39473-2025 prioriterade fågelarter.docx", "A 39473-2025")</f>
        <v/>
      </c>
    </row>
    <row r="143" ht="15" customHeight="1">
      <c r="A143" t="inlineStr">
        <is>
          <t>A 12458-2023</t>
        </is>
      </c>
      <c r="B143" s="1" t="n">
        <v>44999</v>
      </c>
      <c r="C143" s="1" t="n">
        <v>46191</v>
      </c>
      <c r="D143" t="inlineStr">
        <is>
          <t>VÄRMLANDS LÄN</t>
        </is>
      </c>
      <c r="E143" t="inlineStr">
        <is>
          <t>TORSBY</t>
        </is>
      </c>
      <c r="G143" t="n">
        <v>2.7</v>
      </c>
      <c r="H143" t="n">
        <v>1</v>
      </c>
      <c r="I143" t="n">
        <v>0</v>
      </c>
      <c r="J143" t="n">
        <v>0</v>
      </c>
      <c r="K143" t="n">
        <v>0</v>
      </c>
      <c r="L143" t="n">
        <v>1</v>
      </c>
      <c r="M143" t="n">
        <v>0</v>
      </c>
      <c r="N143" t="n">
        <v>0</v>
      </c>
      <c r="O143" t="n">
        <v>1</v>
      </c>
      <c r="P143" t="n">
        <v>1</v>
      </c>
      <c r="Q143" t="n">
        <v>1</v>
      </c>
      <c r="R143" s="2" t="inlineStr">
        <is>
          <t>Bombmurkla</t>
        </is>
      </c>
      <c r="S143">
        <f>HYPERLINK("https://klasma.github.io/Logging_1737/artfynd/A 12458-2023 artfynd.xlsx", "A 12458-2023")</f>
        <v/>
      </c>
      <c r="T143">
        <f>HYPERLINK("https://klasma.github.io/Logging_1737/kartor/A 12458-2023 karta.png", "A 12458-2023")</f>
        <v/>
      </c>
      <c r="V143">
        <f>HYPERLINK("https://klasma.github.io/Logging_1737/klagomål/A 12458-2023 FSC-klagomål.docx", "A 12458-2023")</f>
        <v/>
      </c>
      <c r="W143">
        <f>HYPERLINK("https://klasma.github.io/Logging_1737/klagomålsmail/A 12458-2023 FSC-klagomål mail.docx", "A 12458-2023")</f>
        <v/>
      </c>
      <c r="X143">
        <f>HYPERLINK("https://klasma.github.io/Logging_1737/tillsyn/A 12458-2023 tillsynsbegäran.docx", "A 12458-2023")</f>
        <v/>
      </c>
      <c r="Y143">
        <f>HYPERLINK("https://klasma.github.io/Logging_1737/tillsynsmail/A 12458-2023 tillsynsbegäran mail.docx", "A 12458-2023")</f>
        <v/>
      </c>
    </row>
    <row r="144" ht="15" customHeight="1">
      <c r="A144" t="inlineStr">
        <is>
          <t>A 37292-2024</t>
        </is>
      </c>
      <c r="B144" s="1" t="n">
        <v>45540</v>
      </c>
      <c r="C144" s="1" t="n">
        <v>46191</v>
      </c>
      <c r="D144" t="inlineStr">
        <is>
          <t>VÄRMLANDS LÄN</t>
        </is>
      </c>
      <c r="E144" t="inlineStr">
        <is>
          <t>TORSBY</t>
        </is>
      </c>
      <c r="G144" t="n">
        <v>5.4</v>
      </c>
      <c r="H144" t="n">
        <v>0</v>
      </c>
      <c r="I144" t="n">
        <v>0</v>
      </c>
      <c r="J144" t="n">
        <v>0</v>
      </c>
      <c r="K144" t="n">
        <v>1</v>
      </c>
      <c r="L144" t="n">
        <v>0</v>
      </c>
      <c r="M144" t="n">
        <v>0</v>
      </c>
      <c r="N144" t="n">
        <v>0</v>
      </c>
      <c r="O144" t="n">
        <v>1</v>
      </c>
      <c r="P144" t="n">
        <v>1</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4707-2023</t>
        </is>
      </c>
      <c r="B145" s="1" t="n">
        <v>44957</v>
      </c>
      <c r="C145" s="1" t="n">
        <v>46191</v>
      </c>
      <c r="D145" t="inlineStr">
        <is>
          <t>VÄRMLANDS LÄN</t>
        </is>
      </c>
      <c r="E145" t="inlineStr">
        <is>
          <t>TORSBY</t>
        </is>
      </c>
      <c r="G145" t="n">
        <v>7</v>
      </c>
      <c r="H145" t="n">
        <v>0</v>
      </c>
      <c r="I145" t="n">
        <v>0</v>
      </c>
      <c r="J145" t="n">
        <v>1</v>
      </c>
      <c r="K145" t="n">
        <v>0</v>
      </c>
      <c r="L145" t="n">
        <v>0</v>
      </c>
      <c r="M145" t="n">
        <v>0</v>
      </c>
      <c r="N145" t="n">
        <v>0</v>
      </c>
      <c r="O145" t="n">
        <v>1</v>
      </c>
      <c r="P145" t="n">
        <v>0</v>
      </c>
      <c r="Q145" t="n">
        <v>1</v>
      </c>
      <c r="R145" s="2" t="inlineStr">
        <is>
          <t>Dropptaggsvamp</t>
        </is>
      </c>
      <c r="S145">
        <f>HYPERLINK("https://klasma.github.io/Logging_1737/artfynd/A 4707-2023 artfynd.xlsx", "A 4707-2023")</f>
        <v/>
      </c>
      <c r="T145">
        <f>HYPERLINK("https://klasma.github.io/Logging_1737/kartor/A 4707-2023 karta.png", "A 4707-2023")</f>
        <v/>
      </c>
      <c r="V145">
        <f>HYPERLINK("https://klasma.github.io/Logging_1737/klagomål/A 4707-2023 FSC-klagomål.docx", "A 4707-2023")</f>
        <v/>
      </c>
      <c r="W145">
        <f>HYPERLINK("https://klasma.github.io/Logging_1737/klagomålsmail/A 4707-2023 FSC-klagomål mail.docx", "A 4707-2023")</f>
        <v/>
      </c>
      <c r="X145">
        <f>HYPERLINK("https://klasma.github.io/Logging_1737/tillsyn/A 4707-2023 tillsynsbegäran.docx", "A 4707-2023")</f>
        <v/>
      </c>
      <c r="Y145">
        <f>HYPERLINK("https://klasma.github.io/Logging_1737/tillsynsmail/A 4707-2023 tillsynsbegäran mail.docx", "A 4707-2023")</f>
        <v/>
      </c>
    </row>
    <row r="146" ht="15" customHeight="1">
      <c r="A146" t="inlineStr">
        <is>
          <t>A 41477-2024</t>
        </is>
      </c>
      <c r="B146" s="1" t="n">
        <v>45560</v>
      </c>
      <c r="C146" s="1" t="n">
        <v>46191</v>
      </c>
      <c r="D146" t="inlineStr">
        <is>
          <t>VÄRMLANDS LÄN</t>
        </is>
      </c>
      <c r="E146" t="inlineStr">
        <is>
          <t>TORSBY</t>
        </is>
      </c>
      <c r="G146" t="n">
        <v>6.7</v>
      </c>
      <c r="H146" t="n">
        <v>0</v>
      </c>
      <c r="I146" t="n">
        <v>0</v>
      </c>
      <c r="J146" t="n">
        <v>0</v>
      </c>
      <c r="K146" t="n">
        <v>1</v>
      </c>
      <c r="L146" t="n">
        <v>0</v>
      </c>
      <c r="M146" t="n">
        <v>0</v>
      </c>
      <c r="N146" t="n">
        <v>0</v>
      </c>
      <c r="O146" t="n">
        <v>1</v>
      </c>
      <c r="P146" t="n">
        <v>1</v>
      </c>
      <c r="Q146" t="n">
        <v>1</v>
      </c>
      <c r="R146" s="2" t="inlineStr">
        <is>
          <t>Garnlav</t>
        </is>
      </c>
      <c r="S146">
        <f>HYPERLINK("https://klasma.github.io/Logging_1737/artfynd/A 41477-2024 artfynd.xlsx", "A 41477-2024")</f>
        <v/>
      </c>
      <c r="T146">
        <f>HYPERLINK("https://klasma.github.io/Logging_1737/kartor/A 41477-2024 karta.png", "A 41477-2024")</f>
        <v/>
      </c>
      <c r="V146">
        <f>HYPERLINK("https://klasma.github.io/Logging_1737/klagomål/A 41477-2024 FSC-klagomål.docx", "A 41477-2024")</f>
        <v/>
      </c>
      <c r="W146">
        <f>HYPERLINK("https://klasma.github.io/Logging_1737/klagomålsmail/A 41477-2024 FSC-klagomål mail.docx", "A 41477-2024")</f>
        <v/>
      </c>
      <c r="X146">
        <f>HYPERLINK("https://klasma.github.io/Logging_1737/tillsyn/A 41477-2024 tillsynsbegäran.docx", "A 41477-2024")</f>
        <v/>
      </c>
      <c r="Y146">
        <f>HYPERLINK("https://klasma.github.io/Logging_1737/tillsynsmail/A 41477-2024 tillsynsbegäran mail.docx", "A 41477-2024")</f>
        <v/>
      </c>
    </row>
    <row r="147" ht="15" customHeight="1">
      <c r="A147" t="inlineStr">
        <is>
          <t>A 44220-2025</t>
        </is>
      </c>
      <c r="B147" s="1" t="n">
        <v>45915</v>
      </c>
      <c r="C147" s="1" t="n">
        <v>46191</v>
      </c>
      <c r="D147" t="inlineStr">
        <is>
          <t>VÄRMLANDS LÄN</t>
        </is>
      </c>
      <c r="E147" t="inlineStr">
        <is>
          <t>TORSBY</t>
        </is>
      </c>
      <c r="F147" t="inlineStr">
        <is>
          <t>Kommuner</t>
        </is>
      </c>
      <c r="G147" t="n">
        <v>4.9</v>
      </c>
      <c r="H147" t="n">
        <v>0</v>
      </c>
      <c r="I147" t="n">
        <v>1</v>
      </c>
      <c r="J147" t="n">
        <v>0</v>
      </c>
      <c r="K147" t="n">
        <v>0</v>
      </c>
      <c r="L147" t="n">
        <v>0</v>
      </c>
      <c r="M147" t="n">
        <v>0</v>
      </c>
      <c r="N147" t="n">
        <v>0</v>
      </c>
      <c r="O147" t="n">
        <v>0</v>
      </c>
      <c r="P147" t="n">
        <v>0</v>
      </c>
      <c r="Q147" t="n">
        <v>1</v>
      </c>
      <c r="R147" s="2" t="inlineStr">
        <is>
          <t>Ögonpyrola</t>
        </is>
      </c>
      <c r="S147">
        <f>HYPERLINK("https://klasma.github.io/Logging_1737/artfynd/A 44220-2025 artfynd.xlsx", "A 44220-2025")</f>
        <v/>
      </c>
      <c r="T147">
        <f>HYPERLINK("https://klasma.github.io/Logging_1737/kartor/A 44220-2025 karta.png", "A 44220-2025")</f>
        <v/>
      </c>
      <c r="V147">
        <f>HYPERLINK("https://klasma.github.io/Logging_1737/klagomål/A 44220-2025 FSC-klagomål.docx", "A 44220-2025")</f>
        <v/>
      </c>
      <c r="W147">
        <f>HYPERLINK("https://klasma.github.io/Logging_1737/klagomålsmail/A 44220-2025 FSC-klagomål mail.docx", "A 44220-2025")</f>
        <v/>
      </c>
      <c r="X147">
        <f>HYPERLINK("https://klasma.github.io/Logging_1737/tillsyn/A 44220-2025 tillsynsbegäran.docx", "A 44220-2025")</f>
        <v/>
      </c>
      <c r="Y147">
        <f>HYPERLINK("https://klasma.github.io/Logging_1737/tillsynsmail/A 44220-2025 tillsynsbegäran mail.docx", "A 44220-2025")</f>
        <v/>
      </c>
    </row>
    <row r="148" ht="15" customHeight="1">
      <c r="A148" t="inlineStr">
        <is>
          <t>A 50608-2023</t>
        </is>
      </c>
      <c r="B148" s="1" t="n">
        <v>45217</v>
      </c>
      <c r="C148" s="1" t="n">
        <v>46191</v>
      </c>
      <c r="D148" t="inlineStr">
        <is>
          <t>VÄRMLANDS LÄN</t>
        </is>
      </c>
      <c r="E148" t="inlineStr">
        <is>
          <t>TORSBY</t>
        </is>
      </c>
      <c r="G148" t="n">
        <v>2.9</v>
      </c>
      <c r="H148" t="n">
        <v>0</v>
      </c>
      <c r="I148" t="n">
        <v>0</v>
      </c>
      <c r="J148" t="n">
        <v>0</v>
      </c>
      <c r="K148" t="n">
        <v>1</v>
      </c>
      <c r="L148" t="n">
        <v>0</v>
      </c>
      <c r="M148" t="n">
        <v>0</v>
      </c>
      <c r="N148" t="n">
        <v>0</v>
      </c>
      <c r="O148" t="n">
        <v>1</v>
      </c>
      <c r="P148" t="n">
        <v>1</v>
      </c>
      <c r="Q148" t="n">
        <v>1</v>
      </c>
      <c r="R148" s="2" t="inlineStr">
        <is>
          <t>Garnlav</t>
        </is>
      </c>
      <c r="S148">
        <f>HYPERLINK("https://klasma.github.io/Logging_1737/artfynd/A 50608-2023 artfynd.xlsx", "A 50608-2023")</f>
        <v/>
      </c>
      <c r="T148">
        <f>HYPERLINK("https://klasma.github.io/Logging_1737/kartor/A 50608-2023 karta.png", "A 50608-2023")</f>
        <v/>
      </c>
      <c r="V148">
        <f>HYPERLINK("https://klasma.github.io/Logging_1737/klagomål/A 50608-2023 FSC-klagomål.docx", "A 50608-2023")</f>
        <v/>
      </c>
      <c r="W148">
        <f>HYPERLINK("https://klasma.github.io/Logging_1737/klagomålsmail/A 50608-2023 FSC-klagomål mail.docx", "A 50608-2023")</f>
        <v/>
      </c>
      <c r="X148">
        <f>HYPERLINK("https://klasma.github.io/Logging_1737/tillsyn/A 50608-2023 tillsynsbegäran.docx", "A 50608-2023")</f>
        <v/>
      </c>
      <c r="Y148">
        <f>HYPERLINK("https://klasma.github.io/Logging_1737/tillsynsmail/A 50608-2023 tillsynsbegäran mail.docx", "A 50608-2023")</f>
        <v/>
      </c>
    </row>
    <row r="149" ht="15" customHeight="1">
      <c r="A149" t="inlineStr">
        <is>
          <t>A 11896-2026</t>
        </is>
      </c>
      <c r="B149" s="1" t="n">
        <v>46085</v>
      </c>
      <c r="C149" s="1" t="n">
        <v>46191</v>
      </c>
      <c r="D149" t="inlineStr">
        <is>
          <t>VÄRMLANDS LÄN</t>
        </is>
      </c>
      <c r="E149" t="inlineStr">
        <is>
          <t>TORSBY</t>
        </is>
      </c>
      <c r="G149" t="n">
        <v>8.300000000000001</v>
      </c>
      <c r="H149" t="n">
        <v>0</v>
      </c>
      <c r="I149" t="n">
        <v>0</v>
      </c>
      <c r="J149" t="n">
        <v>1</v>
      </c>
      <c r="K149" t="n">
        <v>0</v>
      </c>
      <c r="L149" t="n">
        <v>0</v>
      </c>
      <c r="M149" t="n">
        <v>0</v>
      </c>
      <c r="N149" t="n">
        <v>0</v>
      </c>
      <c r="O149" t="n">
        <v>1</v>
      </c>
      <c r="P149" t="n">
        <v>0</v>
      </c>
      <c r="Q149" t="n">
        <v>1</v>
      </c>
      <c r="R149" s="2" t="inlineStr">
        <is>
          <t>Lunglav</t>
        </is>
      </c>
      <c r="S149">
        <f>HYPERLINK("https://klasma.github.io/Logging_1737/artfynd/A 11896-2026 artfynd.xlsx", "A 11896-2026")</f>
        <v/>
      </c>
      <c r="T149">
        <f>HYPERLINK("https://klasma.github.io/Logging_1737/kartor/A 11896-2026 karta.png", "A 11896-2026")</f>
        <v/>
      </c>
      <c r="V149">
        <f>HYPERLINK("https://klasma.github.io/Logging_1737/klagomål/A 11896-2026 FSC-klagomål.docx", "A 11896-2026")</f>
        <v/>
      </c>
      <c r="W149">
        <f>HYPERLINK("https://klasma.github.io/Logging_1737/klagomålsmail/A 11896-2026 FSC-klagomål mail.docx", "A 11896-2026")</f>
        <v/>
      </c>
      <c r="X149">
        <f>HYPERLINK("https://klasma.github.io/Logging_1737/tillsyn/A 11896-2026 tillsynsbegäran.docx", "A 11896-2026")</f>
        <v/>
      </c>
      <c r="Y149">
        <f>HYPERLINK("https://klasma.github.io/Logging_1737/tillsynsmail/A 11896-2026 tillsynsbegäran mail.docx", "A 11896-2026")</f>
        <v/>
      </c>
    </row>
    <row r="150" ht="15" customHeight="1">
      <c r="A150" t="inlineStr">
        <is>
          <t>A 24717-2024</t>
        </is>
      </c>
      <c r="B150" s="1" t="n">
        <v>45460</v>
      </c>
      <c r="C150" s="1" t="n">
        <v>46191</v>
      </c>
      <c r="D150" t="inlineStr">
        <is>
          <t>VÄRMLANDS LÄN</t>
        </is>
      </c>
      <c r="E150" t="inlineStr">
        <is>
          <t>TORSBY</t>
        </is>
      </c>
      <c r="F150" t="inlineStr">
        <is>
          <t>Övriga statliga verk och myndigheter</t>
        </is>
      </c>
      <c r="G150" t="n">
        <v>2.1</v>
      </c>
      <c r="H150" t="n">
        <v>0</v>
      </c>
      <c r="I150" t="n">
        <v>0</v>
      </c>
      <c r="J150" t="n">
        <v>0</v>
      </c>
      <c r="K150" t="n">
        <v>1</v>
      </c>
      <c r="L150" t="n">
        <v>0</v>
      </c>
      <c r="M150" t="n">
        <v>0</v>
      </c>
      <c r="N150" t="n">
        <v>0</v>
      </c>
      <c r="O150" t="n">
        <v>1</v>
      </c>
      <c r="P150" t="n">
        <v>1</v>
      </c>
      <c r="Q150" t="n">
        <v>1</v>
      </c>
      <c r="R150" s="2" t="inlineStr">
        <is>
          <t>Garnlav</t>
        </is>
      </c>
      <c r="S150">
        <f>HYPERLINK("https://klasma.github.io/Logging_1737/artfynd/A 24717-2024 artfynd.xlsx", "A 24717-2024")</f>
        <v/>
      </c>
      <c r="T150">
        <f>HYPERLINK("https://klasma.github.io/Logging_1737/kartor/A 24717-2024 karta.png", "A 24717-2024")</f>
        <v/>
      </c>
      <c r="V150">
        <f>HYPERLINK("https://klasma.github.io/Logging_1737/klagomål/A 24717-2024 FSC-klagomål.docx", "A 24717-2024")</f>
        <v/>
      </c>
      <c r="W150">
        <f>HYPERLINK("https://klasma.github.io/Logging_1737/klagomålsmail/A 24717-2024 FSC-klagomål mail.docx", "A 24717-2024")</f>
        <v/>
      </c>
      <c r="X150">
        <f>HYPERLINK("https://klasma.github.io/Logging_1737/tillsyn/A 24717-2024 tillsynsbegäran.docx", "A 24717-2024")</f>
        <v/>
      </c>
      <c r="Y150">
        <f>HYPERLINK("https://klasma.github.io/Logging_1737/tillsynsmail/A 24717-2024 tillsynsbegäran mail.docx", "A 24717-2024")</f>
        <v/>
      </c>
    </row>
    <row r="151" ht="15" customHeight="1">
      <c r="A151" t="inlineStr">
        <is>
          <t>A 29921-2022</t>
        </is>
      </c>
      <c r="B151" s="1" t="n">
        <v>44756</v>
      </c>
      <c r="C151" s="1" t="n">
        <v>46191</v>
      </c>
      <c r="D151" t="inlineStr">
        <is>
          <t>VÄRMLANDS LÄN</t>
        </is>
      </c>
      <c r="E151" t="inlineStr">
        <is>
          <t>TORSBY</t>
        </is>
      </c>
      <c r="F151" t="inlineStr">
        <is>
          <t>Kommuner</t>
        </is>
      </c>
      <c r="G151" t="n">
        <v>5.4</v>
      </c>
      <c r="H151" t="n">
        <v>0</v>
      </c>
      <c r="I151" t="n">
        <v>0</v>
      </c>
      <c r="J151" t="n">
        <v>1</v>
      </c>
      <c r="K151" t="n">
        <v>0</v>
      </c>
      <c r="L151" t="n">
        <v>0</v>
      </c>
      <c r="M151" t="n">
        <v>0</v>
      </c>
      <c r="N151" t="n">
        <v>0</v>
      </c>
      <c r="O151" t="n">
        <v>1</v>
      </c>
      <c r="P151" t="n">
        <v>0</v>
      </c>
      <c r="Q151" t="n">
        <v>1</v>
      </c>
      <c r="R151" s="2" t="inlineStr">
        <is>
          <t>Skogsklocka</t>
        </is>
      </c>
      <c r="S151">
        <f>HYPERLINK("https://klasma.github.io/Logging_1737/artfynd/A 29921-2022 artfynd.xlsx", "A 29921-2022")</f>
        <v/>
      </c>
      <c r="T151">
        <f>HYPERLINK("https://klasma.github.io/Logging_1737/kartor/A 29921-2022 karta.png", "A 29921-2022")</f>
        <v/>
      </c>
      <c r="V151">
        <f>HYPERLINK("https://klasma.github.io/Logging_1737/klagomål/A 29921-2022 FSC-klagomål.docx", "A 29921-2022")</f>
        <v/>
      </c>
      <c r="W151">
        <f>HYPERLINK("https://klasma.github.io/Logging_1737/klagomålsmail/A 29921-2022 FSC-klagomål mail.docx", "A 29921-2022")</f>
        <v/>
      </c>
      <c r="X151">
        <f>HYPERLINK("https://klasma.github.io/Logging_1737/tillsyn/A 29921-2022 tillsynsbegäran.docx", "A 29921-2022")</f>
        <v/>
      </c>
      <c r="Y151">
        <f>HYPERLINK("https://klasma.github.io/Logging_1737/tillsynsmail/A 29921-2022 tillsynsbegäran mail.docx", "A 29921-2022")</f>
        <v/>
      </c>
    </row>
    <row r="152" ht="15" customHeight="1">
      <c r="A152" t="inlineStr">
        <is>
          <t>A 13155-2026</t>
        </is>
      </c>
      <c r="B152" s="1" t="n">
        <v>46093</v>
      </c>
      <c r="C152" s="1" t="n">
        <v>46191</v>
      </c>
      <c r="D152" t="inlineStr">
        <is>
          <t>VÄRMLANDS LÄN</t>
        </is>
      </c>
      <c r="E152" t="inlineStr">
        <is>
          <t>TORSBY</t>
        </is>
      </c>
      <c r="G152" t="n">
        <v>3</v>
      </c>
      <c r="H152" t="n">
        <v>0</v>
      </c>
      <c r="I152" t="n">
        <v>0</v>
      </c>
      <c r="J152" t="n">
        <v>1</v>
      </c>
      <c r="K152" t="n">
        <v>0</v>
      </c>
      <c r="L152" t="n">
        <v>0</v>
      </c>
      <c r="M152" t="n">
        <v>0</v>
      </c>
      <c r="N152" t="n">
        <v>0</v>
      </c>
      <c r="O152" t="n">
        <v>1</v>
      </c>
      <c r="P152" t="n">
        <v>0</v>
      </c>
      <c r="Q152" t="n">
        <v>1</v>
      </c>
      <c r="R152" s="2" t="inlineStr">
        <is>
          <t>Skogsklocka</t>
        </is>
      </c>
      <c r="S152">
        <f>HYPERLINK("https://klasma.github.io/Logging_1737/artfynd/A 13155-2026 artfynd.xlsx", "A 13155-2026")</f>
        <v/>
      </c>
      <c r="T152">
        <f>HYPERLINK("https://klasma.github.io/Logging_1737/kartor/A 13155-2026 karta.png", "A 13155-2026")</f>
        <v/>
      </c>
      <c r="V152">
        <f>HYPERLINK("https://klasma.github.io/Logging_1737/klagomål/A 13155-2026 FSC-klagomål.docx", "A 13155-2026")</f>
        <v/>
      </c>
      <c r="W152">
        <f>HYPERLINK("https://klasma.github.io/Logging_1737/klagomålsmail/A 13155-2026 FSC-klagomål mail.docx", "A 13155-2026")</f>
        <v/>
      </c>
      <c r="X152">
        <f>HYPERLINK("https://klasma.github.io/Logging_1737/tillsyn/A 13155-2026 tillsynsbegäran.docx", "A 13155-2026")</f>
        <v/>
      </c>
      <c r="Y152">
        <f>HYPERLINK("https://klasma.github.io/Logging_1737/tillsynsmail/A 13155-2026 tillsynsbegäran mail.docx", "A 13155-2026")</f>
        <v/>
      </c>
    </row>
    <row r="153" ht="15" customHeight="1">
      <c r="A153" t="inlineStr">
        <is>
          <t>A 27223-2022</t>
        </is>
      </c>
      <c r="B153" s="1" t="n">
        <v>44741</v>
      </c>
      <c r="C153" s="1" t="n">
        <v>46191</v>
      </c>
      <c r="D153" t="inlineStr">
        <is>
          <t>VÄRMLANDS LÄN</t>
        </is>
      </c>
      <c r="E153" t="inlineStr">
        <is>
          <t>TORSBY</t>
        </is>
      </c>
      <c r="F153" t="inlineStr">
        <is>
          <t>Bergvik skog väst AB</t>
        </is>
      </c>
      <c r="G153" t="n">
        <v>8.300000000000001</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27223-2022 artfynd.xlsx", "A 27223-2022")</f>
        <v/>
      </c>
      <c r="T153">
        <f>HYPERLINK("https://klasma.github.io/Logging_1737/kartor/A 27223-2022 karta.png", "A 27223-2022")</f>
        <v/>
      </c>
      <c r="V153">
        <f>HYPERLINK("https://klasma.github.io/Logging_1737/klagomål/A 27223-2022 FSC-klagomål.docx", "A 27223-2022")</f>
        <v/>
      </c>
      <c r="W153">
        <f>HYPERLINK("https://klasma.github.io/Logging_1737/klagomålsmail/A 27223-2022 FSC-klagomål mail.docx", "A 27223-2022")</f>
        <v/>
      </c>
      <c r="X153">
        <f>HYPERLINK("https://klasma.github.io/Logging_1737/tillsyn/A 27223-2022 tillsynsbegäran.docx", "A 27223-2022")</f>
        <v/>
      </c>
      <c r="Y153">
        <f>HYPERLINK("https://klasma.github.io/Logging_1737/tillsynsmail/A 27223-2022 tillsynsbegäran mail.docx", "A 27223-2022")</f>
        <v/>
      </c>
    </row>
    <row r="154" ht="15" customHeight="1">
      <c r="A154" t="inlineStr">
        <is>
          <t>A 20633-2024</t>
        </is>
      </c>
      <c r="B154" s="1" t="n">
        <v>45436</v>
      </c>
      <c r="C154" s="1" t="n">
        <v>46191</v>
      </c>
      <c r="D154" t="inlineStr">
        <is>
          <t>VÄRMLANDS LÄN</t>
        </is>
      </c>
      <c r="E154" t="inlineStr">
        <is>
          <t>TORSBY</t>
        </is>
      </c>
      <c r="G154" t="n">
        <v>2.2</v>
      </c>
      <c r="H154" t="n">
        <v>0</v>
      </c>
      <c r="I154" t="n">
        <v>0</v>
      </c>
      <c r="J154" t="n">
        <v>1</v>
      </c>
      <c r="K154" t="n">
        <v>0</v>
      </c>
      <c r="L154" t="n">
        <v>0</v>
      </c>
      <c r="M154" t="n">
        <v>0</v>
      </c>
      <c r="N154" t="n">
        <v>0</v>
      </c>
      <c r="O154" t="n">
        <v>1</v>
      </c>
      <c r="P154" t="n">
        <v>0</v>
      </c>
      <c r="Q154" t="n">
        <v>1</v>
      </c>
      <c r="R154" s="2" t="inlineStr">
        <is>
          <t>Gullpudra</t>
        </is>
      </c>
      <c r="S154">
        <f>HYPERLINK("https://klasma.github.io/Logging_1737/artfynd/A 20633-2024 artfynd.xlsx", "A 20633-2024")</f>
        <v/>
      </c>
      <c r="T154">
        <f>HYPERLINK("https://klasma.github.io/Logging_1737/kartor/A 20633-2024 karta.png", "A 20633-2024")</f>
        <v/>
      </c>
      <c r="V154">
        <f>HYPERLINK("https://klasma.github.io/Logging_1737/klagomål/A 20633-2024 FSC-klagomål.docx", "A 20633-2024")</f>
        <v/>
      </c>
      <c r="W154">
        <f>HYPERLINK("https://klasma.github.io/Logging_1737/klagomålsmail/A 20633-2024 FSC-klagomål mail.docx", "A 20633-2024")</f>
        <v/>
      </c>
      <c r="X154">
        <f>HYPERLINK("https://klasma.github.io/Logging_1737/tillsyn/A 20633-2024 tillsynsbegäran.docx", "A 20633-2024")</f>
        <v/>
      </c>
      <c r="Y154">
        <f>HYPERLINK("https://klasma.github.io/Logging_1737/tillsynsmail/A 20633-2024 tillsynsbegäran mail.docx", "A 20633-2024")</f>
        <v/>
      </c>
    </row>
    <row r="155" ht="15" customHeight="1">
      <c r="A155" t="inlineStr">
        <is>
          <t>A 14687-2026</t>
        </is>
      </c>
      <c r="B155" s="1" t="n">
        <v>46101</v>
      </c>
      <c r="C155" s="1" t="n">
        <v>46191</v>
      </c>
      <c r="D155" t="inlineStr">
        <is>
          <t>VÄRMLANDS LÄN</t>
        </is>
      </c>
      <c r="E155" t="inlineStr">
        <is>
          <t>TORSBY</t>
        </is>
      </c>
      <c r="F155" t="inlineStr">
        <is>
          <t>Bergvik skog väst AB</t>
        </is>
      </c>
      <c r="G155" t="n">
        <v>32.1</v>
      </c>
      <c r="H155" t="n">
        <v>1</v>
      </c>
      <c r="I155" t="n">
        <v>0</v>
      </c>
      <c r="J155" t="n">
        <v>0</v>
      </c>
      <c r="K155" t="n">
        <v>0</v>
      </c>
      <c r="L155" t="n">
        <v>0</v>
      </c>
      <c r="M155" t="n">
        <v>0</v>
      </c>
      <c r="N155" t="n">
        <v>0</v>
      </c>
      <c r="O155" t="n">
        <v>0</v>
      </c>
      <c r="P155" t="n">
        <v>0</v>
      </c>
      <c r="Q155" t="n">
        <v>1</v>
      </c>
      <c r="R155" s="2" t="inlineStr">
        <is>
          <t>Grönsiska</t>
        </is>
      </c>
      <c r="S155">
        <f>HYPERLINK("https://klasma.github.io/Logging_1737/artfynd/A 14687-2026 artfynd.xlsx", "A 14687-2026")</f>
        <v/>
      </c>
      <c r="T155">
        <f>HYPERLINK("https://klasma.github.io/Logging_1737/kartor/A 14687-2026 karta.png", "A 14687-2026")</f>
        <v/>
      </c>
      <c r="V155">
        <f>HYPERLINK("https://klasma.github.io/Logging_1737/klagomål/A 14687-2026 FSC-klagomål.docx", "A 14687-2026")</f>
        <v/>
      </c>
      <c r="W155">
        <f>HYPERLINK("https://klasma.github.io/Logging_1737/klagomålsmail/A 14687-2026 FSC-klagomål mail.docx", "A 14687-2026")</f>
        <v/>
      </c>
      <c r="X155">
        <f>HYPERLINK("https://klasma.github.io/Logging_1737/tillsyn/A 14687-2026 tillsynsbegäran.docx", "A 14687-2026")</f>
        <v/>
      </c>
      <c r="Y155">
        <f>HYPERLINK("https://klasma.github.io/Logging_1737/tillsynsmail/A 14687-2026 tillsynsbegäran mail.docx", "A 14687-2026")</f>
        <v/>
      </c>
      <c r="Z155">
        <f>HYPERLINK("https://klasma.github.io/Logging_1737/fåglar/A 14687-2026 prioriterade fågelarter.docx", "A 14687-2026")</f>
        <v/>
      </c>
    </row>
    <row r="156" ht="15" customHeight="1">
      <c r="A156" t="inlineStr">
        <is>
          <t>A 51288-2022</t>
        </is>
      </c>
      <c r="B156" s="1" t="n">
        <v>44868</v>
      </c>
      <c r="C156" s="1" t="n">
        <v>46191</v>
      </c>
      <c r="D156" t="inlineStr">
        <is>
          <t>VÄRMLANDS LÄN</t>
        </is>
      </c>
      <c r="E156" t="inlineStr">
        <is>
          <t>TORSBY</t>
        </is>
      </c>
      <c r="G156" t="n">
        <v>1.9</v>
      </c>
      <c r="H156" t="n">
        <v>1</v>
      </c>
      <c r="I156" t="n">
        <v>0</v>
      </c>
      <c r="J156" t="n">
        <v>0</v>
      </c>
      <c r="K156" t="n">
        <v>0</v>
      </c>
      <c r="L156" t="n">
        <v>1</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15345-2026</t>
        </is>
      </c>
      <c r="B157" s="1" t="n">
        <v>46105</v>
      </c>
      <c r="C157" s="1" t="n">
        <v>46191</v>
      </c>
      <c r="D157" t="inlineStr">
        <is>
          <t>VÄRMLANDS LÄN</t>
        </is>
      </c>
      <c r="E157" t="inlineStr">
        <is>
          <t>TORSBY</t>
        </is>
      </c>
      <c r="F157" t="inlineStr">
        <is>
          <t>Bergvik skog väst AB</t>
        </is>
      </c>
      <c r="G157" t="n">
        <v>37.3</v>
      </c>
      <c r="H157" t="n">
        <v>1</v>
      </c>
      <c r="I157" t="n">
        <v>0</v>
      </c>
      <c r="J157" t="n">
        <v>0</v>
      </c>
      <c r="K157" t="n">
        <v>0</v>
      </c>
      <c r="L157" t="n">
        <v>0</v>
      </c>
      <c r="M157" t="n">
        <v>0</v>
      </c>
      <c r="N157" t="n">
        <v>0</v>
      </c>
      <c r="O157" t="n">
        <v>0</v>
      </c>
      <c r="P157" t="n">
        <v>0</v>
      </c>
      <c r="Q157" t="n">
        <v>1</v>
      </c>
      <c r="R157" s="2" t="inlineStr">
        <is>
          <t>Grönsiska</t>
        </is>
      </c>
      <c r="S157">
        <f>HYPERLINK("https://klasma.github.io/Logging_1737/artfynd/A 15345-2026 artfynd.xlsx", "A 15345-2026")</f>
        <v/>
      </c>
      <c r="T157">
        <f>HYPERLINK("https://klasma.github.io/Logging_1737/kartor/A 15345-2026 karta.png", "A 15345-2026")</f>
        <v/>
      </c>
      <c r="V157">
        <f>HYPERLINK("https://klasma.github.io/Logging_1737/klagomål/A 15345-2026 FSC-klagomål.docx", "A 15345-2026")</f>
        <v/>
      </c>
      <c r="W157">
        <f>HYPERLINK("https://klasma.github.io/Logging_1737/klagomålsmail/A 15345-2026 FSC-klagomål mail.docx", "A 15345-2026")</f>
        <v/>
      </c>
      <c r="X157">
        <f>HYPERLINK("https://klasma.github.io/Logging_1737/tillsyn/A 15345-2026 tillsynsbegäran.docx", "A 15345-2026")</f>
        <v/>
      </c>
      <c r="Y157">
        <f>HYPERLINK("https://klasma.github.io/Logging_1737/tillsynsmail/A 15345-2026 tillsynsbegäran mail.docx", "A 15345-2026")</f>
        <v/>
      </c>
      <c r="Z157">
        <f>HYPERLINK("https://klasma.github.io/Logging_1737/fåglar/A 15345-2026 prioriterade fågelarter.docx", "A 15345-2026")</f>
        <v/>
      </c>
    </row>
    <row r="158" ht="15" customHeight="1">
      <c r="A158" t="inlineStr">
        <is>
          <t>A 35553-2023</t>
        </is>
      </c>
      <c r="B158" s="1" t="n">
        <v>45147</v>
      </c>
      <c r="C158" s="1" t="n">
        <v>46191</v>
      </c>
      <c r="D158" t="inlineStr">
        <is>
          <t>VÄRMLANDS LÄN</t>
        </is>
      </c>
      <c r="E158" t="inlineStr">
        <is>
          <t>TORSBY</t>
        </is>
      </c>
      <c r="G158" t="n">
        <v>6.2</v>
      </c>
      <c r="H158" t="n">
        <v>1</v>
      </c>
      <c r="I158" t="n">
        <v>0</v>
      </c>
      <c r="J158" t="n">
        <v>0</v>
      </c>
      <c r="K158" t="n">
        <v>0</v>
      </c>
      <c r="L158" t="n">
        <v>0</v>
      </c>
      <c r="M158" t="n">
        <v>0</v>
      </c>
      <c r="N158" t="n">
        <v>0</v>
      </c>
      <c r="O158" t="n">
        <v>0</v>
      </c>
      <c r="P158" t="n">
        <v>0</v>
      </c>
      <c r="Q158" t="n">
        <v>1</v>
      </c>
      <c r="R158" s="2" t="inlineStr">
        <is>
          <t>Törnskata</t>
        </is>
      </c>
      <c r="S158">
        <f>HYPERLINK("https://klasma.github.io/Logging_1737/artfynd/A 35553-2023 artfynd.xlsx", "A 35553-2023")</f>
        <v/>
      </c>
      <c r="T158">
        <f>HYPERLINK("https://klasma.github.io/Logging_1737/kartor/A 35553-2023 karta.png", "A 35553-2023")</f>
        <v/>
      </c>
      <c r="V158">
        <f>HYPERLINK("https://klasma.github.io/Logging_1737/klagomål/A 35553-2023 FSC-klagomål.docx", "A 35553-2023")</f>
        <v/>
      </c>
      <c r="W158">
        <f>HYPERLINK("https://klasma.github.io/Logging_1737/klagomålsmail/A 35553-2023 FSC-klagomål mail.docx", "A 35553-2023")</f>
        <v/>
      </c>
      <c r="X158">
        <f>HYPERLINK("https://klasma.github.io/Logging_1737/tillsyn/A 35553-2023 tillsynsbegäran.docx", "A 35553-2023")</f>
        <v/>
      </c>
      <c r="Y158">
        <f>HYPERLINK("https://klasma.github.io/Logging_1737/tillsynsmail/A 35553-2023 tillsynsbegäran mail.docx", "A 35553-2023")</f>
        <v/>
      </c>
      <c r="Z158">
        <f>HYPERLINK("https://klasma.github.io/Logging_1737/fåglar/A 35553-2023 prioriterade fågelarter.docx", "A 35553-2023")</f>
        <v/>
      </c>
    </row>
    <row r="159" ht="15" customHeight="1">
      <c r="A159" t="inlineStr">
        <is>
          <t>A 15872-2025</t>
        </is>
      </c>
      <c r="B159" s="1" t="n">
        <v>45749</v>
      </c>
      <c r="C159" s="1" t="n">
        <v>46191</v>
      </c>
      <c r="D159" t="inlineStr">
        <is>
          <t>VÄRMLANDS LÄN</t>
        </is>
      </c>
      <c r="E159" t="inlineStr">
        <is>
          <t>TORSBY</t>
        </is>
      </c>
      <c r="F159" t="inlineStr">
        <is>
          <t>Bergvik skog väst AB</t>
        </is>
      </c>
      <c r="G159" t="n">
        <v>10.8</v>
      </c>
      <c r="H159" t="n">
        <v>1</v>
      </c>
      <c r="I159" t="n">
        <v>1</v>
      </c>
      <c r="J159" t="n">
        <v>0</v>
      </c>
      <c r="K159" t="n">
        <v>0</v>
      </c>
      <c r="L159" t="n">
        <v>0</v>
      </c>
      <c r="M159" t="n">
        <v>0</v>
      </c>
      <c r="N159" t="n">
        <v>0</v>
      </c>
      <c r="O159" t="n">
        <v>0</v>
      </c>
      <c r="P159" t="n">
        <v>0</v>
      </c>
      <c r="Q159" t="n">
        <v>1</v>
      </c>
      <c r="R159" s="2" t="inlineStr">
        <is>
          <t>Korallrot</t>
        </is>
      </c>
      <c r="S159">
        <f>HYPERLINK("https://klasma.github.io/Logging_1737/artfynd/A 15872-2025 artfynd.xlsx", "A 15872-2025")</f>
        <v/>
      </c>
      <c r="T159">
        <f>HYPERLINK("https://klasma.github.io/Logging_1737/kartor/A 15872-2025 karta.png", "A 15872-2025")</f>
        <v/>
      </c>
      <c r="V159">
        <f>HYPERLINK("https://klasma.github.io/Logging_1737/klagomål/A 15872-2025 FSC-klagomål.docx", "A 15872-2025")</f>
        <v/>
      </c>
      <c r="W159">
        <f>HYPERLINK("https://klasma.github.io/Logging_1737/klagomålsmail/A 15872-2025 FSC-klagomål mail.docx", "A 15872-2025")</f>
        <v/>
      </c>
      <c r="X159">
        <f>HYPERLINK("https://klasma.github.io/Logging_1737/tillsyn/A 15872-2025 tillsynsbegäran.docx", "A 15872-2025")</f>
        <v/>
      </c>
      <c r="Y159">
        <f>HYPERLINK("https://klasma.github.io/Logging_1737/tillsynsmail/A 15872-2025 tillsynsbegäran mail.docx", "A 15872-2025")</f>
        <v/>
      </c>
    </row>
    <row r="160" ht="15" customHeight="1">
      <c r="A160" t="inlineStr">
        <is>
          <t>A 29990-2022</t>
        </is>
      </c>
      <c r="B160" s="1" t="n">
        <v>44756</v>
      </c>
      <c r="C160" s="1" t="n">
        <v>46191</v>
      </c>
      <c r="D160" t="inlineStr">
        <is>
          <t>VÄRMLANDS LÄN</t>
        </is>
      </c>
      <c r="E160" t="inlineStr">
        <is>
          <t>TORSBY</t>
        </is>
      </c>
      <c r="G160" t="n">
        <v>4.9</v>
      </c>
      <c r="H160" t="n">
        <v>0</v>
      </c>
      <c r="I160" t="n">
        <v>0</v>
      </c>
      <c r="J160" t="n">
        <v>1</v>
      </c>
      <c r="K160" t="n">
        <v>0</v>
      </c>
      <c r="L160" t="n">
        <v>0</v>
      </c>
      <c r="M160" t="n">
        <v>0</v>
      </c>
      <c r="N160" t="n">
        <v>0</v>
      </c>
      <c r="O160" t="n">
        <v>1</v>
      </c>
      <c r="P160" t="n">
        <v>0</v>
      </c>
      <c r="Q160" t="n">
        <v>1</v>
      </c>
      <c r="R160" s="2" t="inlineStr">
        <is>
          <t>Månlåsbräken</t>
        </is>
      </c>
      <c r="S160">
        <f>HYPERLINK("https://klasma.github.io/Logging_1737/artfynd/A 29990-2022 artfynd.xlsx", "A 29990-2022")</f>
        <v/>
      </c>
      <c r="T160">
        <f>HYPERLINK("https://klasma.github.io/Logging_1737/kartor/A 29990-2022 karta.png", "A 29990-2022")</f>
        <v/>
      </c>
      <c r="V160">
        <f>HYPERLINK("https://klasma.github.io/Logging_1737/klagomål/A 29990-2022 FSC-klagomål.docx", "A 29990-2022")</f>
        <v/>
      </c>
      <c r="W160">
        <f>HYPERLINK("https://klasma.github.io/Logging_1737/klagomålsmail/A 29990-2022 FSC-klagomål mail.docx", "A 29990-2022")</f>
        <v/>
      </c>
      <c r="X160">
        <f>HYPERLINK("https://klasma.github.io/Logging_1737/tillsyn/A 29990-2022 tillsynsbegäran.docx", "A 29990-2022")</f>
        <v/>
      </c>
      <c r="Y160">
        <f>HYPERLINK("https://klasma.github.io/Logging_1737/tillsynsmail/A 29990-2022 tillsynsbegäran mail.docx", "A 29990-2022")</f>
        <v/>
      </c>
    </row>
    <row r="161" ht="15" customHeight="1">
      <c r="A161" t="inlineStr">
        <is>
          <t>A 4219-2024</t>
        </is>
      </c>
      <c r="B161" s="1" t="n">
        <v>45324</v>
      </c>
      <c r="C161" s="1" t="n">
        <v>46191</v>
      </c>
      <c r="D161" t="inlineStr">
        <is>
          <t>VÄRMLANDS LÄN</t>
        </is>
      </c>
      <c r="E161" t="inlineStr">
        <is>
          <t>TORSBY</t>
        </is>
      </c>
      <c r="G161" t="n">
        <v>0.8</v>
      </c>
      <c r="H161" t="n">
        <v>0</v>
      </c>
      <c r="I161" t="n">
        <v>1</v>
      </c>
      <c r="J161" t="n">
        <v>0</v>
      </c>
      <c r="K161" t="n">
        <v>0</v>
      </c>
      <c r="L161" t="n">
        <v>0</v>
      </c>
      <c r="M161" t="n">
        <v>0</v>
      </c>
      <c r="N161" t="n">
        <v>0</v>
      </c>
      <c r="O161" t="n">
        <v>0</v>
      </c>
      <c r="P161" t="n">
        <v>0</v>
      </c>
      <c r="Q161" t="n">
        <v>1</v>
      </c>
      <c r="R161" s="2" t="inlineStr">
        <is>
          <t>Kransrams</t>
        </is>
      </c>
      <c r="S161">
        <f>HYPERLINK("https://klasma.github.io/Logging_1737/artfynd/A 4219-2024 artfynd.xlsx", "A 4219-2024")</f>
        <v/>
      </c>
      <c r="T161">
        <f>HYPERLINK("https://klasma.github.io/Logging_1737/kartor/A 4219-2024 karta.png", "A 4219-2024")</f>
        <v/>
      </c>
      <c r="V161">
        <f>HYPERLINK("https://klasma.github.io/Logging_1737/klagomål/A 4219-2024 FSC-klagomål.docx", "A 4219-2024")</f>
        <v/>
      </c>
      <c r="W161">
        <f>HYPERLINK("https://klasma.github.io/Logging_1737/klagomålsmail/A 4219-2024 FSC-klagomål mail.docx", "A 4219-2024")</f>
        <v/>
      </c>
      <c r="X161">
        <f>HYPERLINK("https://klasma.github.io/Logging_1737/tillsyn/A 4219-2024 tillsynsbegäran.docx", "A 4219-2024")</f>
        <v/>
      </c>
      <c r="Y161">
        <f>HYPERLINK("https://klasma.github.io/Logging_1737/tillsynsmail/A 4219-2024 tillsynsbegäran mail.docx", "A 4219-2024")</f>
        <v/>
      </c>
    </row>
    <row r="162" ht="15" customHeight="1">
      <c r="A162" t="inlineStr">
        <is>
          <t>A 16024-2026</t>
        </is>
      </c>
      <c r="B162" s="1" t="n">
        <v>46108</v>
      </c>
      <c r="C162" s="1" t="n">
        <v>46191</v>
      </c>
      <c r="D162" t="inlineStr">
        <is>
          <t>VÄRMLANDS LÄN</t>
        </is>
      </c>
      <c r="E162" t="inlineStr">
        <is>
          <t>TORSBY</t>
        </is>
      </c>
      <c r="G162" t="n">
        <v>15.1</v>
      </c>
      <c r="H162" t="n">
        <v>1</v>
      </c>
      <c r="I162" t="n">
        <v>0</v>
      </c>
      <c r="J162" t="n">
        <v>1</v>
      </c>
      <c r="K162" t="n">
        <v>0</v>
      </c>
      <c r="L162" t="n">
        <v>0</v>
      </c>
      <c r="M162" t="n">
        <v>0</v>
      </c>
      <c r="N162" t="n">
        <v>0</v>
      </c>
      <c r="O162" t="n">
        <v>1</v>
      </c>
      <c r="P162" t="n">
        <v>0</v>
      </c>
      <c r="Q162" t="n">
        <v>1</v>
      </c>
      <c r="R162" s="2" t="inlineStr">
        <is>
          <t>Mindre hackspett</t>
        </is>
      </c>
      <c r="S162">
        <f>HYPERLINK("https://klasma.github.io/Logging_1737/artfynd/A 16024-2026 artfynd.xlsx", "A 16024-2026")</f>
        <v/>
      </c>
      <c r="T162">
        <f>HYPERLINK("https://klasma.github.io/Logging_1737/kartor/A 16024-2026 karta.png", "A 16024-2026")</f>
        <v/>
      </c>
      <c r="V162">
        <f>HYPERLINK("https://klasma.github.io/Logging_1737/klagomål/A 16024-2026 FSC-klagomål.docx", "A 16024-2026")</f>
        <v/>
      </c>
      <c r="W162">
        <f>HYPERLINK("https://klasma.github.io/Logging_1737/klagomålsmail/A 16024-2026 FSC-klagomål mail.docx", "A 16024-2026")</f>
        <v/>
      </c>
      <c r="X162">
        <f>HYPERLINK("https://klasma.github.io/Logging_1737/tillsyn/A 16024-2026 tillsynsbegäran.docx", "A 16024-2026")</f>
        <v/>
      </c>
      <c r="Y162">
        <f>HYPERLINK("https://klasma.github.io/Logging_1737/tillsynsmail/A 16024-2026 tillsynsbegäran mail.docx", "A 16024-2026")</f>
        <v/>
      </c>
      <c r="Z162">
        <f>HYPERLINK("https://klasma.github.io/Logging_1737/fåglar/A 16024-2026 prioriterade fågelarter.docx", "A 16024-2026")</f>
        <v/>
      </c>
    </row>
    <row r="163" ht="15" customHeight="1">
      <c r="A163" t="inlineStr">
        <is>
          <t>A 54532-2023</t>
        </is>
      </c>
      <c r="B163" s="1" t="n">
        <v>45233</v>
      </c>
      <c r="C163" s="1" t="n">
        <v>46191</v>
      </c>
      <c r="D163" t="inlineStr">
        <is>
          <t>VÄRMLANDS LÄN</t>
        </is>
      </c>
      <c r="E163" t="inlineStr">
        <is>
          <t>TORSBY</t>
        </is>
      </c>
      <c r="F163" t="inlineStr">
        <is>
          <t>Bergvik skog väst AB</t>
        </is>
      </c>
      <c r="G163" t="n">
        <v>1.5</v>
      </c>
      <c r="H163" t="n">
        <v>1</v>
      </c>
      <c r="I163" t="n">
        <v>0</v>
      </c>
      <c r="J163" t="n">
        <v>0</v>
      </c>
      <c r="K163" t="n">
        <v>0</v>
      </c>
      <c r="L163" t="n">
        <v>0</v>
      </c>
      <c r="M163" t="n">
        <v>0</v>
      </c>
      <c r="N163" t="n">
        <v>0</v>
      </c>
      <c r="O163" t="n">
        <v>0</v>
      </c>
      <c r="P163" t="n">
        <v>0</v>
      </c>
      <c r="Q163" t="n">
        <v>1</v>
      </c>
      <c r="R163" s="2" t="inlineStr">
        <is>
          <t>Utter</t>
        </is>
      </c>
      <c r="S163">
        <f>HYPERLINK("https://klasma.github.io/Logging_1737/artfynd/A 54532-2023 artfynd.xlsx", "A 54532-2023")</f>
        <v/>
      </c>
      <c r="T163">
        <f>HYPERLINK("https://klasma.github.io/Logging_1737/kartor/A 54532-2023 karta.png", "A 54532-2023")</f>
        <v/>
      </c>
      <c r="V163">
        <f>HYPERLINK("https://klasma.github.io/Logging_1737/klagomål/A 54532-2023 FSC-klagomål.docx", "A 54532-2023")</f>
        <v/>
      </c>
      <c r="W163">
        <f>HYPERLINK("https://klasma.github.io/Logging_1737/klagomålsmail/A 54532-2023 FSC-klagomål mail.docx", "A 54532-2023")</f>
        <v/>
      </c>
      <c r="X163">
        <f>HYPERLINK("https://klasma.github.io/Logging_1737/tillsyn/A 54532-2023 tillsynsbegäran.docx", "A 54532-2023")</f>
        <v/>
      </c>
      <c r="Y163">
        <f>HYPERLINK("https://klasma.github.io/Logging_1737/tillsynsmail/A 54532-2023 tillsynsbegäran mail.docx", "A 54532-2023")</f>
        <v/>
      </c>
    </row>
    <row r="164" ht="15" customHeight="1">
      <c r="A164" t="inlineStr">
        <is>
          <t>A 58396-2025</t>
        </is>
      </c>
      <c r="B164" s="1" t="n">
        <v>45985</v>
      </c>
      <c r="C164" s="1" t="n">
        <v>46191</v>
      </c>
      <c r="D164" t="inlineStr">
        <is>
          <t>VÄRMLANDS LÄN</t>
        </is>
      </c>
      <c r="E164" t="inlineStr">
        <is>
          <t>TORSBY</t>
        </is>
      </c>
      <c r="F164" t="inlineStr">
        <is>
          <t>Bergvik skog väst AB</t>
        </is>
      </c>
      <c r="G164" t="n">
        <v>11.4</v>
      </c>
      <c r="H164" t="n">
        <v>1</v>
      </c>
      <c r="I164" t="n">
        <v>0</v>
      </c>
      <c r="J164" t="n">
        <v>0</v>
      </c>
      <c r="K164" t="n">
        <v>0</v>
      </c>
      <c r="L164" t="n">
        <v>0</v>
      </c>
      <c r="M164" t="n">
        <v>0</v>
      </c>
      <c r="N164" t="n">
        <v>0</v>
      </c>
      <c r="O164" t="n">
        <v>0</v>
      </c>
      <c r="P164" t="n">
        <v>0</v>
      </c>
      <c r="Q164" t="n">
        <v>1</v>
      </c>
      <c r="R164" s="2" t="inlineStr">
        <is>
          <t>Skogsödla</t>
        </is>
      </c>
      <c r="S164">
        <f>HYPERLINK("https://klasma.github.io/Logging_1737/artfynd/A 58396-2025 artfynd.xlsx", "A 58396-2025")</f>
        <v/>
      </c>
      <c r="T164">
        <f>HYPERLINK("https://klasma.github.io/Logging_1737/kartor/A 58396-2025 karta.png", "A 58396-2025")</f>
        <v/>
      </c>
      <c r="V164">
        <f>HYPERLINK("https://klasma.github.io/Logging_1737/klagomål/A 58396-2025 FSC-klagomål.docx", "A 58396-2025")</f>
        <v/>
      </c>
      <c r="W164">
        <f>HYPERLINK("https://klasma.github.io/Logging_1737/klagomålsmail/A 58396-2025 FSC-klagomål mail.docx", "A 58396-2025")</f>
        <v/>
      </c>
      <c r="X164">
        <f>HYPERLINK("https://klasma.github.io/Logging_1737/tillsyn/A 58396-2025 tillsynsbegäran.docx", "A 58396-2025")</f>
        <v/>
      </c>
      <c r="Y164">
        <f>HYPERLINK("https://klasma.github.io/Logging_1737/tillsynsmail/A 58396-2025 tillsynsbegäran mail.docx", "A 58396-2025")</f>
        <v/>
      </c>
    </row>
    <row r="165" ht="15" customHeight="1">
      <c r="A165" t="inlineStr">
        <is>
          <t>A 23366-2026</t>
        </is>
      </c>
      <c r="B165" s="1" t="n">
        <v>46162</v>
      </c>
      <c r="C165" s="1" t="n">
        <v>46191</v>
      </c>
      <c r="D165" t="inlineStr">
        <is>
          <t>VÄRMLANDS LÄN</t>
        </is>
      </c>
      <c r="E165" t="inlineStr">
        <is>
          <t>TORSBY</t>
        </is>
      </c>
      <c r="F165" t="inlineStr">
        <is>
          <t>Övriga statliga verk och myndigheter</t>
        </is>
      </c>
      <c r="G165" t="n">
        <v>2.9</v>
      </c>
      <c r="H165" t="n">
        <v>0</v>
      </c>
      <c r="I165" t="n">
        <v>0</v>
      </c>
      <c r="J165" t="n">
        <v>0</v>
      </c>
      <c r="K165" t="n">
        <v>1</v>
      </c>
      <c r="L165" t="n">
        <v>0</v>
      </c>
      <c r="M165" t="n">
        <v>0</v>
      </c>
      <c r="N165" t="n">
        <v>0</v>
      </c>
      <c r="O165" t="n">
        <v>1</v>
      </c>
      <c r="P165" t="n">
        <v>1</v>
      </c>
      <c r="Q165" t="n">
        <v>1</v>
      </c>
      <c r="R165" s="2" t="inlineStr">
        <is>
          <t>Garnlav</t>
        </is>
      </c>
      <c r="S165">
        <f>HYPERLINK("https://klasma.github.io/Logging_1737/artfynd/A 23366-2026 artfynd.xlsx", "A 23366-2026")</f>
        <v/>
      </c>
      <c r="T165">
        <f>HYPERLINK("https://klasma.github.io/Logging_1737/kartor/A 23366-2026 karta.png", "A 23366-2026")</f>
        <v/>
      </c>
      <c r="V165">
        <f>HYPERLINK("https://klasma.github.io/Logging_1737/klagomål/A 23366-2026 FSC-klagomål.docx", "A 23366-2026")</f>
        <v/>
      </c>
      <c r="W165">
        <f>HYPERLINK("https://klasma.github.io/Logging_1737/klagomålsmail/A 23366-2026 FSC-klagomål mail.docx", "A 23366-2026")</f>
        <v/>
      </c>
      <c r="X165">
        <f>HYPERLINK("https://klasma.github.io/Logging_1737/tillsyn/A 23366-2026 tillsynsbegäran.docx", "A 23366-2026")</f>
        <v/>
      </c>
      <c r="Y165">
        <f>HYPERLINK("https://klasma.github.io/Logging_1737/tillsynsmail/A 23366-2026 tillsynsbegäran mail.docx", "A 23366-2026")</f>
        <v/>
      </c>
    </row>
    <row r="166" ht="15" customHeight="1">
      <c r="A166" t="inlineStr">
        <is>
          <t>A 24380-2026</t>
        </is>
      </c>
      <c r="B166" s="1" t="n">
        <v>46169</v>
      </c>
      <c r="C166" s="1" t="n">
        <v>46191</v>
      </c>
      <c r="D166" t="inlineStr">
        <is>
          <t>VÄRMLANDS LÄN</t>
        </is>
      </c>
      <c r="E166" t="inlineStr">
        <is>
          <t>TORSBY</t>
        </is>
      </c>
      <c r="G166" t="n">
        <v>1.4</v>
      </c>
      <c r="H166" t="n">
        <v>0</v>
      </c>
      <c r="I166" t="n">
        <v>0</v>
      </c>
      <c r="J166" t="n">
        <v>0</v>
      </c>
      <c r="K166" t="n">
        <v>1</v>
      </c>
      <c r="L166" t="n">
        <v>0</v>
      </c>
      <c r="M166" t="n">
        <v>0</v>
      </c>
      <c r="N166" t="n">
        <v>0</v>
      </c>
      <c r="O166" t="n">
        <v>1</v>
      </c>
      <c r="P166" t="n">
        <v>1</v>
      </c>
      <c r="Q166" t="n">
        <v>1</v>
      </c>
      <c r="R166" s="2" t="inlineStr">
        <is>
          <t>Garnlav</t>
        </is>
      </c>
      <c r="S166">
        <f>HYPERLINK("https://klasma.github.io/Logging_1737/artfynd/A 24380-2026 artfynd.xlsx", "A 24380-2026")</f>
        <v/>
      </c>
      <c r="T166">
        <f>HYPERLINK("https://klasma.github.io/Logging_1737/kartor/A 24380-2026 karta.png", "A 24380-2026")</f>
        <v/>
      </c>
      <c r="V166">
        <f>HYPERLINK("https://klasma.github.io/Logging_1737/klagomål/A 24380-2026 FSC-klagomål.docx", "A 24380-2026")</f>
        <v/>
      </c>
      <c r="W166">
        <f>HYPERLINK("https://klasma.github.io/Logging_1737/klagomålsmail/A 24380-2026 FSC-klagomål mail.docx", "A 24380-2026")</f>
        <v/>
      </c>
      <c r="X166">
        <f>HYPERLINK("https://klasma.github.io/Logging_1737/tillsyn/A 24380-2026 tillsynsbegäran.docx", "A 24380-2026")</f>
        <v/>
      </c>
      <c r="Y166">
        <f>HYPERLINK("https://klasma.github.io/Logging_1737/tillsynsmail/A 24380-2026 tillsynsbegäran mail.docx", "A 24380-2026")</f>
        <v/>
      </c>
    </row>
    <row r="167" ht="15" customHeight="1">
      <c r="A167" t="inlineStr">
        <is>
          <t>A 24898-2026</t>
        </is>
      </c>
      <c r="B167" s="1" t="n">
        <v>46174</v>
      </c>
      <c r="C167" s="1" t="n">
        <v>46191</v>
      </c>
      <c r="D167" t="inlineStr">
        <is>
          <t>VÄRMLANDS LÄN</t>
        </is>
      </c>
      <c r="E167" t="inlineStr">
        <is>
          <t>TORSBY</t>
        </is>
      </c>
      <c r="F167" t="inlineStr">
        <is>
          <t>Bergvik skog väst AB</t>
        </is>
      </c>
      <c r="G167" t="n">
        <v>12.3</v>
      </c>
      <c r="H167" t="n">
        <v>1</v>
      </c>
      <c r="I167" t="n">
        <v>0</v>
      </c>
      <c r="J167" t="n">
        <v>1</v>
      </c>
      <c r="K167" t="n">
        <v>0</v>
      </c>
      <c r="L167" t="n">
        <v>0</v>
      </c>
      <c r="M167" t="n">
        <v>0</v>
      </c>
      <c r="N167" t="n">
        <v>0</v>
      </c>
      <c r="O167" t="n">
        <v>1</v>
      </c>
      <c r="P167" t="n">
        <v>0</v>
      </c>
      <c r="Q167" t="n">
        <v>1</v>
      </c>
      <c r="R167" s="2" t="inlineStr">
        <is>
          <t>Nordfladdermus</t>
        </is>
      </c>
      <c r="S167">
        <f>HYPERLINK("https://klasma.github.io/Logging_1737/artfynd/A 24898-2026 artfynd.xlsx", "A 24898-2026")</f>
        <v/>
      </c>
      <c r="T167">
        <f>HYPERLINK("https://klasma.github.io/Logging_1737/kartor/A 24898-2026 karta.png", "A 24898-2026")</f>
        <v/>
      </c>
      <c r="V167">
        <f>HYPERLINK("https://klasma.github.io/Logging_1737/klagomål/A 24898-2026 FSC-klagomål.docx", "A 24898-2026")</f>
        <v/>
      </c>
      <c r="W167">
        <f>HYPERLINK("https://klasma.github.io/Logging_1737/klagomålsmail/A 24898-2026 FSC-klagomål mail.docx", "A 24898-2026")</f>
        <v/>
      </c>
      <c r="X167">
        <f>HYPERLINK("https://klasma.github.io/Logging_1737/tillsyn/A 24898-2026 tillsynsbegäran.docx", "A 24898-2026")</f>
        <v/>
      </c>
      <c r="Y167">
        <f>HYPERLINK("https://klasma.github.io/Logging_1737/tillsynsmail/A 24898-2026 tillsynsbegäran mail.docx", "A 24898-2026")</f>
        <v/>
      </c>
    </row>
    <row r="168" ht="15" customHeight="1">
      <c r="A168" t="inlineStr">
        <is>
          <t>A 24927-2026</t>
        </is>
      </c>
      <c r="B168" s="1" t="n">
        <v>46174</v>
      </c>
      <c r="C168" s="1" t="n">
        <v>46191</v>
      </c>
      <c r="D168" t="inlineStr">
        <is>
          <t>VÄRMLANDS LÄN</t>
        </is>
      </c>
      <c r="E168" t="inlineStr">
        <is>
          <t>TORSBY</t>
        </is>
      </c>
      <c r="F168" t="inlineStr">
        <is>
          <t>Bergvik skog väst AB</t>
        </is>
      </c>
      <c r="G168" t="n">
        <v>33.1</v>
      </c>
      <c r="H168" t="n">
        <v>0</v>
      </c>
      <c r="I168" t="n">
        <v>0</v>
      </c>
      <c r="J168" t="n">
        <v>0</v>
      </c>
      <c r="K168" t="n">
        <v>1</v>
      </c>
      <c r="L168" t="n">
        <v>0</v>
      </c>
      <c r="M168" t="n">
        <v>0</v>
      </c>
      <c r="N168" t="n">
        <v>0</v>
      </c>
      <c r="O168" t="n">
        <v>1</v>
      </c>
      <c r="P168" t="n">
        <v>1</v>
      </c>
      <c r="Q168" t="n">
        <v>1</v>
      </c>
      <c r="R168" s="2" t="inlineStr">
        <is>
          <t>Garnlav</t>
        </is>
      </c>
      <c r="S168">
        <f>HYPERLINK("https://klasma.github.io/Logging_1737/artfynd/A 24927-2026 artfynd.xlsx", "A 24927-2026")</f>
        <v/>
      </c>
      <c r="T168">
        <f>HYPERLINK("https://klasma.github.io/Logging_1737/kartor/A 24927-2026 karta.png", "A 24927-2026")</f>
        <v/>
      </c>
      <c r="V168">
        <f>HYPERLINK("https://klasma.github.io/Logging_1737/klagomål/A 24927-2026 FSC-klagomål.docx", "A 24927-2026")</f>
        <v/>
      </c>
      <c r="W168">
        <f>HYPERLINK("https://klasma.github.io/Logging_1737/klagomålsmail/A 24927-2026 FSC-klagomål mail.docx", "A 24927-2026")</f>
        <v/>
      </c>
      <c r="X168">
        <f>HYPERLINK("https://klasma.github.io/Logging_1737/tillsyn/A 24927-2026 tillsynsbegäran.docx", "A 24927-2026")</f>
        <v/>
      </c>
      <c r="Y168">
        <f>HYPERLINK("https://klasma.github.io/Logging_1737/tillsynsmail/A 24927-2026 tillsynsbegäran mail.docx", "A 24927-2026")</f>
        <v/>
      </c>
    </row>
    <row r="169" ht="15" customHeight="1">
      <c r="A169" t="inlineStr">
        <is>
          <t>A 62005-2025</t>
        </is>
      </c>
      <c r="B169" s="1" t="n">
        <v>46003</v>
      </c>
      <c r="C169" s="1" t="n">
        <v>46191</v>
      </c>
      <c r="D169" t="inlineStr">
        <is>
          <t>VÄRMLANDS LÄN</t>
        </is>
      </c>
      <c r="E169" t="inlineStr">
        <is>
          <t>TORSBY</t>
        </is>
      </c>
      <c r="F169" t="inlineStr">
        <is>
          <t>Kommuner</t>
        </is>
      </c>
      <c r="G169" t="n">
        <v>0.8</v>
      </c>
      <c r="H169" t="n">
        <v>0</v>
      </c>
      <c r="I169" t="n">
        <v>0</v>
      </c>
      <c r="J169" t="n">
        <v>0</v>
      </c>
      <c r="K169" t="n">
        <v>1</v>
      </c>
      <c r="L169" t="n">
        <v>0</v>
      </c>
      <c r="M169" t="n">
        <v>0</v>
      </c>
      <c r="N169" t="n">
        <v>0</v>
      </c>
      <c r="O169" t="n">
        <v>1</v>
      </c>
      <c r="P169" t="n">
        <v>1</v>
      </c>
      <c r="Q169" t="n">
        <v>1</v>
      </c>
      <c r="R169" s="2" t="inlineStr">
        <is>
          <t>Garnlav</t>
        </is>
      </c>
      <c r="S169">
        <f>HYPERLINK("https://klasma.github.io/Logging_1737/artfynd/A 62005-2025 artfynd.xlsx", "A 62005-2025")</f>
        <v/>
      </c>
      <c r="T169">
        <f>HYPERLINK("https://klasma.github.io/Logging_1737/kartor/A 62005-2025 karta.png", "A 62005-2025")</f>
        <v/>
      </c>
      <c r="V169">
        <f>HYPERLINK("https://klasma.github.io/Logging_1737/klagomål/A 62005-2025 FSC-klagomål.docx", "A 62005-2025")</f>
        <v/>
      </c>
      <c r="W169">
        <f>HYPERLINK("https://klasma.github.io/Logging_1737/klagomålsmail/A 62005-2025 FSC-klagomål mail.docx", "A 62005-2025")</f>
        <v/>
      </c>
      <c r="X169">
        <f>HYPERLINK("https://klasma.github.io/Logging_1737/tillsyn/A 62005-2025 tillsynsbegäran.docx", "A 62005-2025")</f>
        <v/>
      </c>
      <c r="Y169">
        <f>HYPERLINK("https://klasma.github.io/Logging_1737/tillsynsmail/A 62005-2025 tillsynsbegäran mail.docx", "A 62005-2025")</f>
        <v/>
      </c>
    </row>
    <row r="170" ht="15" customHeight="1">
      <c r="A170" t="inlineStr">
        <is>
          <t>A 62559-2025</t>
        </is>
      </c>
      <c r="B170" s="1" t="n">
        <v>46007</v>
      </c>
      <c r="C170" s="1" t="n">
        <v>46191</v>
      </c>
      <c r="D170" t="inlineStr">
        <is>
          <t>VÄRMLANDS LÄN</t>
        </is>
      </c>
      <c r="E170" t="inlineStr">
        <is>
          <t>TORSBY</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HYPERLINK("https://klasma.github.io/Logging_1737/artfynd/A 62559-2025 artfynd.xlsx", "A 62559-2025")</f>
        <v/>
      </c>
      <c r="T170">
        <f>HYPERLINK("https://klasma.github.io/Logging_1737/kartor/A 62559-2025 karta.png", "A 62559-2025")</f>
        <v/>
      </c>
      <c r="V170">
        <f>HYPERLINK("https://klasma.github.io/Logging_1737/klagomål/A 62559-2025 FSC-klagomål.docx", "A 62559-2025")</f>
        <v/>
      </c>
      <c r="W170">
        <f>HYPERLINK("https://klasma.github.io/Logging_1737/klagomålsmail/A 62559-2025 FSC-klagomål mail.docx", "A 62559-2025")</f>
        <v/>
      </c>
      <c r="X170">
        <f>HYPERLINK("https://klasma.github.io/Logging_1737/tillsyn/A 62559-2025 tillsynsbegäran.docx", "A 62559-2025")</f>
        <v/>
      </c>
      <c r="Y170">
        <f>HYPERLINK("https://klasma.github.io/Logging_1737/tillsynsmail/A 62559-2025 tillsynsbegäran mail.docx", "A 62559-2025")</f>
        <v/>
      </c>
    </row>
    <row r="171" ht="15" customHeight="1">
      <c r="A171" t="inlineStr">
        <is>
          <t>A 22702-2023</t>
        </is>
      </c>
      <c r="B171" s="1" t="n">
        <v>45071</v>
      </c>
      <c r="C171" s="1" t="n">
        <v>46191</v>
      </c>
      <c r="D171" t="inlineStr">
        <is>
          <t>VÄRMLANDS LÄN</t>
        </is>
      </c>
      <c r="E171" t="inlineStr">
        <is>
          <t>TORSBY</t>
        </is>
      </c>
      <c r="G171" t="n">
        <v>0.8</v>
      </c>
      <c r="H171" t="n">
        <v>0</v>
      </c>
      <c r="I171" t="n">
        <v>0</v>
      </c>
      <c r="J171" t="n">
        <v>1</v>
      </c>
      <c r="K171" t="n">
        <v>0</v>
      </c>
      <c r="L171" t="n">
        <v>0</v>
      </c>
      <c r="M171" t="n">
        <v>0</v>
      </c>
      <c r="N171" t="n">
        <v>0</v>
      </c>
      <c r="O171" t="n">
        <v>1</v>
      </c>
      <c r="P171" t="n">
        <v>0</v>
      </c>
      <c r="Q171" t="n">
        <v>1</v>
      </c>
      <c r="R171" s="2" t="inlineStr">
        <is>
          <t>Lunglav</t>
        </is>
      </c>
      <c r="S171">
        <f>HYPERLINK("https://klasma.github.io/Logging_1737/artfynd/A 22702-2023 artfynd.xlsx", "A 22702-2023")</f>
        <v/>
      </c>
      <c r="T171">
        <f>HYPERLINK("https://klasma.github.io/Logging_1737/kartor/A 22702-2023 karta.png", "A 22702-2023")</f>
        <v/>
      </c>
      <c r="V171">
        <f>HYPERLINK("https://klasma.github.io/Logging_1737/klagomål/A 22702-2023 FSC-klagomål.docx", "A 22702-2023")</f>
        <v/>
      </c>
      <c r="W171">
        <f>HYPERLINK("https://klasma.github.io/Logging_1737/klagomålsmail/A 22702-2023 FSC-klagomål mail.docx", "A 22702-2023")</f>
        <v/>
      </c>
      <c r="X171">
        <f>HYPERLINK("https://klasma.github.io/Logging_1737/tillsyn/A 22702-2023 tillsynsbegäran.docx", "A 22702-2023")</f>
        <v/>
      </c>
      <c r="Y171">
        <f>HYPERLINK("https://klasma.github.io/Logging_1737/tillsynsmail/A 22702-2023 tillsynsbegäran mail.docx", "A 22702-2023")</f>
        <v/>
      </c>
    </row>
    <row r="172" ht="15" customHeight="1">
      <c r="A172" t="inlineStr">
        <is>
          <t>A 43943-2022</t>
        </is>
      </c>
      <c r="B172" s="1" t="n">
        <v>44838</v>
      </c>
      <c r="C172" s="1" t="n">
        <v>46191</v>
      </c>
      <c r="D172" t="inlineStr">
        <is>
          <t>VÄRMLANDS LÄN</t>
        </is>
      </c>
      <c r="E172" t="inlineStr">
        <is>
          <t>TORSBY</t>
        </is>
      </c>
      <c r="G172" t="n">
        <v>3.6</v>
      </c>
      <c r="H172" t="n">
        <v>1</v>
      </c>
      <c r="I172" t="n">
        <v>0</v>
      </c>
      <c r="J172" t="n">
        <v>0</v>
      </c>
      <c r="K172" t="n">
        <v>0</v>
      </c>
      <c r="L172" t="n">
        <v>0</v>
      </c>
      <c r="M172" t="n">
        <v>0</v>
      </c>
      <c r="N172" t="n">
        <v>0</v>
      </c>
      <c r="O172" t="n">
        <v>0</v>
      </c>
      <c r="P172" t="n">
        <v>0</v>
      </c>
      <c r="Q172" t="n">
        <v>1</v>
      </c>
      <c r="R172" s="2" t="inlineStr">
        <is>
          <t>Utter</t>
        </is>
      </c>
      <c r="S172">
        <f>HYPERLINK("https://klasma.github.io/Logging_1737/artfynd/A 43943-2022 artfynd.xlsx", "A 43943-2022")</f>
        <v/>
      </c>
      <c r="T172">
        <f>HYPERLINK("https://klasma.github.io/Logging_1737/kartor/A 43943-2022 karta.png", "A 43943-2022")</f>
        <v/>
      </c>
      <c r="V172">
        <f>HYPERLINK("https://klasma.github.io/Logging_1737/klagomål/A 43943-2022 FSC-klagomål.docx", "A 43943-2022")</f>
        <v/>
      </c>
      <c r="W172">
        <f>HYPERLINK("https://klasma.github.io/Logging_1737/klagomålsmail/A 43943-2022 FSC-klagomål mail.docx", "A 43943-2022")</f>
        <v/>
      </c>
      <c r="X172">
        <f>HYPERLINK("https://klasma.github.io/Logging_1737/tillsyn/A 43943-2022 tillsynsbegäran.docx", "A 43943-2022")</f>
        <v/>
      </c>
      <c r="Y172">
        <f>HYPERLINK("https://klasma.github.io/Logging_1737/tillsynsmail/A 43943-2022 tillsynsbegäran mail.docx", "A 43943-2022")</f>
        <v/>
      </c>
    </row>
    <row r="173" ht="15" customHeight="1">
      <c r="A173" t="inlineStr">
        <is>
          <t>A 18116-2026</t>
        </is>
      </c>
      <c r="B173" s="1" t="n">
        <v>46125</v>
      </c>
      <c r="C173" s="1" t="n">
        <v>46191</v>
      </c>
      <c r="D173" t="inlineStr">
        <is>
          <t>VÄRMLANDS LÄN</t>
        </is>
      </c>
      <c r="E173" t="inlineStr">
        <is>
          <t>TORSBY</t>
        </is>
      </c>
      <c r="G173" t="n">
        <v>5.8</v>
      </c>
      <c r="H173" t="n">
        <v>0</v>
      </c>
      <c r="I173" t="n">
        <v>0</v>
      </c>
      <c r="J173" t="n">
        <v>0</v>
      </c>
      <c r="K173" t="n">
        <v>1</v>
      </c>
      <c r="L173" t="n">
        <v>0</v>
      </c>
      <c r="M173" t="n">
        <v>0</v>
      </c>
      <c r="N173" t="n">
        <v>0</v>
      </c>
      <c r="O173" t="n">
        <v>1</v>
      </c>
      <c r="P173" t="n">
        <v>1</v>
      </c>
      <c r="Q173" t="n">
        <v>1</v>
      </c>
      <c r="R173" s="2" t="inlineStr">
        <is>
          <t>Garnlav</t>
        </is>
      </c>
      <c r="S173">
        <f>HYPERLINK("https://klasma.github.io/Logging_1737/artfynd/A 18116-2026 artfynd.xlsx", "A 18116-2026")</f>
        <v/>
      </c>
      <c r="T173">
        <f>HYPERLINK("https://klasma.github.io/Logging_1737/kartor/A 18116-2026 karta.png", "A 18116-2026")</f>
        <v/>
      </c>
      <c r="V173">
        <f>HYPERLINK("https://klasma.github.io/Logging_1737/klagomål/A 18116-2026 FSC-klagomål.docx", "A 18116-2026")</f>
        <v/>
      </c>
      <c r="W173">
        <f>HYPERLINK("https://klasma.github.io/Logging_1737/klagomålsmail/A 18116-2026 FSC-klagomål mail.docx", "A 18116-2026")</f>
        <v/>
      </c>
      <c r="X173">
        <f>HYPERLINK("https://klasma.github.io/Logging_1737/tillsyn/A 18116-2026 tillsynsbegäran.docx", "A 18116-2026")</f>
        <v/>
      </c>
      <c r="Y173">
        <f>HYPERLINK("https://klasma.github.io/Logging_1737/tillsynsmail/A 18116-2026 tillsynsbegäran mail.docx", "A 18116-2026")</f>
        <v/>
      </c>
    </row>
    <row r="174" ht="15" customHeight="1">
      <c r="A174" t="inlineStr">
        <is>
          <t>A 15170-2025</t>
        </is>
      </c>
      <c r="B174" s="1" t="n">
        <v>45743</v>
      </c>
      <c r="C174" s="1" t="n">
        <v>46191</v>
      </c>
      <c r="D174" t="inlineStr">
        <is>
          <t>VÄRMLANDS LÄN</t>
        </is>
      </c>
      <c r="E174" t="inlineStr">
        <is>
          <t>TORSBY</t>
        </is>
      </c>
      <c r="G174" t="n">
        <v>12.5</v>
      </c>
      <c r="H174" t="n">
        <v>1</v>
      </c>
      <c r="I174" t="n">
        <v>0</v>
      </c>
      <c r="J174" t="n">
        <v>1</v>
      </c>
      <c r="K174" t="n">
        <v>0</v>
      </c>
      <c r="L174" t="n">
        <v>0</v>
      </c>
      <c r="M174" t="n">
        <v>0</v>
      </c>
      <c r="N174" t="n">
        <v>0</v>
      </c>
      <c r="O174" t="n">
        <v>1</v>
      </c>
      <c r="P174" t="n">
        <v>0</v>
      </c>
      <c r="Q174" t="n">
        <v>1</v>
      </c>
      <c r="R174" s="2" t="inlineStr">
        <is>
          <t>Sparvuggla</t>
        </is>
      </c>
      <c r="S174">
        <f>HYPERLINK("https://klasma.github.io/Logging_1737/artfynd/A 15170-2025 artfynd.xlsx", "A 15170-2025")</f>
        <v/>
      </c>
      <c r="T174">
        <f>HYPERLINK("https://klasma.github.io/Logging_1737/kartor/A 15170-2025 karta.png", "A 15170-2025")</f>
        <v/>
      </c>
      <c r="V174">
        <f>HYPERLINK("https://klasma.github.io/Logging_1737/klagomål/A 15170-2025 FSC-klagomål.docx", "A 15170-2025")</f>
        <v/>
      </c>
      <c r="W174">
        <f>HYPERLINK("https://klasma.github.io/Logging_1737/klagomålsmail/A 15170-2025 FSC-klagomål mail.docx", "A 15170-2025")</f>
        <v/>
      </c>
      <c r="X174">
        <f>HYPERLINK("https://klasma.github.io/Logging_1737/tillsyn/A 15170-2025 tillsynsbegäran.docx", "A 15170-2025")</f>
        <v/>
      </c>
      <c r="Y174">
        <f>HYPERLINK("https://klasma.github.io/Logging_1737/tillsynsmail/A 15170-2025 tillsynsbegäran mail.docx", "A 15170-2025")</f>
        <v/>
      </c>
      <c r="Z174">
        <f>HYPERLINK("https://klasma.github.io/Logging_1737/fåglar/A 15170-2025 prioriterade fågelarter.docx", "A 15170-2025")</f>
        <v/>
      </c>
    </row>
    <row r="175" ht="15" customHeight="1">
      <c r="A175" t="inlineStr">
        <is>
          <t>A 63390-2025</t>
        </is>
      </c>
      <c r="B175" s="1" t="n">
        <v>46011</v>
      </c>
      <c r="C175" s="1" t="n">
        <v>46191</v>
      </c>
      <c r="D175" t="inlineStr">
        <is>
          <t>VÄRMLANDS LÄN</t>
        </is>
      </c>
      <c r="E175" t="inlineStr">
        <is>
          <t>TORSBY</t>
        </is>
      </c>
      <c r="G175" t="n">
        <v>0.8</v>
      </c>
      <c r="H175" t="n">
        <v>1</v>
      </c>
      <c r="I175" t="n">
        <v>0</v>
      </c>
      <c r="J175" t="n">
        <v>0</v>
      </c>
      <c r="K175" t="n">
        <v>0</v>
      </c>
      <c r="L175" t="n">
        <v>0</v>
      </c>
      <c r="M175" t="n">
        <v>0</v>
      </c>
      <c r="N175" t="n">
        <v>0</v>
      </c>
      <c r="O175" t="n">
        <v>0</v>
      </c>
      <c r="P175" t="n">
        <v>0</v>
      </c>
      <c r="Q175" t="n">
        <v>1</v>
      </c>
      <c r="R175" s="2" t="inlineStr">
        <is>
          <t>Fläcknycklar</t>
        </is>
      </c>
      <c r="S175">
        <f>HYPERLINK("https://klasma.github.io/Logging_1737/artfynd/A 63390-2025 artfynd.xlsx", "A 63390-2025")</f>
        <v/>
      </c>
      <c r="T175">
        <f>HYPERLINK("https://klasma.github.io/Logging_1737/kartor/A 63390-2025 karta.png", "A 63390-2025")</f>
        <v/>
      </c>
      <c r="V175">
        <f>HYPERLINK("https://klasma.github.io/Logging_1737/klagomål/A 63390-2025 FSC-klagomål.docx", "A 63390-2025")</f>
        <v/>
      </c>
      <c r="W175">
        <f>HYPERLINK("https://klasma.github.io/Logging_1737/klagomålsmail/A 63390-2025 FSC-klagomål mail.docx", "A 63390-2025")</f>
        <v/>
      </c>
      <c r="X175">
        <f>HYPERLINK("https://klasma.github.io/Logging_1737/tillsyn/A 63390-2025 tillsynsbegäran.docx", "A 63390-2025")</f>
        <v/>
      </c>
      <c r="Y175">
        <f>HYPERLINK("https://klasma.github.io/Logging_1737/tillsynsmail/A 63390-2025 tillsynsbegäran mail.docx", "A 63390-2025")</f>
        <v/>
      </c>
    </row>
    <row r="176" ht="15" customHeight="1">
      <c r="A176" t="inlineStr">
        <is>
          <t>A 19902-2026</t>
        </is>
      </c>
      <c r="B176" s="1" t="n">
        <v>46136</v>
      </c>
      <c r="C176" s="1" t="n">
        <v>46191</v>
      </c>
      <c r="D176" t="inlineStr">
        <is>
          <t>VÄRMLANDS LÄN</t>
        </is>
      </c>
      <c r="E176" t="inlineStr">
        <is>
          <t>TORSBY</t>
        </is>
      </c>
      <c r="F176" t="inlineStr">
        <is>
          <t>Bergvik skog väst AB</t>
        </is>
      </c>
      <c r="G176" t="n">
        <v>18.8</v>
      </c>
      <c r="H176" t="n">
        <v>0</v>
      </c>
      <c r="I176" t="n">
        <v>0</v>
      </c>
      <c r="J176" t="n">
        <v>1</v>
      </c>
      <c r="K176" t="n">
        <v>0</v>
      </c>
      <c r="L176" t="n">
        <v>0</v>
      </c>
      <c r="M176" t="n">
        <v>0</v>
      </c>
      <c r="N176" t="n">
        <v>0</v>
      </c>
      <c r="O176" t="n">
        <v>1</v>
      </c>
      <c r="P176" t="n">
        <v>0</v>
      </c>
      <c r="Q176" t="n">
        <v>1</v>
      </c>
      <c r="R176" s="2" t="inlineStr">
        <is>
          <t>Lunglav</t>
        </is>
      </c>
      <c r="S176">
        <f>HYPERLINK("https://klasma.github.io/Logging_1737/artfynd/A 19902-2026 artfynd.xlsx", "A 19902-2026")</f>
        <v/>
      </c>
      <c r="T176">
        <f>HYPERLINK("https://klasma.github.io/Logging_1737/kartor/A 19902-2026 karta.png", "A 19902-2026")</f>
        <v/>
      </c>
      <c r="V176">
        <f>HYPERLINK("https://klasma.github.io/Logging_1737/klagomål/A 19902-2026 FSC-klagomål.docx", "A 19902-2026")</f>
        <v/>
      </c>
      <c r="W176">
        <f>HYPERLINK("https://klasma.github.io/Logging_1737/klagomålsmail/A 19902-2026 FSC-klagomål mail.docx", "A 19902-2026")</f>
        <v/>
      </c>
      <c r="X176">
        <f>HYPERLINK("https://klasma.github.io/Logging_1737/tillsyn/A 19902-2026 tillsynsbegäran.docx", "A 19902-2026")</f>
        <v/>
      </c>
      <c r="Y176">
        <f>HYPERLINK("https://klasma.github.io/Logging_1737/tillsynsmail/A 19902-2026 tillsynsbegäran mail.docx", "A 19902-2026")</f>
        <v/>
      </c>
    </row>
    <row r="177" ht="15" customHeight="1">
      <c r="A177" t="inlineStr">
        <is>
          <t>A 25460-2026</t>
        </is>
      </c>
      <c r="B177" s="1" t="n">
        <v>46177</v>
      </c>
      <c r="C177" s="1" t="n">
        <v>46191</v>
      </c>
      <c r="D177" t="inlineStr">
        <is>
          <t>VÄRMLANDS LÄN</t>
        </is>
      </c>
      <c r="E177" t="inlineStr">
        <is>
          <t>TORSBY</t>
        </is>
      </c>
      <c r="F177" t="inlineStr">
        <is>
          <t>Bergvik skog väst AB</t>
        </is>
      </c>
      <c r="G177" t="n">
        <v>2.9</v>
      </c>
      <c r="H177" t="n">
        <v>1</v>
      </c>
      <c r="I177" t="n">
        <v>0</v>
      </c>
      <c r="J177" t="n">
        <v>0</v>
      </c>
      <c r="K177" t="n">
        <v>0</v>
      </c>
      <c r="L177" t="n">
        <v>0</v>
      </c>
      <c r="M177" t="n">
        <v>0</v>
      </c>
      <c r="N177" t="n">
        <v>0</v>
      </c>
      <c r="O177" t="n">
        <v>0</v>
      </c>
      <c r="P177" t="n">
        <v>0</v>
      </c>
      <c r="Q177" t="n">
        <v>1</v>
      </c>
      <c r="R177" s="2" t="inlineStr">
        <is>
          <t>Utter</t>
        </is>
      </c>
      <c r="S177">
        <f>HYPERLINK("https://klasma.github.io/Logging_1737/artfynd/A 25460-2026 artfynd.xlsx", "A 25460-2026")</f>
        <v/>
      </c>
      <c r="T177">
        <f>HYPERLINK("https://klasma.github.io/Logging_1737/kartor/A 25460-2026 karta.png", "A 25460-2026")</f>
        <v/>
      </c>
      <c r="V177">
        <f>HYPERLINK("https://klasma.github.io/Logging_1737/klagomål/A 25460-2026 FSC-klagomål.docx", "A 25460-2026")</f>
        <v/>
      </c>
      <c r="W177">
        <f>HYPERLINK("https://klasma.github.io/Logging_1737/klagomålsmail/A 25460-2026 FSC-klagomål mail.docx", "A 25460-2026")</f>
        <v/>
      </c>
      <c r="X177">
        <f>HYPERLINK("https://klasma.github.io/Logging_1737/tillsyn/A 25460-2026 tillsynsbegäran.docx", "A 25460-2026")</f>
        <v/>
      </c>
      <c r="Y177">
        <f>HYPERLINK("https://klasma.github.io/Logging_1737/tillsynsmail/A 25460-2026 tillsynsbegäran mail.docx", "A 25460-2026")</f>
        <v/>
      </c>
    </row>
    <row r="178" ht="15" customHeight="1">
      <c r="A178" t="inlineStr">
        <is>
          <t>A 25710-2026</t>
        </is>
      </c>
      <c r="B178" s="1" t="n">
        <v>46178</v>
      </c>
      <c r="C178" s="1" t="n">
        <v>46191</v>
      </c>
      <c r="D178" t="inlineStr">
        <is>
          <t>VÄRMLANDS LÄN</t>
        </is>
      </c>
      <c r="E178" t="inlineStr">
        <is>
          <t>TORSBY</t>
        </is>
      </c>
      <c r="F178" t="inlineStr">
        <is>
          <t>Bergvik skog väst AB</t>
        </is>
      </c>
      <c r="G178" t="n">
        <v>19.7</v>
      </c>
      <c r="H178" t="n">
        <v>1</v>
      </c>
      <c r="I178" t="n">
        <v>0</v>
      </c>
      <c r="J178" t="n">
        <v>0</v>
      </c>
      <c r="K178" t="n">
        <v>0</v>
      </c>
      <c r="L178" t="n">
        <v>0</v>
      </c>
      <c r="M178" t="n">
        <v>0</v>
      </c>
      <c r="N178" t="n">
        <v>0</v>
      </c>
      <c r="O178" t="n">
        <v>0</v>
      </c>
      <c r="P178" t="n">
        <v>0</v>
      </c>
      <c r="Q178" t="n">
        <v>1</v>
      </c>
      <c r="R178" s="2" t="inlineStr">
        <is>
          <t>Kungsfågel</t>
        </is>
      </c>
      <c r="S178">
        <f>HYPERLINK("https://klasma.github.io/Logging_1737/artfynd/A 25710-2026 artfynd.xlsx", "A 25710-2026")</f>
        <v/>
      </c>
      <c r="T178">
        <f>HYPERLINK("https://klasma.github.io/Logging_1737/kartor/A 25710-2026 karta.png", "A 25710-2026")</f>
        <v/>
      </c>
      <c r="V178">
        <f>HYPERLINK("https://klasma.github.io/Logging_1737/klagomål/A 25710-2026 FSC-klagomål.docx", "A 25710-2026")</f>
        <v/>
      </c>
      <c r="W178">
        <f>HYPERLINK("https://klasma.github.io/Logging_1737/klagomålsmail/A 25710-2026 FSC-klagomål mail.docx", "A 25710-2026")</f>
        <v/>
      </c>
      <c r="X178">
        <f>HYPERLINK("https://klasma.github.io/Logging_1737/tillsyn/A 25710-2026 tillsynsbegäran.docx", "A 25710-2026")</f>
        <v/>
      </c>
      <c r="Y178">
        <f>HYPERLINK("https://klasma.github.io/Logging_1737/tillsynsmail/A 25710-2026 tillsynsbegäran mail.docx", "A 25710-2026")</f>
        <v/>
      </c>
      <c r="Z178">
        <f>HYPERLINK("https://klasma.github.io/Logging_1737/fåglar/A 25710-2026 prioriterade fågelarter.docx", "A 25710-2026")</f>
        <v/>
      </c>
    </row>
    <row r="179" ht="15" customHeight="1">
      <c r="A179" t="inlineStr">
        <is>
          <t>A 2807-2025</t>
        </is>
      </c>
      <c r="B179" s="1" t="n">
        <v>45677</v>
      </c>
      <c r="C179" s="1" t="n">
        <v>46191</v>
      </c>
      <c r="D179" t="inlineStr">
        <is>
          <t>VÄRMLANDS LÄN</t>
        </is>
      </c>
      <c r="E179" t="inlineStr">
        <is>
          <t>TORSBY</t>
        </is>
      </c>
      <c r="G179" t="n">
        <v>2.5</v>
      </c>
      <c r="H179" t="n">
        <v>1</v>
      </c>
      <c r="I179" t="n">
        <v>0</v>
      </c>
      <c r="J179" t="n">
        <v>0</v>
      </c>
      <c r="K179" t="n">
        <v>0</v>
      </c>
      <c r="L179" t="n">
        <v>0</v>
      </c>
      <c r="M179" t="n">
        <v>0</v>
      </c>
      <c r="N179" t="n">
        <v>0</v>
      </c>
      <c r="O179" t="n">
        <v>0</v>
      </c>
      <c r="P179" t="n">
        <v>0</v>
      </c>
      <c r="Q179" t="n">
        <v>1</v>
      </c>
      <c r="R179" s="2" t="inlineStr">
        <is>
          <t>Tjäder</t>
        </is>
      </c>
      <c r="S179">
        <f>HYPERLINK("https://klasma.github.io/Logging_1737/artfynd/A 2807-2025 artfynd.xlsx", "A 2807-2025")</f>
        <v/>
      </c>
      <c r="T179">
        <f>HYPERLINK("https://klasma.github.io/Logging_1737/kartor/A 2807-2025 karta.png", "A 2807-2025")</f>
        <v/>
      </c>
      <c r="V179">
        <f>HYPERLINK("https://klasma.github.io/Logging_1737/klagomål/A 2807-2025 FSC-klagomål.docx", "A 2807-2025")</f>
        <v/>
      </c>
      <c r="W179">
        <f>HYPERLINK("https://klasma.github.io/Logging_1737/klagomålsmail/A 2807-2025 FSC-klagomål mail.docx", "A 2807-2025")</f>
        <v/>
      </c>
      <c r="X179">
        <f>HYPERLINK("https://klasma.github.io/Logging_1737/tillsyn/A 2807-2025 tillsynsbegäran.docx", "A 2807-2025")</f>
        <v/>
      </c>
      <c r="Y179">
        <f>HYPERLINK("https://klasma.github.io/Logging_1737/tillsynsmail/A 2807-2025 tillsynsbegäran mail.docx", "A 2807-2025")</f>
        <v/>
      </c>
      <c r="Z179">
        <f>HYPERLINK("https://klasma.github.io/Logging_1737/fåglar/A 2807-2025 prioriterade fågelarter.docx", "A 2807-2025")</f>
        <v/>
      </c>
    </row>
    <row r="180" ht="15" customHeight="1">
      <c r="A180" t="inlineStr">
        <is>
          <t>A 1534-2026</t>
        </is>
      </c>
      <c r="B180" s="1" t="n">
        <v>46034</v>
      </c>
      <c r="C180" s="1" t="n">
        <v>46191</v>
      </c>
      <c r="D180" t="inlineStr">
        <is>
          <t>VÄRMLANDS LÄN</t>
        </is>
      </c>
      <c r="E180" t="inlineStr">
        <is>
          <t>TORSBY</t>
        </is>
      </c>
      <c r="G180" t="n">
        <v>2.1</v>
      </c>
      <c r="H180" t="n">
        <v>0</v>
      </c>
      <c r="I180" t="n">
        <v>0</v>
      </c>
      <c r="J180" t="n">
        <v>0</v>
      </c>
      <c r="K180" t="n">
        <v>1</v>
      </c>
      <c r="L180" t="n">
        <v>0</v>
      </c>
      <c r="M180" t="n">
        <v>0</v>
      </c>
      <c r="N180" t="n">
        <v>0</v>
      </c>
      <c r="O180" t="n">
        <v>1</v>
      </c>
      <c r="P180" t="n">
        <v>1</v>
      </c>
      <c r="Q180" t="n">
        <v>1</v>
      </c>
      <c r="R180" s="2" t="inlineStr">
        <is>
          <t>Garnlav</t>
        </is>
      </c>
      <c r="S180">
        <f>HYPERLINK("https://klasma.github.io/Logging_1737/artfynd/A 1534-2026 artfynd.xlsx", "A 1534-2026")</f>
        <v/>
      </c>
      <c r="T180">
        <f>HYPERLINK("https://klasma.github.io/Logging_1737/kartor/A 1534-2026 karta.png", "A 1534-2026")</f>
        <v/>
      </c>
      <c r="V180">
        <f>HYPERLINK("https://klasma.github.io/Logging_1737/klagomål/A 1534-2026 FSC-klagomål.docx", "A 1534-2026")</f>
        <v/>
      </c>
      <c r="W180">
        <f>HYPERLINK("https://klasma.github.io/Logging_1737/klagomålsmail/A 1534-2026 FSC-klagomål mail.docx", "A 1534-2026")</f>
        <v/>
      </c>
      <c r="X180">
        <f>HYPERLINK("https://klasma.github.io/Logging_1737/tillsyn/A 1534-2026 tillsynsbegäran.docx", "A 1534-2026")</f>
        <v/>
      </c>
      <c r="Y180">
        <f>HYPERLINK("https://klasma.github.io/Logging_1737/tillsynsmail/A 1534-2026 tillsynsbegäran mail.docx", "A 1534-2026")</f>
        <v/>
      </c>
    </row>
    <row r="181" ht="15" customHeight="1">
      <c r="A181" t="inlineStr">
        <is>
          <t>A 38541-2023</t>
        </is>
      </c>
      <c r="B181" s="1" t="n">
        <v>45162</v>
      </c>
      <c r="C181" s="1" t="n">
        <v>46191</v>
      </c>
      <c r="D181" t="inlineStr">
        <is>
          <t>VÄRMLANDS LÄN</t>
        </is>
      </c>
      <c r="E181" t="inlineStr">
        <is>
          <t>TORSBY</t>
        </is>
      </c>
      <c r="G181" t="n">
        <v>2</v>
      </c>
      <c r="H181" t="n">
        <v>0</v>
      </c>
      <c r="I181" t="n">
        <v>0</v>
      </c>
      <c r="J181" t="n">
        <v>1</v>
      </c>
      <c r="K181" t="n">
        <v>0</v>
      </c>
      <c r="L181" t="n">
        <v>0</v>
      </c>
      <c r="M181" t="n">
        <v>0</v>
      </c>
      <c r="N181" t="n">
        <v>0</v>
      </c>
      <c r="O181" t="n">
        <v>1</v>
      </c>
      <c r="P181" t="n">
        <v>0</v>
      </c>
      <c r="Q181" t="n">
        <v>1</v>
      </c>
      <c r="R181" s="2" t="inlineStr">
        <is>
          <t>Lunglav</t>
        </is>
      </c>
      <c r="S181">
        <f>HYPERLINK("https://klasma.github.io/Logging_1737/artfynd/A 38541-2023 artfynd.xlsx", "A 38541-2023")</f>
        <v/>
      </c>
      <c r="T181">
        <f>HYPERLINK("https://klasma.github.io/Logging_1737/kartor/A 38541-2023 karta.png", "A 38541-2023")</f>
        <v/>
      </c>
      <c r="V181">
        <f>HYPERLINK("https://klasma.github.io/Logging_1737/klagomål/A 38541-2023 FSC-klagomål.docx", "A 38541-2023")</f>
        <v/>
      </c>
      <c r="W181">
        <f>HYPERLINK("https://klasma.github.io/Logging_1737/klagomålsmail/A 38541-2023 FSC-klagomål mail.docx", "A 38541-2023")</f>
        <v/>
      </c>
      <c r="X181">
        <f>HYPERLINK("https://klasma.github.io/Logging_1737/tillsyn/A 38541-2023 tillsynsbegäran.docx", "A 38541-2023")</f>
        <v/>
      </c>
      <c r="Y181">
        <f>HYPERLINK("https://klasma.github.io/Logging_1737/tillsynsmail/A 38541-2023 tillsynsbegäran mail.docx", "A 38541-2023")</f>
        <v/>
      </c>
    </row>
    <row r="182" ht="15" customHeight="1">
      <c r="A182" t="inlineStr">
        <is>
          <t>A 31493-2021</t>
        </is>
      </c>
      <c r="B182" s="1" t="n">
        <v>44369</v>
      </c>
      <c r="C182" s="1" t="n">
        <v>46191</v>
      </c>
      <c r="D182" t="inlineStr">
        <is>
          <t>VÄRMLANDS LÄN</t>
        </is>
      </c>
      <c r="E182" t="inlineStr">
        <is>
          <t>TORSBY</t>
        </is>
      </c>
      <c r="G182" t="n">
        <v>2.6</v>
      </c>
      <c r="H182" t="n">
        <v>1</v>
      </c>
      <c r="I182" t="n">
        <v>0</v>
      </c>
      <c r="J182" t="n">
        <v>1</v>
      </c>
      <c r="K182" t="n">
        <v>0</v>
      </c>
      <c r="L182" t="n">
        <v>0</v>
      </c>
      <c r="M182" t="n">
        <v>0</v>
      </c>
      <c r="N182" t="n">
        <v>0</v>
      </c>
      <c r="O182" t="n">
        <v>1</v>
      </c>
      <c r="P182" t="n">
        <v>0</v>
      </c>
      <c r="Q182" t="n">
        <v>1</v>
      </c>
      <c r="R182" s="2" t="inlineStr">
        <is>
          <t>Nötkråka</t>
        </is>
      </c>
      <c r="S182">
        <f>HYPERLINK("https://klasma.github.io/Logging_1737/artfynd/A 31493-2021 artfynd.xlsx", "A 31493-2021")</f>
        <v/>
      </c>
      <c r="T182">
        <f>HYPERLINK("https://klasma.github.io/Logging_1737/kartor/A 31493-2021 karta.png", "A 31493-2021")</f>
        <v/>
      </c>
      <c r="V182">
        <f>HYPERLINK("https://klasma.github.io/Logging_1737/klagomål/A 31493-2021 FSC-klagomål.docx", "A 31493-2021")</f>
        <v/>
      </c>
      <c r="W182">
        <f>HYPERLINK("https://klasma.github.io/Logging_1737/klagomålsmail/A 31493-2021 FSC-klagomål mail.docx", "A 31493-2021")</f>
        <v/>
      </c>
      <c r="X182">
        <f>HYPERLINK("https://klasma.github.io/Logging_1737/tillsyn/A 31493-2021 tillsynsbegäran.docx", "A 31493-2021")</f>
        <v/>
      </c>
      <c r="Y182">
        <f>HYPERLINK("https://klasma.github.io/Logging_1737/tillsynsmail/A 31493-2021 tillsynsbegäran mail.docx", "A 31493-2021")</f>
        <v/>
      </c>
    </row>
    <row r="183" ht="15" customHeight="1">
      <c r="A183" t="inlineStr">
        <is>
          <t>A 40541-2024</t>
        </is>
      </c>
      <c r="B183" s="1" t="n">
        <v>45555</v>
      </c>
      <c r="C183" s="1" t="n">
        <v>46191</v>
      </c>
      <c r="D183" t="inlineStr">
        <is>
          <t>VÄRMLANDS LÄN</t>
        </is>
      </c>
      <c r="E183" t="inlineStr">
        <is>
          <t>TORSBY</t>
        </is>
      </c>
      <c r="F183" t="inlineStr">
        <is>
          <t>Bergvik skog väst AB</t>
        </is>
      </c>
      <c r="G183" t="n">
        <v>1.5</v>
      </c>
      <c r="H183" t="n">
        <v>0</v>
      </c>
      <c r="I183" t="n">
        <v>0</v>
      </c>
      <c r="J183" t="n">
        <v>1</v>
      </c>
      <c r="K183" t="n">
        <v>0</v>
      </c>
      <c r="L183" t="n">
        <v>0</v>
      </c>
      <c r="M183" t="n">
        <v>0</v>
      </c>
      <c r="N183" t="n">
        <v>0</v>
      </c>
      <c r="O183" t="n">
        <v>1</v>
      </c>
      <c r="P183" t="n">
        <v>0</v>
      </c>
      <c r="Q183" t="n">
        <v>1</v>
      </c>
      <c r="R183" s="2" t="inlineStr">
        <is>
          <t>Lunglav</t>
        </is>
      </c>
      <c r="S183">
        <f>HYPERLINK("https://klasma.github.io/Logging_1737/artfynd/A 40541-2024 artfynd.xlsx", "A 40541-2024")</f>
        <v/>
      </c>
      <c r="T183">
        <f>HYPERLINK("https://klasma.github.io/Logging_1737/kartor/A 40541-2024 karta.png", "A 40541-2024")</f>
        <v/>
      </c>
      <c r="V183">
        <f>HYPERLINK("https://klasma.github.io/Logging_1737/klagomål/A 40541-2024 FSC-klagomål.docx", "A 40541-2024")</f>
        <v/>
      </c>
      <c r="W183">
        <f>HYPERLINK("https://klasma.github.io/Logging_1737/klagomålsmail/A 40541-2024 FSC-klagomål mail.docx", "A 40541-2024")</f>
        <v/>
      </c>
      <c r="X183">
        <f>HYPERLINK("https://klasma.github.io/Logging_1737/tillsyn/A 40541-2024 tillsynsbegäran.docx", "A 40541-2024")</f>
        <v/>
      </c>
      <c r="Y183">
        <f>HYPERLINK("https://klasma.github.io/Logging_1737/tillsynsmail/A 40541-2024 tillsynsbegäran mail.docx", "A 40541-2024")</f>
        <v/>
      </c>
    </row>
    <row r="184" ht="15" customHeight="1">
      <c r="A184" t="inlineStr">
        <is>
          <t>A 61251-2024</t>
        </is>
      </c>
      <c r="B184" s="1" t="n">
        <v>45645</v>
      </c>
      <c r="C184" s="1" t="n">
        <v>46191</v>
      </c>
      <c r="D184" t="inlineStr">
        <is>
          <t>VÄRMLANDS LÄN</t>
        </is>
      </c>
      <c r="E184" t="inlineStr">
        <is>
          <t>TORSBY</t>
        </is>
      </c>
      <c r="G184" t="n">
        <v>1.7</v>
      </c>
      <c r="H184" t="n">
        <v>0</v>
      </c>
      <c r="I184" t="n">
        <v>0</v>
      </c>
      <c r="J184" t="n">
        <v>1</v>
      </c>
      <c r="K184" t="n">
        <v>0</v>
      </c>
      <c r="L184" t="n">
        <v>0</v>
      </c>
      <c r="M184" t="n">
        <v>0</v>
      </c>
      <c r="N184" t="n">
        <v>0</v>
      </c>
      <c r="O184" t="n">
        <v>1</v>
      </c>
      <c r="P184" t="n">
        <v>0</v>
      </c>
      <c r="Q184" t="n">
        <v>1</v>
      </c>
      <c r="R184" s="2" t="inlineStr">
        <is>
          <t>Späd bäckmossa</t>
        </is>
      </c>
      <c r="S184">
        <f>HYPERLINK("https://klasma.github.io/Logging_1737/artfynd/A 61251-2024 artfynd.xlsx", "A 61251-2024")</f>
        <v/>
      </c>
      <c r="T184">
        <f>HYPERLINK("https://klasma.github.io/Logging_1737/kartor/A 61251-2024 karta.png", "A 61251-2024")</f>
        <v/>
      </c>
      <c r="V184">
        <f>HYPERLINK("https://klasma.github.io/Logging_1737/klagomål/A 61251-2024 FSC-klagomål.docx", "A 61251-2024")</f>
        <v/>
      </c>
      <c r="W184">
        <f>HYPERLINK("https://klasma.github.io/Logging_1737/klagomålsmail/A 61251-2024 FSC-klagomål mail.docx", "A 61251-2024")</f>
        <v/>
      </c>
      <c r="X184">
        <f>HYPERLINK("https://klasma.github.io/Logging_1737/tillsyn/A 61251-2024 tillsynsbegäran.docx", "A 61251-2024")</f>
        <v/>
      </c>
      <c r="Y184">
        <f>HYPERLINK("https://klasma.github.io/Logging_1737/tillsynsmail/A 61251-2024 tillsynsbegäran mail.docx", "A 61251-2024")</f>
        <v/>
      </c>
    </row>
    <row r="185" ht="15" customHeight="1">
      <c r="A185" t="inlineStr">
        <is>
          <t>A 26299-2026</t>
        </is>
      </c>
      <c r="B185" s="1" t="n">
        <v>46182</v>
      </c>
      <c r="C185" s="1" t="n">
        <v>46191</v>
      </c>
      <c r="D185" t="inlineStr">
        <is>
          <t>VÄRMLANDS LÄN</t>
        </is>
      </c>
      <c r="E185" t="inlineStr">
        <is>
          <t>TORSBY</t>
        </is>
      </c>
      <c r="G185" t="n">
        <v>3.4</v>
      </c>
      <c r="H185" t="n">
        <v>1</v>
      </c>
      <c r="I185" t="n">
        <v>0</v>
      </c>
      <c r="J185" t="n">
        <v>0</v>
      </c>
      <c r="K185" t="n">
        <v>0</v>
      </c>
      <c r="L185" t="n">
        <v>0</v>
      </c>
      <c r="M185" t="n">
        <v>0</v>
      </c>
      <c r="N185" t="n">
        <v>0</v>
      </c>
      <c r="O185" t="n">
        <v>0</v>
      </c>
      <c r="P185" t="n">
        <v>0</v>
      </c>
      <c r="Q185" t="n">
        <v>1</v>
      </c>
      <c r="R185" s="2" t="inlineStr">
        <is>
          <t>Törnskata</t>
        </is>
      </c>
      <c r="S185">
        <f>HYPERLINK("https://klasma.github.io/Logging_1737/artfynd/A 26299-2026 artfynd.xlsx", "A 26299-2026")</f>
        <v/>
      </c>
      <c r="T185">
        <f>HYPERLINK("https://klasma.github.io/Logging_1737/kartor/A 26299-2026 karta.png", "A 26299-2026")</f>
        <v/>
      </c>
      <c r="V185">
        <f>HYPERLINK("https://klasma.github.io/Logging_1737/klagomål/A 26299-2026 FSC-klagomål.docx", "A 26299-2026")</f>
        <v/>
      </c>
      <c r="W185">
        <f>HYPERLINK("https://klasma.github.io/Logging_1737/klagomålsmail/A 26299-2026 FSC-klagomål mail.docx", "A 26299-2026")</f>
        <v/>
      </c>
      <c r="X185">
        <f>HYPERLINK("https://klasma.github.io/Logging_1737/tillsyn/A 26299-2026 tillsynsbegäran.docx", "A 26299-2026")</f>
        <v/>
      </c>
      <c r="Y185">
        <f>HYPERLINK("https://klasma.github.io/Logging_1737/tillsynsmail/A 26299-2026 tillsynsbegäran mail.docx", "A 26299-2026")</f>
        <v/>
      </c>
      <c r="Z185">
        <f>HYPERLINK("https://klasma.github.io/Logging_1737/fåglar/A 26299-2026 prioriterade fågelarter.docx", "A 26299-2026")</f>
        <v/>
      </c>
    </row>
    <row r="186" ht="15" customHeight="1">
      <c r="A186" t="inlineStr">
        <is>
          <t>A 16572-2022</t>
        </is>
      </c>
      <c r="B186" s="1" t="n">
        <v>44672</v>
      </c>
      <c r="C186" s="1" t="n">
        <v>46191</v>
      </c>
      <c r="D186" t="inlineStr">
        <is>
          <t>VÄRMLANDS LÄN</t>
        </is>
      </c>
      <c r="E186" t="inlineStr">
        <is>
          <t>TORSBY</t>
        </is>
      </c>
      <c r="G186" t="n">
        <v>2.6</v>
      </c>
      <c r="H186" t="n">
        <v>0</v>
      </c>
      <c r="I186" t="n">
        <v>0</v>
      </c>
      <c r="J186" t="n">
        <v>1</v>
      </c>
      <c r="K186" t="n">
        <v>0</v>
      </c>
      <c r="L186" t="n">
        <v>0</v>
      </c>
      <c r="M186" t="n">
        <v>0</v>
      </c>
      <c r="N186" t="n">
        <v>0</v>
      </c>
      <c r="O186" t="n">
        <v>1</v>
      </c>
      <c r="P186" t="n">
        <v>0</v>
      </c>
      <c r="Q186" t="n">
        <v>1</v>
      </c>
      <c r="R186" s="2" t="inlineStr">
        <is>
          <t>Skogsklocka</t>
        </is>
      </c>
      <c r="S186">
        <f>HYPERLINK("https://klasma.github.io/Logging_1737/artfynd/A 16572-2022 artfynd.xlsx", "A 16572-2022")</f>
        <v/>
      </c>
      <c r="T186">
        <f>HYPERLINK("https://klasma.github.io/Logging_1737/kartor/A 16572-2022 karta.png", "A 16572-2022")</f>
        <v/>
      </c>
      <c r="V186">
        <f>HYPERLINK("https://klasma.github.io/Logging_1737/klagomål/A 16572-2022 FSC-klagomål.docx", "A 16572-2022")</f>
        <v/>
      </c>
      <c r="W186">
        <f>HYPERLINK("https://klasma.github.io/Logging_1737/klagomålsmail/A 16572-2022 FSC-klagomål mail.docx", "A 16572-2022")</f>
        <v/>
      </c>
      <c r="X186">
        <f>HYPERLINK("https://klasma.github.io/Logging_1737/tillsyn/A 16572-2022 tillsynsbegäran.docx", "A 16572-2022")</f>
        <v/>
      </c>
      <c r="Y186">
        <f>HYPERLINK("https://klasma.github.io/Logging_1737/tillsynsmail/A 16572-2022 tillsynsbegäran mail.docx", "A 16572-2022")</f>
        <v/>
      </c>
    </row>
    <row r="187" ht="15" customHeight="1">
      <c r="A187" t="inlineStr">
        <is>
          <t>A 20441-2026</t>
        </is>
      </c>
      <c r="B187" s="1" t="n">
        <v>46140</v>
      </c>
      <c r="C187" s="1" t="n">
        <v>46191</v>
      </c>
      <c r="D187" t="inlineStr">
        <is>
          <t>VÄRMLANDS LÄN</t>
        </is>
      </c>
      <c r="E187" t="inlineStr">
        <is>
          <t>TORSBY</t>
        </is>
      </c>
      <c r="G187" t="n">
        <v>4.8</v>
      </c>
      <c r="H187" t="n">
        <v>0</v>
      </c>
      <c r="I187" t="n">
        <v>0</v>
      </c>
      <c r="J187" t="n">
        <v>1</v>
      </c>
      <c r="K187" t="n">
        <v>0</v>
      </c>
      <c r="L187" t="n">
        <v>0</v>
      </c>
      <c r="M187" t="n">
        <v>0</v>
      </c>
      <c r="N187" t="n">
        <v>0</v>
      </c>
      <c r="O187" t="n">
        <v>1</v>
      </c>
      <c r="P187" t="n">
        <v>0</v>
      </c>
      <c r="Q187" t="n">
        <v>1</v>
      </c>
      <c r="R187" s="2" t="inlineStr">
        <is>
          <t>Kattfotslav</t>
        </is>
      </c>
      <c r="S187">
        <f>HYPERLINK("https://klasma.github.io/Logging_1737/artfynd/A 20441-2026 artfynd.xlsx", "A 20441-2026")</f>
        <v/>
      </c>
      <c r="T187">
        <f>HYPERLINK("https://klasma.github.io/Logging_1737/kartor/A 20441-2026 karta.png", "A 20441-2026")</f>
        <v/>
      </c>
      <c r="V187">
        <f>HYPERLINK("https://klasma.github.io/Logging_1737/klagomål/A 20441-2026 FSC-klagomål.docx", "A 20441-2026")</f>
        <v/>
      </c>
      <c r="W187">
        <f>HYPERLINK("https://klasma.github.io/Logging_1737/klagomålsmail/A 20441-2026 FSC-klagomål mail.docx", "A 20441-2026")</f>
        <v/>
      </c>
      <c r="X187">
        <f>HYPERLINK("https://klasma.github.io/Logging_1737/tillsyn/A 20441-2026 tillsynsbegäran.docx", "A 20441-2026")</f>
        <v/>
      </c>
      <c r="Y187">
        <f>HYPERLINK("https://klasma.github.io/Logging_1737/tillsynsmail/A 20441-2026 tillsynsbegäran mail.docx", "A 20441-2026")</f>
        <v/>
      </c>
    </row>
    <row r="188" ht="15" customHeight="1">
      <c r="A188" t="inlineStr">
        <is>
          <t>A 49724-2023</t>
        </is>
      </c>
      <c r="B188" s="1" t="n">
        <v>45208</v>
      </c>
      <c r="C188" s="1" t="n">
        <v>46191</v>
      </c>
      <c r="D188" t="inlineStr">
        <is>
          <t>VÄRMLANDS LÄN</t>
        </is>
      </c>
      <c r="E188" t="inlineStr">
        <is>
          <t>TORSBY</t>
        </is>
      </c>
      <c r="G188" t="n">
        <v>2.6</v>
      </c>
      <c r="H188" t="n">
        <v>0</v>
      </c>
      <c r="I188" t="n">
        <v>0</v>
      </c>
      <c r="J188" t="n">
        <v>0</v>
      </c>
      <c r="K188" t="n">
        <v>1</v>
      </c>
      <c r="L188" t="n">
        <v>0</v>
      </c>
      <c r="M188" t="n">
        <v>0</v>
      </c>
      <c r="N188" t="n">
        <v>0</v>
      </c>
      <c r="O188" t="n">
        <v>1</v>
      </c>
      <c r="P188" t="n">
        <v>1</v>
      </c>
      <c r="Q188" t="n">
        <v>1</v>
      </c>
      <c r="R188" s="2" t="inlineStr">
        <is>
          <t>Garnlav</t>
        </is>
      </c>
      <c r="S188">
        <f>HYPERLINK("https://klasma.github.io/Logging_1737/artfynd/A 49724-2023 artfynd.xlsx", "A 49724-2023")</f>
        <v/>
      </c>
      <c r="T188">
        <f>HYPERLINK("https://klasma.github.io/Logging_1737/kartor/A 49724-2023 karta.png", "A 49724-2023")</f>
        <v/>
      </c>
      <c r="V188">
        <f>HYPERLINK("https://klasma.github.io/Logging_1737/klagomål/A 49724-2023 FSC-klagomål.docx", "A 49724-2023")</f>
        <v/>
      </c>
      <c r="W188">
        <f>HYPERLINK("https://klasma.github.io/Logging_1737/klagomålsmail/A 49724-2023 FSC-klagomål mail.docx", "A 49724-2023")</f>
        <v/>
      </c>
      <c r="X188">
        <f>HYPERLINK("https://klasma.github.io/Logging_1737/tillsyn/A 49724-2023 tillsynsbegäran.docx", "A 49724-2023")</f>
        <v/>
      </c>
      <c r="Y188">
        <f>HYPERLINK("https://klasma.github.io/Logging_1737/tillsynsmail/A 49724-2023 tillsynsbegäran mail.docx", "A 49724-2023")</f>
        <v/>
      </c>
    </row>
    <row r="189" ht="15" customHeight="1">
      <c r="A189" t="inlineStr">
        <is>
          <t>A 29756-2025</t>
        </is>
      </c>
      <c r="B189" s="1" t="n">
        <v>45825</v>
      </c>
      <c r="C189" s="1" t="n">
        <v>46191</v>
      </c>
      <c r="D189" t="inlineStr">
        <is>
          <t>VÄRMLANDS LÄN</t>
        </is>
      </c>
      <c r="E189" t="inlineStr">
        <is>
          <t>TORSBY</t>
        </is>
      </c>
      <c r="G189" t="n">
        <v>6.9</v>
      </c>
      <c r="H189" t="n">
        <v>0</v>
      </c>
      <c r="I189" t="n">
        <v>0</v>
      </c>
      <c r="J189" t="n">
        <v>0</v>
      </c>
      <c r="K189" t="n">
        <v>1</v>
      </c>
      <c r="L189" t="n">
        <v>0</v>
      </c>
      <c r="M189" t="n">
        <v>0</v>
      </c>
      <c r="N189" t="n">
        <v>0</v>
      </c>
      <c r="O189" t="n">
        <v>1</v>
      </c>
      <c r="P189" t="n">
        <v>1</v>
      </c>
      <c r="Q189" t="n">
        <v>1</v>
      </c>
      <c r="R189" s="2" t="inlineStr">
        <is>
          <t>Garnlav</t>
        </is>
      </c>
      <c r="S189">
        <f>HYPERLINK("https://klasma.github.io/Logging_1737/artfynd/A 29756-2025 artfynd.xlsx", "A 29756-2025")</f>
        <v/>
      </c>
      <c r="T189">
        <f>HYPERLINK("https://klasma.github.io/Logging_1737/kartor/A 29756-2025 karta.png", "A 29756-2025")</f>
        <v/>
      </c>
      <c r="V189">
        <f>HYPERLINK("https://klasma.github.io/Logging_1737/klagomål/A 29756-2025 FSC-klagomål.docx", "A 29756-2025")</f>
        <v/>
      </c>
      <c r="W189">
        <f>HYPERLINK("https://klasma.github.io/Logging_1737/klagomålsmail/A 29756-2025 FSC-klagomål mail.docx", "A 29756-2025")</f>
        <v/>
      </c>
      <c r="X189">
        <f>HYPERLINK("https://klasma.github.io/Logging_1737/tillsyn/A 29756-2025 tillsynsbegäran.docx", "A 29756-2025")</f>
        <v/>
      </c>
      <c r="Y189">
        <f>HYPERLINK("https://klasma.github.io/Logging_1737/tillsynsmail/A 29756-2025 tillsynsbegäran mail.docx", "A 29756-2025")</f>
        <v/>
      </c>
    </row>
    <row r="190" ht="15" customHeight="1">
      <c r="A190" t="inlineStr">
        <is>
          <t>A 21178-2026</t>
        </is>
      </c>
      <c r="B190" s="1" t="n">
        <v>46146</v>
      </c>
      <c r="C190" s="1" t="n">
        <v>46191</v>
      </c>
      <c r="D190" t="inlineStr">
        <is>
          <t>VÄRMLANDS LÄN</t>
        </is>
      </c>
      <c r="E190" t="inlineStr">
        <is>
          <t>TORSBY</t>
        </is>
      </c>
      <c r="F190" t="inlineStr">
        <is>
          <t>Bergvik skog väst AB</t>
        </is>
      </c>
      <c r="G190" t="n">
        <v>3</v>
      </c>
      <c r="H190" t="n">
        <v>0</v>
      </c>
      <c r="I190" t="n">
        <v>0</v>
      </c>
      <c r="J190" t="n">
        <v>1</v>
      </c>
      <c r="K190" t="n">
        <v>0</v>
      </c>
      <c r="L190" t="n">
        <v>0</v>
      </c>
      <c r="M190" t="n">
        <v>0</v>
      </c>
      <c r="N190" t="n">
        <v>0</v>
      </c>
      <c r="O190" t="n">
        <v>1</v>
      </c>
      <c r="P190" t="n">
        <v>0</v>
      </c>
      <c r="Q190" t="n">
        <v>1</v>
      </c>
      <c r="R190" s="2" t="inlineStr">
        <is>
          <t>Vedskivlav</t>
        </is>
      </c>
      <c r="S190">
        <f>HYPERLINK("https://klasma.github.io/Logging_1737/artfynd/A 21178-2026 artfynd.xlsx", "A 21178-2026")</f>
        <v/>
      </c>
      <c r="T190">
        <f>HYPERLINK("https://klasma.github.io/Logging_1737/kartor/A 21178-2026 karta.png", "A 21178-2026")</f>
        <v/>
      </c>
      <c r="V190">
        <f>HYPERLINK("https://klasma.github.io/Logging_1737/klagomål/A 21178-2026 FSC-klagomål.docx", "A 21178-2026")</f>
        <v/>
      </c>
      <c r="W190">
        <f>HYPERLINK("https://klasma.github.io/Logging_1737/klagomålsmail/A 21178-2026 FSC-klagomål mail.docx", "A 21178-2026")</f>
        <v/>
      </c>
      <c r="X190">
        <f>HYPERLINK("https://klasma.github.io/Logging_1737/tillsyn/A 21178-2026 tillsynsbegäran.docx", "A 21178-2026")</f>
        <v/>
      </c>
      <c r="Y190">
        <f>HYPERLINK("https://klasma.github.io/Logging_1737/tillsynsmail/A 21178-2026 tillsynsbegäran mail.docx", "A 21178-2026")</f>
        <v/>
      </c>
    </row>
    <row r="191" ht="15" customHeight="1">
      <c r="A191" t="inlineStr">
        <is>
          <t>A 13359-2023</t>
        </is>
      </c>
      <c r="B191" s="1" t="n">
        <v>45005</v>
      </c>
      <c r="C191" s="1" t="n">
        <v>46191</v>
      </c>
      <c r="D191" t="inlineStr">
        <is>
          <t>VÄRMLANDS LÄN</t>
        </is>
      </c>
      <c r="E191" t="inlineStr">
        <is>
          <t>TORSBY</t>
        </is>
      </c>
      <c r="G191" t="n">
        <v>12.9</v>
      </c>
      <c r="H191" t="n">
        <v>0</v>
      </c>
      <c r="I191" t="n">
        <v>0</v>
      </c>
      <c r="J191" t="n">
        <v>1</v>
      </c>
      <c r="K191" t="n">
        <v>0</v>
      </c>
      <c r="L191" t="n">
        <v>0</v>
      </c>
      <c r="M191" t="n">
        <v>0</v>
      </c>
      <c r="N191" t="n">
        <v>0</v>
      </c>
      <c r="O191" t="n">
        <v>1</v>
      </c>
      <c r="P191" t="n">
        <v>0</v>
      </c>
      <c r="Q191" t="n">
        <v>1</v>
      </c>
      <c r="R191" s="2" t="inlineStr">
        <is>
          <t>Dropptaggsvamp</t>
        </is>
      </c>
      <c r="S191">
        <f>HYPERLINK("https://klasma.github.io/Logging_1737/artfynd/A 13359-2023 artfynd.xlsx", "A 13359-2023")</f>
        <v/>
      </c>
      <c r="T191">
        <f>HYPERLINK("https://klasma.github.io/Logging_1737/kartor/A 13359-2023 karta.png", "A 13359-2023")</f>
        <v/>
      </c>
      <c r="V191">
        <f>HYPERLINK("https://klasma.github.io/Logging_1737/klagomål/A 13359-2023 FSC-klagomål.docx", "A 13359-2023")</f>
        <v/>
      </c>
      <c r="W191">
        <f>HYPERLINK("https://klasma.github.io/Logging_1737/klagomålsmail/A 13359-2023 FSC-klagomål mail.docx", "A 13359-2023")</f>
        <v/>
      </c>
      <c r="X191">
        <f>HYPERLINK("https://klasma.github.io/Logging_1737/tillsyn/A 13359-2023 tillsynsbegäran.docx", "A 13359-2023")</f>
        <v/>
      </c>
      <c r="Y191">
        <f>HYPERLINK("https://klasma.github.io/Logging_1737/tillsynsmail/A 13359-2023 tillsynsbegäran mail.docx", "A 13359-2023")</f>
        <v/>
      </c>
    </row>
    <row r="192" ht="15" customHeight="1">
      <c r="A192" t="inlineStr">
        <is>
          <t>A 13361-2023</t>
        </is>
      </c>
      <c r="B192" s="1" t="n">
        <v>45005</v>
      </c>
      <c r="C192" s="1" t="n">
        <v>46191</v>
      </c>
      <c r="D192" t="inlineStr">
        <is>
          <t>VÄRMLANDS LÄN</t>
        </is>
      </c>
      <c r="E192" t="inlineStr">
        <is>
          <t>TORSBY</t>
        </is>
      </c>
      <c r="G192" t="n">
        <v>8.5</v>
      </c>
      <c r="H192" t="n">
        <v>0</v>
      </c>
      <c r="I192" t="n">
        <v>0</v>
      </c>
      <c r="J192" t="n">
        <v>1</v>
      </c>
      <c r="K192" t="n">
        <v>0</v>
      </c>
      <c r="L192" t="n">
        <v>0</v>
      </c>
      <c r="M192" t="n">
        <v>0</v>
      </c>
      <c r="N192" t="n">
        <v>0</v>
      </c>
      <c r="O192" t="n">
        <v>1</v>
      </c>
      <c r="P192" t="n">
        <v>0</v>
      </c>
      <c r="Q192" t="n">
        <v>1</v>
      </c>
      <c r="R192" s="2" t="inlineStr">
        <is>
          <t>Dropptaggsvamp</t>
        </is>
      </c>
      <c r="S192">
        <f>HYPERLINK("https://klasma.github.io/Logging_1737/artfynd/A 13361-2023 artfynd.xlsx", "A 13361-2023")</f>
        <v/>
      </c>
      <c r="T192">
        <f>HYPERLINK("https://klasma.github.io/Logging_1737/kartor/A 13361-2023 karta.png", "A 13361-2023")</f>
        <v/>
      </c>
      <c r="V192">
        <f>HYPERLINK("https://klasma.github.io/Logging_1737/klagomål/A 13361-2023 FSC-klagomål.docx", "A 13361-2023")</f>
        <v/>
      </c>
      <c r="W192">
        <f>HYPERLINK("https://klasma.github.io/Logging_1737/klagomålsmail/A 13361-2023 FSC-klagomål mail.docx", "A 13361-2023")</f>
        <v/>
      </c>
      <c r="X192">
        <f>HYPERLINK("https://klasma.github.io/Logging_1737/tillsyn/A 13361-2023 tillsynsbegäran.docx", "A 13361-2023")</f>
        <v/>
      </c>
      <c r="Y192">
        <f>HYPERLINK("https://klasma.github.io/Logging_1737/tillsynsmail/A 13361-2023 tillsynsbegäran mail.docx", "A 13361-2023")</f>
        <v/>
      </c>
    </row>
    <row r="193" ht="15" customHeight="1">
      <c r="A193" t="inlineStr">
        <is>
          <t>A 56133-2024</t>
        </is>
      </c>
      <c r="B193" s="1" t="n">
        <v>45624</v>
      </c>
      <c r="C193" s="1" t="n">
        <v>46191</v>
      </c>
      <c r="D193" t="inlineStr">
        <is>
          <t>VÄRMLANDS LÄN</t>
        </is>
      </c>
      <c r="E193" t="inlineStr">
        <is>
          <t>TORSBY</t>
        </is>
      </c>
      <c r="G193" t="n">
        <v>2.4</v>
      </c>
      <c r="H193" t="n">
        <v>0</v>
      </c>
      <c r="I193" t="n">
        <v>1</v>
      </c>
      <c r="J193" t="n">
        <v>0</v>
      </c>
      <c r="K193" t="n">
        <v>0</v>
      </c>
      <c r="L193" t="n">
        <v>0</v>
      </c>
      <c r="M193" t="n">
        <v>0</v>
      </c>
      <c r="N193" t="n">
        <v>0</v>
      </c>
      <c r="O193" t="n">
        <v>0</v>
      </c>
      <c r="P193" t="n">
        <v>0</v>
      </c>
      <c r="Q193" t="n">
        <v>1</v>
      </c>
      <c r="R193" s="2" t="inlineStr">
        <is>
          <t>Vedticka</t>
        </is>
      </c>
      <c r="S193">
        <f>HYPERLINK("https://klasma.github.io/Logging_1737/artfynd/A 56133-2024 artfynd.xlsx", "A 56133-2024")</f>
        <v/>
      </c>
      <c r="T193">
        <f>HYPERLINK("https://klasma.github.io/Logging_1737/kartor/A 56133-2024 karta.png", "A 56133-2024")</f>
        <v/>
      </c>
      <c r="V193">
        <f>HYPERLINK("https://klasma.github.io/Logging_1737/klagomål/A 56133-2024 FSC-klagomål.docx", "A 56133-2024")</f>
        <v/>
      </c>
      <c r="W193">
        <f>HYPERLINK("https://klasma.github.io/Logging_1737/klagomålsmail/A 56133-2024 FSC-klagomål mail.docx", "A 56133-2024")</f>
        <v/>
      </c>
      <c r="X193">
        <f>HYPERLINK("https://klasma.github.io/Logging_1737/tillsyn/A 56133-2024 tillsynsbegäran.docx", "A 56133-2024")</f>
        <v/>
      </c>
      <c r="Y193">
        <f>HYPERLINK("https://klasma.github.io/Logging_1737/tillsynsmail/A 56133-2024 tillsynsbegäran mail.docx", "A 56133-2024")</f>
        <v/>
      </c>
    </row>
    <row r="194" ht="15" customHeight="1">
      <c r="A194" t="inlineStr">
        <is>
          <t>A 54029-2024</t>
        </is>
      </c>
      <c r="B194" s="1" t="n">
        <v>45616</v>
      </c>
      <c r="C194" s="1" t="n">
        <v>46191</v>
      </c>
      <c r="D194" t="inlineStr">
        <is>
          <t>VÄRMLANDS LÄN</t>
        </is>
      </c>
      <c r="E194" t="inlineStr">
        <is>
          <t>TORSBY</t>
        </is>
      </c>
      <c r="G194" t="n">
        <v>10.2</v>
      </c>
      <c r="H194" t="n">
        <v>0</v>
      </c>
      <c r="I194" t="n">
        <v>1</v>
      </c>
      <c r="J194" t="n">
        <v>0</v>
      </c>
      <c r="K194" t="n">
        <v>0</v>
      </c>
      <c r="L194" t="n">
        <v>0</v>
      </c>
      <c r="M194" t="n">
        <v>0</v>
      </c>
      <c r="N194" t="n">
        <v>0</v>
      </c>
      <c r="O194" t="n">
        <v>0</v>
      </c>
      <c r="P194" t="n">
        <v>0</v>
      </c>
      <c r="Q194" t="n">
        <v>1</v>
      </c>
      <c r="R194" s="2" t="inlineStr">
        <is>
          <t>Vedticka</t>
        </is>
      </c>
      <c r="S194">
        <f>HYPERLINK("https://klasma.github.io/Logging_1737/artfynd/A 54029-2024 artfynd.xlsx", "A 54029-2024")</f>
        <v/>
      </c>
      <c r="T194">
        <f>HYPERLINK("https://klasma.github.io/Logging_1737/kartor/A 54029-2024 karta.png", "A 54029-2024")</f>
        <v/>
      </c>
      <c r="V194">
        <f>HYPERLINK("https://klasma.github.io/Logging_1737/klagomål/A 54029-2024 FSC-klagomål.docx", "A 54029-2024")</f>
        <v/>
      </c>
      <c r="W194">
        <f>HYPERLINK("https://klasma.github.io/Logging_1737/klagomålsmail/A 54029-2024 FSC-klagomål mail.docx", "A 54029-2024")</f>
        <v/>
      </c>
      <c r="X194">
        <f>HYPERLINK("https://klasma.github.io/Logging_1737/tillsyn/A 54029-2024 tillsynsbegäran.docx", "A 54029-2024")</f>
        <v/>
      </c>
      <c r="Y194">
        <f>HYPERLINK("https://klasma.github.io/Logging_1737/tillsynsmail/A 54029-2024 tillsynsbegäran mail.docx", "A 54029-2024")</f>
        <v/>
      </c>
    </row>
    <row r="195" ht="15" customHeight="1">
      <c r="A195" t="inlineStr">
        <is>
          <t>A 46099-2023</t>
        </is>
      </c>
      <c r="B195" s="1" t="n">
        <v>45196</v>
      </c>
      <c r="C195" s="1" t="n">
        <v>46191</v>
      </c>
      <c r="D195" t="inlineStr">
        <is>
          <t>VÄRMLANDS LÄN</t>
        </is>
      </c>
      <c r="E195" t="inlineStr">
        <is>
          <t>TORSBY</t>
        </is>
      </c>
      <c r="G195" t="n">
        <v>8.4</v>
      </c>
      <c r="H195" t="n">
        <v>0</v>
      </c>
      <c r="I195" t="n">
        <v>0</v>
      </c>
      <c r="J195" t="n">
        <v>1</v>
      </c>
      <c r="K195" t="n">
        <v>0</v>
      </c>
      <c r="L195" t="n">
        <v>0</v>
      </c>
      <c r="M195" t="n">
        <v>0</v>
      </c>
      <c r="N195" t="n">
        <v>0</v>
      </c>
      <c r="O195" t="n">
        <v>1</v>
      </c>
      <c r="P195" t="n">
        <v>0</v>
      </c>
      <c r="Q195" t="n">
        <v>1</v>
      </c>
      <c r="R195" s="2" t="inlineStr">
        <is>
          <t>Gammelgransskål</t>
        </is>
      </c>
      <c r="S195">
        <f>HYPERLINK("https://klasma.github.io/Logging_1737/artfynd/A 46099-2023 artfynd.xlsx", "A 46099-2023")</f>
        <v/>
      </c>
      <c r="T195">
        <f>HYPERLINK("https://klasma.github.io/Logging_1737/kartor/A 46099-2023 karta.png", "A 46099-2023")</f>
        <v/>
      </c>
      <c r="V195">
        <f>HYPERLINK("https://klasma.github.io/Logging_1737/klagomål/A 46099-2023 FSC-klagomål.docx", "A 46099-2023")</f>
        <v/>
      </c>
      <c r="W195">
        <f>HYPERLINK("https://klasma.github.io/Logging_1737/klagomålsmail/A 46099-2023 FSC-klagomål mail.docx", "A 46099-2023")</f>
        <v/>
      </c>
      <c r="X195">
        <f>HYPERLINK("https://klasma.github.io/Logging_1737/tillsyn/A 46099-2023 tillsynsbegäran.docx", "A 46099-2023")</f>
        <v/>
      </c>
      <c r="Y195">
        <f>HYPERLINK("https://klasma.github.io/Logging_1737/tillsynsmail/A 46099-2023 tillsynsbegäran mail.docx", "A 46099-2023")</f>
        <v/>
      </c>
    </row>
    <row r="196" ht="15" customHeight="1">
      <c r="A196" t="inlineStr">
        <is>
          <t>A 1811-2024</t>
        </is>
      </c>
      <c r="B196" s="1" t="n">
        <v>45307</v>
      </c>
      <c r="C196" s="1" t="n">
        <v>46191</v>
      </c>
      <c r="D196" t="inlineStr">
        <is>
          <t>VÄRMLANDS LÄN</t>
        </is>
      </c>
      <c r="E196" t="inlineStr">
        <is>
          <t>TORSBY</t>
        </is>
      </c>
      <c r="G196" t="n">
        <v>12.1</v>
      </c>
      <c r="H196" t="n">
        <v>1</v>
      </c>
      <c r="I196" t="n">
        <v>0</v>
      </c>
      <c r="J196" t="n">
        <v>0</v>
      </c>
      <c r="K196" t="n">
        <v>0</v>
      </c>
      <c r="L196" t="n">
        <v>0</v>
      </c>
      <c r="M196" t="n">
        <v>0</v>
      </c>
      <c r="N196" t="n">
        <v>0</v>
      </c>
      <c r="O196" t="n">
        <v>0</v>
      </c>
      <c r="P196" t="n">
        <v>0</v>
      </c>
      <c r="Q196" t="n">
        <v>1</v>
      </c>
      <c r="R196" s="2" t="inlineStr">
        <is>
          <t>Revlummer</t>
        </is>
      </c>
      <c r="S196">
        <f>HYPERLINK("https://klasma.github.io/Logging_1737/artfynd/A 1811-2024 artfynd.xlsx", "A 1811-2024")</f>
        <v/>
      </c>
      <c r="T196">
        <f>HYPERLINK("https://klasma.github.io/Logging_1737/kartor/A 1811-2024 karta.png", "A 1811-2024")</f>
        <v/>
      </c>
      <c r="V196">
        <f>HYPERLINK("https://klasma.github.io/Logging_1737/klagomål/A 1811-2024 FSC-klagomål.docx", "A 1811-2024")</f>
        <v/>
      </c>
      <c r="W196">
        <f>HYPERLINK("https://klasma.github.io/Logging_1737/klagomålsmail/A 1811-2024 FSC-klagomål mail.docx", "A 1811-2024")</f>
        <v/>
      </c>
      <c r="X196">
        <f>HYPERLINK("https://klasma.github.io/Logging_1737/tillsyn/A 1811-2024 tillsynsbegäran.docx", "A 1811-2024")</f>
        <v/>
      </c>
      <c r="Y196">
        <f>HYPERLINK("https://klasma.github.io/Logging_1737/tillsynsmail/A 1811-2024 tillsynsbegäran mail.docx", "A 1811-2024")</f>
        <v/>
      </c>
    </row>
    <row r="197" ht="15" customHeight="1">
      <c r="A197" t="inlineStr">
        <is>
          <t>A 5726-2025</t>
        </is>
      </c>
      <c r="B197" s="1" t="n">
        <v>45694</v>
      </c>
      <c r="C197" s="1" t="n">
        <v>46191</v>
      </c>
      <c r="D197" t="inlineStr">
        <is>
          <t>VÄRMLANDS LÄN</t>
        </is>
      </c>
      <c r="E197" t="inlineStr">
        <is>
          <t>TORSBY</t>
        </is>
      </c>
      <c r="G197" t="n">
        <v>3.5</v>
      </c>
      <c r="H197" t="n">
        <v>0</v>
      </c>
      <c r="I197" t="n">
        <v>1</v>
      </c>
      <c r="J197" t="n">
        <v>0</v>
      </c>
      <c r="K197" t="n">
        <v>0</v>
      </c>
      <c r="L197" t="n">
        <v>0</v>
      </c>
      <c r="M197" t="n">
        <v>0</v>
      </c>
      <c r="N197" t="n">
        <v>0</v>
      </c>
      <c r="O197" t="n">
        <v>0</v>
      </c>
      <c r="P197" t="n">
        <v>0</v>
      </c>
      <c r="Q197" t="n">
        <v>1</v>
      </c>
      <c r="R197" s="2" t="inlineStr">
        <is>
          <t>Vedticka</t>
        </is>
      </c>
      <c r="S197">
        <f>HYPERLINK("https://klasma.github.io/Logging_1737/artfynd/A 5726-2025 artfynd.xlsx", "A 5726-2025")</f>
        <v/>
      </c>
      <c r="T197">
        <f>HYPERLINK("https://klasma.github.io/Logging_1737/kartor/A 5726-2025 karta.png", "A 5726-2025")</f>
        <v/>
      </c>
      <c r="V197">
        <f>HYPERLINK("https://klasma.github.io/Logging_1737/klagomål/A 5726-2025 FSC-klagomål.docx", "A 5726-2025")</f>
        <v/>
      </c>
      <c r="W197">
        <f>HYPERLINK("https://klasma.github.io/Logging_1737/klagomålsmail/A 5726-2025 FSC-klagomål mail.docx", "A 5726-2025")</f>
        <v/>
      </c>
      <c r="X197">
        <f>HYPERLINK("https://klasma.github.io/Logging_1737/tillsyn/A 5726-2025 tillsynsbegäran.docx", "A 5726-2025")</f>
        <v/>
      </c>
      <c r="Y197">
        <f>HYPERLINK("https://klasma.github.io/Logging_1737/tillsynsmail/A 5726-2025 tillsynsbegäran mail.docx", "A 5726-2025")</f>
        <v/>
      </c>
    </row>
    <row r="198" ht="15" customHeight="1">
      <c r="A198" t="inlineStr">
        <is>
          <t>A 47689-2024</t>
        </is>
      </c>
      <c r="B198" s="1" t="n">
        <v>45588</v>
      </c>
      <c r="C198" s="1" t="n">
        <v>46191</v>
      </c>
      <c r="D198" t="inlineStr">
        <is>
          <t>VÄRMLANDS LÄN</t>
        </is>
      </c>
      <c r="E198" t="inlineStr">
        <is>
          <t>TORSBY</t>
        </is>
      </c>
      <c r="G198" t="n">
        <v>3.1</v>
      </c>
      <c r="H198" t="n">
        <v>0</v>
      </c>
      <c r="I198" t="n">
        <v>0</v>
      </c>
      <c r="J198" t="n">
        <v>0</v>
      </c>
      <c r="K198" t="n">
        <v>1</v>
      </c>
      <c r="L198" t="n">
        <v>0</v>
      </c>
      <c r="M198" t="n">
        <v>0</v>
      </c>
      <c r="N198" t="n">
        <v>0</v>
      </c>
      <c r="O198" t="n">
        <v>1</v>
      </c>
      <c r="P198" t="n">
        <v>1</v>
      </c>
      <c r="Q198" t="n">
        <v>1</v>
      </c>
      <c r="R198" s="2" t="inlineStr">
        <is>
          <t>Garnlav</t>
        </is>
      </c>
      <c r="S198">
        <f>HYPERLINK("https://klasma.github.io/Logging_1737/artfynd/A 47689-2024 artfynd.xlsx", "A 47689-2024")</f>
        <v/>
      </c>
      <c r="T198">
        <f>HYPERLINK("https://klasma.github.io/Logging_1737/kartor/A 47689-2024 karta.png", "A 47689-2024")</f>
        <v/>
      </c>
      <c r="V198">
        <f>HYPERLINK("https://klasma.github.io/Logging_1737/klagomål/A 47689-2024 FSC-klagomål.docx", "A 47689-2024")</f>
        <v/>
      </c>
      <c r="W198">
        <f>HYPERLINK("https://klasma.github.io/Logging_1737/klagomålsmail/A 47689-2024 FSC-klagomål mail.docx", "A 47689-2024")</f>
        <v/>
      </c>
      <c r="X198">
        <f>HYPERLINK("https://klasma.github.io/Logging_1737/tillsyn/A 47689-2024 tillsynsbegäran.docx", "A 47689-2024")</f>
        <v/>
      </c>
      <c r="Y198">
        <f>HYPERLINK("https://klasma.github.io/Logging_1737/tillsynsmail/A 47689-2024 tillsynsbegäran mail.docx", "A 47689-2024")</f>
        <v/>
      </c>
    </row>
    <row r="199" ht="15" customHeight="1">
      <c r="A199" t="inlineStr">
        <is>
          <t>A 1435-2025</t>
        </is>
      </c>
      <c r="B199" s="1" t="n">
        <v>45669</v>
      </c>
      <c r="C199" s="1" t="n">
        <v>46191</v>
      </c>
      <c r="D199" t="inlineStr">
        <is>
          <t>VÄRMLANDS LÄN</t>
        </is>
      </c>
      <c r="E199" t="inlineStr">
        <is>
          <t>TORSBY</t>
        </is>
      </c>
      <c r="G199" t="n">
        <v>5</v>
      </c>
      <c r="H199" t="n">
        <v>0</v>
      </c>
      <c r="I199" t="n">
        <v>0</v>
      </c>
      <c r="J199" t="n">
        <v>1</v>
      </c>
      <c r="K199" t="n">
        <v>0</v>
      </c>
      <c r="L199" t="n">
        <v>0</v>
      </c>
      <c r="M199" t="n">
        <v>0</v>
      </c>
      <c r="N199" t="n">
        <v>0</v>
      </c>
      <c r="O199" t="n">
        <v>1</v>
      </c>
      <c r="P199" t="n">
        <v>0</v>
      </c>
      <c r="Q199" t="n">
        <v>1</v>
      </c>
      <c r="R199" s="2" t="inlineStr">
        <is>
          <t>Kattfotslav</t>
        </is>
      </c>
      <c r="S199">
        <f>HYPERLINK("https://klasma.github.io/Logging_1737/artfynd/A 1435-2025 artfynd.xlsx", "A 1435-2025")</f>
        <v/>
      </c>
      <c r="T199">
        <f>HYPERLINK("https://klasma.github.io/Logging_1737/kartor/A 1435-2025 karta.png", "A 1435-2025")</f>
        <v/>
      </c>
      <c r="V199">
        <f>HYPERLINK("https://klasma.github.io/Logging_1737/klagomål/A 1435-2025 FSC-klagomål.docx", "A 1435-2025")</f>
        <v/>
      </c>
      <c r="W199">
        <f>HYPERLINK("https://klasma.github.io/Logging_1737/klagomålsmail/A 1435-2025 FSC-klagomål mail.docx", "A 1435-2025")</f>
        <v/>
      </c>
      <c r="X199">
        <f>HYPERLINK("https://klasma.github.io/Logging_1737/tillsyn/A 1435-2025 tillsynsbegäran.docx", "A 1435-2025")</f>
        <v/>
      </c>
      <c r="Y199">
        <f>HYPERLINK("https://klasma.github.io/Logging_1737/tillsynsmail/A 1435-2025 tillsynsbegäran mail.docx", "A 1435-2025")</f>
        <v/>
      </c>
    </row>
    <row r="200" ht="15" customHeight="1">
      <c r="A200" t="inlineStr">
        <is>
          <t>A 47077-2023</t>
        </is>
      </c>
      <c r="B200" s="1" t="n">
        <v>45201</v>
      </c>
      <c r="C200" s="1" t="n">
        <v>46191</v>
      </c>
      <c r="D200" t="inlineStr">
        <is>
          <t>VÄRMLANDS LÄN</t>
        </is>
      </c>
      <c r="E200" t="inlineStr">
        <is>
          <t>TORSBY</t>
        </is>
      </c>
      <c r="G200" t="n">
        <v>2.1</v>
      </c>
      <c r="H200" t="n">
        <v>0</v>
      </c>
      <c r="I200" t="n">
        <v>0</v>
      </c>
      <c r="J200" t="n">
        <v>1</v>
      </c>
      <c r="K200" t="n">
        <v>0</v>
      </c>
      <c r="L200" t="n">
        <v>0</v>
      </c>
      <c r="M200" t="n">
        <v>0</v>
      </c>
      <c r="N200" t="n">
        <v>0</v>
      </c>
      <c r="O200" t="n">
        <v>1</v>
      </c>
      <c r="P200" t="n">
        <v>0</v>
      </c>
      <c r="Q200" t="n">
        <v>1</v>
      </c>
      <c r="R200" s="2" t="inlineStr">
        <is>
          <t>Slåtterfibbla</t>
        </is>
      </c>
      <c r="S200">
        <f>HYPERLINK("https://klasma.github.io/Logging_1737/artfynd/A 47077-2023 artfynd.xlsx", "A 47077-2023")</f>
        <v/>
      </c>
      <c r="T200">
        <f>HYPERLINK("https://klasma.github.io/Logging_1737/kartor/A 47077-2023 karta.png", "A 47077-2023")</f>
        <v/>
      </c>
      <c r="V200">
        <f>HYPERLINK("https://klasma.github.io/Logging_1737/klagomål/A 47077-2023 FSC-klagomål.docx", "A 47077-2023")</f>
        <v/>
      </c>
      <c r="W200">
        <f>HYPERLINK("https://klasma.github.io/Logging_1737/klagomålsmail/A 47077-2023 FSC-klagomål mail.docx", "A 47077-2023")</f>
        <v/>
      </c>
      <c r="X200">
        <f>HYPERLINK("https://klasma.github.io/Logging_1737/tillsyn/A 47077-2023 tillsynsbegäran.docx", "A 47077-2023")</f>
        <v/>
      </c>
      <c r="Y200">
        <f>HYPERLINK("https://klasma.github.io/Logging_1737/tillsynsmail/A 47077-2023 tillsynsbegäran mail.docx", "A 47077-2023")</f>
        <v/>
      </c>
    </row>
    <row r="201" ht="15" customHeight="1">
      <c r="A201" t="inlineStr">
        <is>
          <t>A 15548-2023</t>
        </is>
      </c>
      <c r="B201" s="1" t="n">
        <v>45020</v>
      </c>
      <c r="C201" s="1" t="n">
        <v>46191</v>
      </c>
      <c r="D201" t="inlineStr">
        <is>
          <t>VÄRMLANDS LÄN</t>
        </is>
      </c>
      <c r="E201" t="inlineStr">
        <is>
          <t>TORSBY</t>
        </is>
      </c>
      <c r="G201" t="n">
        <v>0.6</v>
      </c>
      <c r="H201" t="n">
        <v>1</v>
      </c>
      <c r="I201" t="n">
        <v>0</v>
      </c>
      <c r="J201" t="n">
        <v>0</v>
      </c>
      <c r="K201" t="n">
        <v>0</v>
      </c>
      <c r="L201" t="n">
        <v>0</v>
      </c>
      <c r="M201" t="n">
        <v>0</v>
      </c>
      <c r="N201" t="n">
        <v>0</v>
      </c>
      <c r="O201" t="n">
        <v>0</v>
      </c>
      <c r="P201" t="n">
        <v>0</v>
      </c>
      <c r="Q201" t="n">
        <v>1</v>
      </c>
      <c r="R201" s="2" t="inlineStr">
        <is>
          <t>Spillkråka</t>
        </is>
      </c>
      <c r="S201">
        <f>HYPERLINK("https://klasma.github.io/Logging_1737/artfynd/A 15548-2023 artfynd.xlsx", "A 15548-2023")</f>
        <v/>
      </c>
      <c r="T201">
        <f>HYPERLINK("https://klasma.github.io/Logging_1737/kartor/A 15548-2023 karta.png", "A 15548-2023")</f>
        <v/>
      </c>
      <c r="V201">
        <f>HYPERLINK("https://klasma.github.io/Logging_1737/klagomål/A 15548-2023 FSC-klagomål.docx", "A 15548-2023")</f>
        <v/>
      </c>
      <c r="W201">
        <f>HYPERLINK("https://klasma.github.io/Logging_1737/klagomålsmail/A 15548-2023 FSC-klagomål mail.docx", "A 15548-2023")</f>
        <v/>
      </c>
      <c r="X201">
        <f>HYPERLINK("https://klasma.github.io/Logging_1737/tillsyn/A 15548-2023 tillsynsbegäran.docx", "A 15548-2023")</f>
        <v/>
      </c>
      <c r="Y201">
        <f>HYPERLINK("https://klasma.github.io/Logging_1737/tillsynsmail/A 15548-2023 tillsynsbegäran mail.docx", "A 15548-2023")</f>
        <v/>
      </c>
      <c r="Z201">
        <f>HYPERLINK("https://klasma.github.io/Logging_1737/fåglar/A 15548-2023 prioriterade fågelarter.docx", "A 15548-2023")</f>
        <v/>
      </c>
    </row>
    <row r="202" ht="15" customHeight="1">
      <c r="A202" t="inlineStr">
        <is>
          <t>A 25802-2025</t>
        </is>
      </c>
      <c r="B202" s="1" t="n">
        <v>45804</v>
      </c>
      <c r="C202" s="1" t="n">
        <v>46191</v>
      </c>
      <c r="D202" t="inlineStr">
        <is>
          <t>VÄRMLANDS LÄN</t>
        </is>
      </c>
      <c r="E202" t="inlineStr">
        <is>
          <t>TORSBY</t>
        </is>
      </c>
      <c r="G202" t="n">
        <v>2.3</v>
      </c>
      <c r="H202" t="n">
        <v>0</v>
      </c>
      <c r="I202" t="n">
        <v>0</v>
      </c>
      <c r="J202" t="n">
        <v>1</v>
      </c>
      <c r="K202" t="n">
        <v>0</v>
      </c>
      <c r="L202" t="n">
        <v>0</v>
      </c>
      <c r="M202" t="n">
        <v>0</v>
      </c>
      <c r="N202" t="n">
        <v>0</v>
      </c>
      <c r="O202" t="n">
        <v>1</v>
      </c>
      <c r="P202" t="n">
        <v>0</v>
      </c>
      <c r="Q202" t="n">
        <v>1</v>
      </c>
      <c r="R202" s="2" t="inlineStr">
        <is>
          <t>Tallticka</t>
        </is>
      </c>
      <c r="S202">
        <f>HYPERLINK("https://klasma.github.io/Logging_1737/artfynd/A 25802-2025 artfynd.xlsx", "A 25802-2025")</f>
        <v/>
      </c>
      <c r="T202">
        <f>HYPERLINK("https://klasma.github.io/Logging_1737/kartor/A 25802-2025 karta.png", "A 25802-2025")</f>
        <v/>
      </c>
      <c r="V202">
        <f>HYPERLINK("https://klasma.github.io/Logging_1737/klagomål/A 25802-2025 FSC-klagomål.docx", "A 25802-2025")</f>
        <v/>
      </c>
      <c r="W202">
        <f>HYPERLINK("https://klasma.github.io/Logging_1737/klagomålsmail/A 25802-2025 FSC-klagomål mail.docx", "A 25802-2025")</f>
        <v/>
      </c>
      <c r="X202">
        <f>HYPERLINK("https://klasma.github.io/Logging_1737/tillsyn/A 25802-2025 tillsynsbegäran.docx", "A 25802-2025")</f>
        <v/>
      </c>
      <c r="Y202">
        <f>HYPERLINK("https://klasma.github.io/Logging_1737/tillsynsmail/A 25802-2025 tillsynsbegäran mail.docx", "A 25802-2025")</f>
        <v/>
      </c>
    </row>
    <row r="203" ht="15" customHeight="1">
      <c r="A203" t="inlineStr">
        <is>
          <t>A 27301-2025</t>
        </is>
      </c>
      <c r="B203" s="1" t="n">
        <v>45812</v>
      </c>
      <c r="C203" s="1" t="n">
        <v>46191</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HYPERLINK("https://klasma.github.io/Logging_1737/artfynd/A 27301-2025 artfynd.xlsx", "A 27301-2025")</f>
        <v/>
      </c>
      <c r="T203">
        <f>HYPERLINK("https://klasma.github.io/Logging_1737/kartor/A 27301-2025 karta.png", "A 27301-2025")</f>
        <v/>
      </c>
      <c r="V203">
        <f>HYPERLINK("https://klasma.github.io/Logging_1737/klagomål/A 27301-2025 FSC-klagomål.docx", "A 27301-2025")</f>
        <v/>
      </c>
      <c r="W203">
        <f>HYPERLINK("https://klasma.github.io/Logging_1737/klagomålsmail/A 27301-2025 FSC-klagomål mail.docx", "A 27301-2025")</f>
        <v/>
      </c>
      <c r="X203">
        <f>HYPERLINK("https://klasma.github.io/Logging_1737/tillsyn/A 27301-2025 tillsynsbegäran.docx", "A 27301-2025")</f>
        <v/>
      </c>
      <c r="Y203">
        <f>HYPERLINK("https://klasma.github.io/Logging_1737/tillsynsmail/A 27301-2025 tillsynsbegäran mail.docx", "A 27301-2025")</f>
        <v/>
      </c>
    </row>
    <row r="204" ht="15" customHeight="1">
      <c r="A204" t="inlineStr">
        <is>
          <t>A 27116-2025</t>
        </is>
      </c>
      <c r="B204" s="1" t="n">
        <v>45811</v>
      </c>
      <c r="C204" s="1" t="n">
        <v>46191</v>
      </c>
      <c r="D204" t="inlineStr">
        <is>
          <t>VÄRMLANDS LÄN</t>
        </is>
      </c>
      <c r="E204" t="inlineStr">
        <is>
          <t>TORSBY</t>
        </is>
      </c>
      <c r="G204" t="n">
        <v>6.2</v>
      </c>
      <c r="H204" t="n">
        <v>0</v>
      </c>
      <c r="I204" t="n">
        <v>0</v>
      </c>
      <c r="J204" t="n">
        <v>1</v>
      </c>
      <c r="K204" t="n">
        <v>0</v>
      </c>
      <c r="L204" t="n">
        <v>0</v>
      </c>
      <c r="M204" t="n">
        <v>0</v>
      </c>
      <c r="N204" t="n">
        <v>0</v>
      </c>
      <c r="O204" t="n">
        <v>1</v>
      </c>
      <c r="P204" t="n">
        <v>0</v>
      </c>
      <c r="Q204" t="n">
        <v>1</v>
      </c>
      <c r="R204" s="2" t="inlineStr">
        <is>
          <t>Bred trollknäppare</t>
        </is>
      </c>
      <c r="S204">
        <f>HYPERLINK("https://klasma.github.io/Logging_1737/artfynd/A 27116-2025 artfynd.xlsx", "A 27116-2025")</f>
        <v/>
      </c>
      <c r="T204">
        <f>HYPERLINK("https://klasma.github.io/Logging_1737/kartor/A 27116-2025 karta.png", "A 27116-2025")</f>
        <v/>
      </c>
      <c r="V204">
        <f>HYPERLINK("https://klasma.github.io/Logging_1737/klagomål/A 27116-2025 FSC-klagomål.docx", "A 27116-2025")</f>
        <v/>
      </c>
      <c r="W204">
        <f>HYPERLINK("https://klasma.github.io/Logging_1737/klagomålsmail/A 27116-2025 FSC-klagomål mail.docx", "A 27116-2025")</f>
        <v/>
      </c>
      <c r="X204">
        <f>HYPERLINK("https://klasma.github.io/Logging_1737/tillsyn/A 27116-2025 tillsynsbegäran.docx", "A 27116-2025")</f>
        <v/>
      </c>
      <c r="Y204">
        <f>HYPERLINK("https://klasma.github.io/Logging_1737/tillsynsmail/A 27116-2025 tillsynsbegäran mail.docx", "A 27116-2025")</f>
        <v/>
      </c>
    </row>
    <row r="205" ht="15" customHeight="1">
      <c r="A205" t="inlineStr">
        <is>
          <t>A 22635-2022</t>
        </is>
      </c>
      <c r="B205" s="1" t="n">
        <v>44714</v>
      </c>
      <c r="C205" s="1" t="n">
        <v>46191</v>
      </c>
      <c r="D205" t="inlineStr">
        <is>
          <t>VÄRMLANDS LÄN</t>
        </is>
      </c>
      <c r="E205" t="inlineStr">
        <is>
          <t>TORSBY</t>
        </is>
      </c>
      <c r="G205" t="n">
        <v>0.4</v>
      </c>
      <c r="H205" t="n">
        <v>0</v>
      </c>
      <c r="I205" t="n">
        <v>0</v>
      </c>
      <c r="J205" t="n">
        <v>0</v>
      </c>
      <c r="K205" t="n">
        <v>1</v>
      </c>
      <c r="L205" t="n">
        <v>0</v>
      </c>
      <c r="M205" t="n">
        <v>0</v>
      </c>
      <c r="N205" t="n">
        <v>0</v>
      </c>
      <c r="O205" t="n">
        <v>1</v>
      </c>
      <c r="P205" t="n">
        <v>1</v>
      </c>
      <c r="Q205" t="n">
        <v>1</v>
      </c>
      <c r="R205" s="2" t="inlineStr">
        <is>
          <t>Garnlav</t>
        </is>
      </c>
      <c r="S205">
        <f>HYPERLINK("https://klasma.github.io/Logging_1737/artfynd/A 22635-2022 artfynd.xlsx", "A 22635-2022")</f>
        <v/>
      </c>
      <c r="T205">
        <f>HYPERLINK("https://klasma.github.io/Logging_1737/kartor/A 22635-2022 karta.png", "A 22635-2022")</f>
        <v/>
      </c>
      <c r="V205">
        <f>HYPERLINK("https://klasma.github.io/Logging_1737/klagomål/A 22635-2022 FSC-klagomål.docx", "A 22635-2022")</f>
        <v/>
      </c>
      <c r="W205">
        <f>HYPERLINK("https://klasma.github.io/Logging_1737/klagomålsmail/A 22635-2022 FSC-klagomål mail.docx", "A 22635-2022")</f>
        <v/>
      </c>
      <c r="X205">
        <f>HYPERLINK("https://klasma.github.io/Logging_1737/tillsyn/A 22635-2022 tillsynsbegäran.docx", "A 22635-2022")</f>
        <v/>
      </c>
      <c r="Y205">
        <f>HYPERLINK("https://klasma.github.io/Logging_1737/tillsynsmail/A 22635-2022 tillsynsbegäran mail.docx", "A 22635-2022")</f>
        <v/>
      </c>
    </row>
    <row r="206" ht="15" customHeight="1">
      <c r="A206" t="inlineStr">
        <is>
          <t>A 16425-2022</t>
        </is>
      </c>
      <c r="B206" s="1" t="n">
        <v>44671</v>
      </c>
      <c r="C206" s="1" t="n">
        <v>46191</v>
      </c>
      <c r="D206" t="inlineStr">
        <is>
          <t>VÄRMLANDS LÄN</t>
        </is>
      </c>
      <c r="E206" t="inlineStr">
        <is>
          <t>TORSBY</t>
        </is>
      </c>
      <c r="G206" t="n">
        <v>3</v>
      </c>
      <c r="H206" t="n">
        <v>0</v>
      </c>
      <c r="I206" t="n">
        <v>0</v>
      </c>
      <c r="J206" t="n">
        <v>0</v>
      </c>
      <c r="K206" t="n">
        <v>1</v>
      </c>
      <c r="L206" t="n">
        <v>0</v>
      </c>
      <c r="M206" t="n">
        <v>0</v>
      </c>
      <c r="N206" t="n">
        <v>0</v>
      </c>
      <c r="O206" t="n">
        <v>1</v>
      </c>
      <c r="P206" t="n">
        <v>1</v>
      </c>
      <c r="Q206" t="n">
        <v>1</v>
      </c>
      <c r="R206" s="2" t="inlineStr">
        <is>
          <t>Stor skogsbäckmossa</t>
        </is>
      </c>
      <c r="S206">
        <f>HYPERLINK("https://klasma.github.io/Logging_1737/artfynd/A 16425-2022 artfynd.xlsx", "A 16425-2022")</f>
        <v/>
      </c>
      <c r="T206">
        <f>HYPERLINK("https://klasma.github.io/Logging_1737/kartor/A 16425-2022 karta.png", "A 16425-2022")</f>
        <v/>
      </c>
      <c r="V206">
        <f>HYPERLINK("https://klasma.github.io/Logging_1737/klagomål/A 16425-2022 FSC-klagomål.docx", "A 16425-2022")</f>
        <v/>
      </c>
      <c r="W206">
        <f>HYPERLINK("https://klasma.github.io/Logging_1737/klagomålsmail/A 16425-2022 FSC-klagomål mail.docx", "A 16425-2022")</f>
        <v/>
      </c>
      <c r="X206">
        <f>HYPERLINK("https://klasma.github.io/Logging_1737/tillsyn/A 16425-2022 tillsynsbegäran.docx", "A 16425-2022")</f>
        <v/>
      </c>
      <c r="Y206">
        <f>HYPERLINK("https://klasma.github.io/Logging_1737/tillsynsmail/A 16425-2022 tillsynsbegäran mail.docx", "A 16425-2022")</f>
        <v/>
      </c>
    </row>
    <row r="207" ht="15" customHeight="1">
      <c r="A207" t="inlineStr">
        <is>
          <t>A 32328-2025</t>
        </is>
      </c>
      <c r="B207" s="1" t="n">
        <v>45836</v>
      </c>
      <c r="C207" s="1" t="n">
        <v>46191</v>
      </c>
      <c r="D207" t="inlineStr">
        <is>
          <t>VÄRMLANDS LÄN</t>
        </is>
      </c>
      <c r="E207" t="inlineStr">
        <is>
          <t>TORSBY</t>
        </is>
      </c>
      <c r="G207" t="n">
        <v>1.1</v>
      </c>
      <c r="H207" t="n">
        <v>0</v>
      </c>
      <c r="I207" t="n">
        <v>0</v>
      </c>
      <c r="J207" t="n">
        <v>1</v>
      </c>
      <c r="K207" t="n">
        <v>0</v>
      </c>
      <c r="L207" t="n">
        <v>0</v>
      </c>
      <c r="M207" t="n">
        <v>0</v>
      </c>
      <c r="N207" t="n">
        <v>0</v>
      </c>
      <c r="O207" t="n">
        <v>1</v>
      </c>
      <c r="P207" t="n">
        <v>0</v>
      </c>
      <c r="Q207" t="n">
        <v>1</v>
      </c>
      <c r="R207" s="2" t="inlineStr">
        <is>
          <t>Ullticka</t>
        </is>
      </c>
      <c r="S207">
        <f>HYPERLINK("https://klasma.github.io/Logging_1737/artfynd/A 32328-2025 artfynd.xlsx", "A 32328-2025")</f>
        <v/>
      </c>
      <c r="T207">
        <f>HYPERLINK("https://klasma.github.io/Logging_1737/kartor/A 32328-2025 karta.png", "A 32328-2025")</f>
        <v/>
      </c>
      <c r="V207">
        <f>HYPERLINK("https://klasma.github.io/Logging_1737/klagomål/A 32328-2025 FSC-klagomål.docx", "A 32328-2025")</f>
        <v/>
      </c>
      <c r="W207">
        <f>HYPERLINK("https://klasma.github.io/Logging_1737/klagomålsmail/A 32328-2025 FSC-klagomål mail.docx", "A 32328-2025")</f>
        <v/>
      </c>
      <c r="X207">
        <f>HYPERLINK("https://klasma.github.io/Logging_1737/tillsyn/A 32328-2025 tillsynsbegäran.docx", "A 32328-2025")</f>
        <v/>
      </c>
      <c r="Y207">
        <f>HYPERLINK("https://klasma.github.io/Logging_1737/tillsynsmail/A 32328-2025 tillsynsbegäran mail.docx", "A 32328-2025")</f>
        <v/>
      </c>
    </row>
    <row r="208" ht="15" customHeight="1">
      <c r="A208" t="inlineStr">
        <is>
          <t>A 32348-2025</t>
        </is>
      </c>
      <c r="B208" s="1" t="n">
        <v>45837</v>
      </c>
      <c r="C208" s="1" t="n">
        <v>46191</v>
      </c>
      <c r="D208" t="inlineStr">
        <is>
          <t>VÄRMLANDS LÄN</t>
        </is>
      </c>
      <c r="E208" t="inlineStr">
        <is>
          <t>TORSBY</t>
        </is>
      </c>
      <c r="G208" t="n">
        <v>9.300000000000001</v>
      </c>
      <c r="H208" t="n">
        <v>1</v>
      </c>
      <c r="I208" t="n">
        <v>0</v>
      </c>
      <c r="J208" t="n">
        <v>0</v>
      </c>
      <c r="K208" t="n">
        <v>0</v>
      </c>
      <c r="L208" t="n">
        <v>0</v>
      </c>
      <c r="M208" t="n">
        <v>0</v>
      </c>
      <c r="N208" t="n">
        <v>0</v>
      </c>
      <c r="O208" t="n">
        <v>0</v>
      </c>
      <c r="P208" t="n">
        <v>0</v>
      </c>
      <c r="Q208" t="n">
        <v>1</v>
      </c>
      <c r="R208" s="2" t="inlineStr">
        <is>
          <t>Ängsnycklar</t>
        </is>
      </c>
      <c r="S208">
        <f>HYPERLINK("https://klasma.github.io/Logging_1737/artfynd/A 32348-2025 artfynd.xlsx", "A 32348-2025")</f>
        <v/>
      </c>
      <c r="T208">
        <f>HYPERLINK("https://klasma.github.io/Logging_1737/kartor/A 32348-2025 karta.png", "A 32348-2025")</f>
        <v/>
      </c>
      <c r="V208">
        <f>HYPERLINK("https://klasma.github.io/Logging_1737/klagomål/A 32348-2025 FSC-klagomål.docx", "A 32348-2025")</f>
        <v/>
      </c>
      <c r="W208">
        <f>HYPERLINK("https://klasma.github.io/Logging_1737/klagomålsmail/A 32348-2025 FSC-klagomål mail.docx", "A 32348-2025")</f>
        <v/>
      </c>
      <c r="X208">
        <f>HYPERLINK("https://klasma.github.io/Logging_1737/tillsyn/A 32348-2025 tillsynsbegäran.docx", "A 32348-2025")</f>
        <v/>
      </c>
      <c r="Y208">
        <f>HYPERLINK("https://klasma.github.io/Logging_1737/tillsynsmail/A 32348-2025 tillsynsbegäran mail.docx", "A 32348-2025")</f>
        <v/>
      </c>
    </row>
    <row r="209" ht="15" customHeight="1">
      <c r="A209" t="inlineStr">
        <is>
          <t>A 39681-2023</t>
        </is>
      </c>
      <c r="B209" s="1" t="n">
        <v>45167</v>
      </c>
      <c r="C209" s="1" t="n">
        <v>46191</v>
      </c>
      <c r="D209" t="inlineStr">
        <is>
          <t>VÄRMLANDS LÄN</t>
        </is>
      </c>
      <c r="E209" t="inlineStr">
        <is>
          <t>TORSBY</t>
        </is>
      </c>
      <c r="G209" t="n">
        <v>5.2</v>
      </c>
      <c r="H209" t="n">
        <v>0</v>
      </c>
      <c r="I209" t="n">
        <v>0</v>
      </c>
      <c r="J209" t="n">
        <v>0</v>
      </c>
      <c r="K209" t="n">
        <v>1</v>
      </c>
      <c r="L209" t="n">
        <v>0</v>
      </c>
      <c r="M209" t="n">
        <v>0</v>
      </c>
      <c r="N209" t="n">
        <v>0</v>
      </c>
      <c r="O209" t="n">
        <v>1</v>
      </c>
      <c r="P209" t="n">
        <v>1</v>
      </c>
      <c r="Q209" t="n">
        <v>1</v>
      </c>
      <c r="R209" s="2" t="inlineStr">
        <is>
          <t>Garnlav</t>
        </is>
      </c>
      <c r="S209">
        <f>HYPERLINK("https://klasma.github.io/Logging_1737/artfynd/A 39681-2023 artfynd.xlsx", "A 39681-2023")</f>
        <v/>
      </c>
      <c r="T209">
        <f>HYPERLINK("https://klasma.github.io/Logging_1737/kartor/A 39681-2023 karta.png", "A 39681-2023")</f>
        <v/>
      </c>
      <c r="V209">
        <f>HYPERLINK("https://klasma.github.io/Logging_1737/klagomål/A 39681-2023 FSC-klagomål.docx", "A 39681-2023")</f>
        <v/>
      </c>
      <c r="W209">
        <f>HYPERLINK("https://klasma.github.io/Logging_1737/klagomålsmail/A 39681-2023 FSC-klagomål mail.docx", "A 39681-2023")</f>
        <v/>
      </c>
      <c r="X209">
        <f>HYPERLINK("https://klasma.github.io/Logging_1737/tillsyn/A 39681-2023 tillsynsbegäran.docx", "A 39681-2023")</f>
        <v/>
      </c>
      <c r="Y209">
        <f>HYPERLINK("https://klasma.github.io/Logging_1737/tillsynsmail/A 39681-2023 tillsynsbegäran mail.docx", "A 39681-2023")</f>
        <v/>
      </c>
    </row>
    <row r="210" ht="15" customHeight="1">
      <c r="A210" t="inlineStr">
        <is>
          <t>A 49110-2021</t>
        </is>
      </c>
      <c r="B210" s="1" t="n">
        <v>44453</v>
      </c>
      <c r="C210" s="1" t="n">
        <v>46191</v>
      </c>
      <c r="D210" t="inlineStr">
        <is>
          <t>VÄRMLANDS LÄN</t>
        </is>
      </c>
      <c r="E210" t="inlineStr">
        <is>
          <t>TORSBY</t>
        </is>
      </c>
      <c r="G210" t="n">
        <v>33.8</v>
      </c>
      <c r="H210" t="n">
        <v>0</v>
      </c>
      <c r="I210" t="n">
        <v>1</v>
      </c>
      <c r="J210" t="n">
        <v>0</v>
      </c>
      <c r="K210" t="n">
        <v>0</v>
      </c>
      <c r="L210" t="n">
        <v>0</v>
      </c>
      <c r="M210" t="n">
        <v>0</v>
      </c>
      <c r="N210" t="n">
        <v>0</v>
      </c>
      <c r="O210" t="n">
        <v>0</v>
      </c>
      <c r="P210" t="n">
        <v>0</v>
      </c>
      <c r="Q210" t="n">
        <v>1</v>
      </c>
      <c r="R210" s="2" t="inlineStr">
        <is>
          <t>Vedticka</t>
        </is>
      </c>
      <c r="S210">
        <f>HYPERLINK("https://klasma.github.io/Logging_1737/artfynd/A 49110-2021 artfynd.xlsx", "A 49110-2021")</f>
        <v/>
      </c>
      <c r="T210">
        <f>HYPERLINK("https://klasma.github.io/Logging_1737/kartor/A 49110-2021 karta.png", "A 49110-2021")</f>
        <v/>
      </c>
      <c r="V210">
        <f>HYPERLINK("https://klasma.github.io/Logging_1737/klagomål/A 49110-2021 FSC-klagomål.docx", "A 49110-2021")</f>
        <v/>
      </c>
      <c r="W210">
        <f>HYPERLINK("https://klasma.github.io/Logging_1737/klagomålsmail/A 49110-2021 FSC-klagomål mail.docx", "A 49110-2021")</f>
        <v/>
      </c>
      <c r="X210">
        <f>HYPERLINK("https://klasma.github.io/Logging_1737/tillsyn/A 49110-2021 tillsynsbegäran.docx", "A 49110-2021")</f>
        <v/>
      </c>
      <c r="Y210">
        <f>HYPERLINK("https://klasma.github.io/Logging_1737/tillsynsmail/A 49110-2021 tillsynsbegäran mail.docx", "A 49110-2021")</f>
        <v/>
      </c>
    </row>
    <row r="211" ht="15" customHeight="1">
      <c r="A211" t="inlineStr">
        <is>
          <t>A 21516-2022</t>
        </is>
      </c>
      <c r="B211" s="1" t="n">
        <v>44706</v>
      </c>
      <c r="C211" s="1" t="n">
        <v>46191</v>
      </c>
      <c r="D211" t="inlineStr">
        <is>
          <t>VÄRMLANDS LÄN</t>
        </is>
      </c>
      <c r="E211" t="inlineStr">
        <is>
          <t>TORSBY</t>
        </is>
      </c>
      <c r="G211" t="n">
        <v>2.2</v>
      </c>
      <c r="H211" t="n">
        <v>0</v>
      </c>
      <c r="I211" t="n">
        <v>1</v>
      </c>
      <c r="J211" t="n">
        <v>0</v>
      </c>
      <c r="K211" t="n">
        <v>0</v>
      </c>
      <c r="L211" t="n">
        <v>0</v>
      </c>
      <c r="M211" t="n">
        <v>0</v>
      </c>
      <c r="N211" t="n">
        <v>0</v>
      </c>
      <c r="O211" t="n">
        <v>0</v>
      </c>
      <c r="P211" t="n">
        <v>0</v>
      </c>
      <c r="Q211" t="n">
        <v>1</v>
      </c>
      <c r="R211" s="2" t="inlineStr">
        <is>
          <t>Vedticka</t>
        </is>
      </c>
      <c r="S211">
        <f>HYPERLINK("https://klasma.github.io/Logging_1737/artfynd/A 21516-2022 artfynd.xlsx", "A 21516-2022")</f>
        <v/>
      </c>
      <c r="T211">
        <f>HYPERLINK("https://klasma.github.io/Logging_1737/kartor/A 21516-2022 karta.png", "A 21516-2022")</f>
        <v/>
      </c>
      <c r="V211">
        <f>HYPERLINK("https://klasma.github.io/Logging_1737/klagomål/A 21516-2022 FSC-klagomål.docx", "A 21516-2022")</f>
        <v/>
      </c>
      <c r="W211">
        <f>HYPERLINK("https://klasma.github.io/Logging_1737/klagomålsmail/A 21516-2022 FSC-klagomål mail.docx", "A 21516-2022")</f>
        <v/>
      </c>
      <c r="X211">
        <f>HYPERLINK("https://klasma.github.io/Logging_1737/tillsyn/A 21516-2022 tillsynsbegäran.docx", "A 21516-2022")</f>
        <v/>
      </c>
      <c r="Y211">
        <f>HYPERLINK("https://klasma.github.io/Logging_1737/tillsynsmail/A 21516-2022 tillsynsbegäran mail.docx", "A 21516-2022")</f>
        <v/>
      </c>
    </row>
    <row r="212" ht="15" customHeight="1">
      <c r="A212" t="inlineStr">
        <is>
          <t>A 25276-2025</t>
        </is>
      </c>
      <c r="B212" s="1" t="n">
        <v>45800</v>
      </c>
      <c r="C212" s="1" t="n">
        <v>46191</v>
      </c>
      <c r="D212" t="inlineStr">
        <is>
          <t>VÄRMLANDS LÄN</t>
        </is>
      </c>
      <c r="E212" t="inlineStr">
        <is>
          <t>TORSBY</t>
        </is>
      </c>
      <c r="G212" t="n">
        <v>27.6</v>
      </c>
      <c r="H212" t="n">
        <v>0</v>
      </c>
      <c r="I212" t="n">
        <v>0</v>
      </c>
      <c r="J212" t="n">
        <v>1</v>
      </c>
      <c r="K212" t="n">
        <v>0</v>
      </c>
      <c r="L212" t="n">
        <v>0</v>
      </c>
      <c r="M212" t="n">
        <v>0</v>
      </c>
      <c r="N212" t="n">
        <v>0</v>
      </c>
      <c r="O212" t="n">
        <v>1</v>
      </c>
      <c r="P212" t="n">
        <v>0</v>
      </c>
      <c r="Q212" t="n">
        <v>1</v>
      </c>
      <c r="R212" s="2" t="inlineStr">
        <is>
          <t>Lunglav</t>
        </is>
      </c>
      <c r="S212">
        <f>HYPERLINK("https://klasma.github.io/Logging_1737/artfynd/A 25276-2025 artfynd.xlsx", "A 25276-2025")</f>
        <v/>
      </c>
      <c r="T212">
        <f>HYPERLINK("https://klasma.github.io/Logging_1737/kartor/A 25276-2025 karta.png", "A 25276-2025")</f>
        <v/>
      </c>
      <c r="V212">
        <f>HYPERLINK("https://klasma.github.io/Logging_1737/klagomål/A 25276-2025 FSC-klagomål.docx", "A 25276-2025")</f>
        <v/>
      </c>
      <c r="W212">
        <f>HYPERLINK("https://klasma.github.io/Logging_1737/klagomålsmail/A 25276-2025 FSC-klagomål mail.docx", "A 25276-2025")</f>
        <v/>
      </c>
      <c r="X212">
        <f>HYPERLINK("https://klasma.github.io/Logging_1737/tillsyn/A 25276-2025 tillsynsbegäran.docx", "A 25276-2025")</f>
        <v/>
      </c>
      <c r="Y212">
        <f>HYPERLINK("https://klasma.github.io/Logging_1737/tillsynsmail/A 25276-2025 tillsynsbegäran mail.docx", "A 25276-2025")</f>
        <v/>
      </c>
    </row>
    <row r="213" ht="15" customHeight="1">
      <c r="A213" t="inlineStr">
        <is>
          <t>A 26747-2023</t>
        </is>
      </c>
      <c r="B213" s="1" t="n">
        <v>45090</v>
      </c>
      <c r="C213" s="1" t="n">
        <v>46191</v>
      </c>
      <c r="D213" t="inlineStr">
        <is>
          <t>VÄRMLANDS LÄN</t>
        </is>
      </c>
      <c r="E213" t="inlineStr">
        <is>
          <t>TORSBY</t>
        </is>
      </c>
      <c r="F213" t="inlineStr">
        <is>
          <t>Övriga statliga verk och myndigheter</t>
        </is>
      </c>
      <c r="G213" t="n">
        <v>4.5</v>
      </c>
      <c r="H213" t="n">
        <v>0</v>
      </c>
      <c r="I213" t="n">
        <v>0</v>
      </c>
      <c r="J213" t="n">
        <v>0</v>
      </c>
      <c r="K213" t="n">
        <v>1</v>
      </c>
      <c r="L213" t="n">
        <v>0</v>
      </c>
      <c r="M213" t="n">
        <v>0</v>
      </c>
      <c r="N213" t="n">
        <v>0</v>
      </c>
      <c r="O213" t="n">
        <v>1</v>
      </c>
      <c r="P213" t="n">
        <v>1</v>
      </c>
      <c r="Q213" t="n">
        <v>1</v>
      </c>
      <c r="R213" s="2" t="inlineStr">
        <is>
          <t>Garnlav</t>
        </is>
      </c>
      <c r="S213">
        <f>HYPERLINK("https://klasma.github.io/Logging_1737/artfynd/A 26747-2023 artfynd.xlsx", "A 26747-2023")</f>
        <v/>
      </c>
      <c r="T213">
        <f>HYPERLINK("https://klasma.github.io/Logging_1737/kartor/A 26747-2023 karta.png", "A 26747-2023")</f>
        <v/>
      </c>
      <c r="V213">
        <f>HYPERLINK("https://klasma.github.io/Logging_1737/klagomål/A 26747-2023 FSC-klagomål.docx", "A 26747-2023")</f>
        <v/>
      </c>
      <c r="W213">
        <f>HYPERLINK("https://klasma.github.io/Logging_1737/klagomålsmail/A 26747-2023 FSC-klagomål mail.docx", "A 26747-2023")</f>
        <v/>
      </c>
      <c r="X213">
        <f>HYPERLINK("https://klasma.github.io/Logging_1737/tillsyn/A 26747-2023 tillsynsbegäran.docx", "A 26747-2023")</f>
        <v/>
      </c>
      <c r="Y213">
        <f>HYPERLINK("https://klasma.github.io/Logging_1737/tillsynsmail/A 26747-2023 tillsynsbegäran mail.docx", "A 26747-2023")</f>
        <v/>
      </c>
    </row>
    <row r="214" ht="15" customHeight="1">
      <c r="A214" t="inlineStr">
        <is>
          <t>A 37327-2025</t>
        </is>
      </c>
      <c r="B214" s="1" t="n">
        <v>45876</v>
      </c>
      <c r="C214" s="1" t="n">
        <v>46191</v>
      </c>
      <c r="D214" t="inlineStr">
        <is>
          <t>VÄRMLANDS LÄN</t>
        </is>
      </c>
      <c r="E214" t="inlineStr">
        <is>
          <t>TORSBY</t>
        </is>
      </c>
      <c r="G214" t="n">
        <v>2</v>
      </c>
      <c r="H214" t="n">
        <v>0</v>
      </c>
      <c r="I214" t="n">
        <v>0</v>
      </c>
      <c r="J214" t="n">
        <v>0</v>
      </c>
      <c r="K214" t="n">
        <v>1</v>
      </c>
      <c r="L214" t="n">
        <v>0</v>
      </c>
      <c r="M214" t="n">
        <v>0</v>
      </c>
      <c r="N214" t="n">
        <v>0</v>
      </c>
      <c r="O214" t="n">
        <v>1</v>
      </c>
      <c r="P214" t="n">
        <v>1</v>
      </c>
      <c r="Q214" t="n">
        <v>1</v>
      </c>
      <c r="R214" s="2" t="inlineStr">
        <is>
          <t>Garnlav</t>
        </is>
      </c>
      <c r="S214">
        <f>HYPERLINK("https://klasma.github.io/Logging_1737/artfynd/A 37327-2025 artfynd.xlsx", "A 37327-2025")</f>
        <v/>
      </c>
      <c r="T214">
        <f>HYPERLINK("https://klasma.github.io/Logging_1737/kartor/A 37327-2025 karta.png", "A 37327-2025")</f>
        <v/>
      </c>
      <c r="V214">
        <f>HYPERLINK("https://klasma.github.io/Logging_1737/klagomål/A 37327-2025 FSC-klagomål.docx", "A 37327-2025")</f>
        <v/>
      </c>
      <c r="W214">
        <f>HYPERLINK("https://klasma.github.io/Logging_1737/klagomålsmail/A 37327-2025 FSC-klagomål mail.docx", "A 37327-2025")</f>
        <v/>
      </c>
      <c r="X214">
        <f>HYPERLINK("https://klasma.github.io/Logging_1737/tillsyn/A 37327-2025 tillsynsbegäran.docx", "A 37327-2025")</f>
        <v/>
      </c>
      <c r="Y214">
        <f>HYPERLINK("https://klasma.github.io/Logging_1737/tillsynsmail/A 37327-2025 tillsynsbegäran mail.docx", "A 37327-2025")</f>
        <v/>
      </c>
    </row>
    <row r="215" ht="15" customHeight="1">
      <c r="A215" t="inlineStr">
        <is>
          <t>A 37548-2025</t>
        </is>
      </c>
      <c r="B215" s="1" t="n">
        <v>45879</v>
      </c>
      <c r="C215" s="1" t="n">
        <v>46191</v>
      </c>
      <c r="D215" t="inlineStr">
        <is>
          <t>VÄRMLANDS LÄN</t>
        </is>
      </c>
      <c r="E215" t="inlineStr">
        <is>
          <t>TORSBY</t>
        </is>
      </c>
      <c r="G215" t="n">
        <v>9.5</v>
      </c>
      <c r="H215" t="n">
        <v>1</v>
      </c>
      <c r="I215" t="n">
        <v>0</v>
      </c>
      <c r="J215" t="n">
        <v>1</v>
      </c>
      <c r="K215" t="n">
        <v>0</v>
      </c>
      <c r="L215" t="n">
        <v>0</v>
      </c>
      <c r="M215" t="n">
        <v>0</v>
      </c>
      <c r="N215" t="n">
        <v>0</v>
      </c>
      <c r="O215" t="n">
        <v>1</v>
      </c>
      <c r="P215" t="n">
        <v>0</v>
      </c>
      <c r="Q215" t="n">
        <v>1</v>
      </c>
      <c r="R215" s="2" t="inlineStr">
        <is>
          <t>Talltita</t>
        </is>
      </c>
      <c r="S215">
        <f>HYPERLINK("https://klasma.github.io/Logging_1737/artfynd/A 37548-2025 artfynd.xlsx", "A 37548-2025")</f>
        <v/>
      </c>
      <c r="T215">
        <f>HYPERLINK("https://klasma.github.io/Logging_1737/kartor/A 37548-2025 karta.png", "A 37548-2025")</f>
        <v/>
      </c>
      <c r="V215">
        <f>HYPERLINK("https://klasma.github.io/Logging_1737/klagomål/A 37548-2025 FSC-klagomål.docx", "A 37548-2025")</f>
        <v/>
      </c>
      <c r="W215">
        <f>HYPERLINK("https://klasma.github.io/Logging_1737/klagomålsmail/A 37548-2025 FSC-klagomål mail.docx", "A 37548-2025")</f>
        <v/>
      </c>
      <c r="X215">
        <f>HYPERLINK("https://klasma.github.io/Logging_1737/tillsyn/A 37548-2025 tillsynsbegäran.docx", "A 37548-2025")</f>
        <v/>
      </c>
      <c r="Y215">
        <f>HYPERLINK("https://klasma.github.io/Logging_1737/tillsynsmail/A 37548-2025 tillsynsbegäran mail.docx", "A 37548-2025")</f>
        <v/>
      </c>
      <c r="Z215">
        <f>HYPERLINK("https://klasma.github.io/Logging_1737/fåglar/A 37548-2025 prioriterade fågelarter.docx", "A 37548-2025")</f>
        <v/>
      </c>
    </row>
    <row r="216" ht="15" customHeight="1">
      <c r="A216" t="inlineStr">
        <is>
          <t>A 37699-2025</t>
        </is>
      </c>
      <c r="B216" s="1" t="n">
        <v>45880</v>
      </c>
      <c r="C216" s="1" t="n">
        <v>46191</v>
      </c>
      <c r="D216" t="inlineStr">
        <is>
          <t>VÄRMLANDS LÄN</t>
        </is>
      </c>
      <c r="E216" t="inlineStr">
        <is>
          <t>TORSBY</t>
        </is>
      </c>
      <c r="G216" t="n">
        <v>1.8</v>
      </c>
      <c r="H216" t="n">
        <v>1</v>
      </c>
      <c r="I216" t="n">
        <v>0</v>
      </c>
      <c r="J216" t="n">
        <v>0</v>
      </c>
      <c r="K216" t="n">
        <v>0</v>
      </c>
      <c r="L216" t="n">
        <v>1</v>
      </c>
      <c r="M216" t="n">
        <v>0</v>
      </c>
      <c r="N216" t="n">
        <v>0</v>
      </c>
      <c r="O216" t="n">
        <v>1</v>
      </c>
      <c r="P216" t="n">
        <v>1</v>
      </c>
      <c r="Q216" t="n">
        <v>1</v>
      </c>
      <c r="R216" s="2" t="inlineStr">
        <is>
          <t>Bombmurkla</t>
        </is>
      </c>
      <c r="S216">
        <f>HYPERLINK("https://klasma.github.io/Logging_1737/artfynd/A 37699-2025 artfynd.xlsx", "A 37699-2025")</f>
        <v/>
      </c>
      <c r="T216">
        <f>HYPERLINK("https://klasma.github.io/Logging_1737/kartor/A 37699-2025 karta.png", "A 37699-2025")</f>
        <v/>
      </c>
      <c r="V216">
        <f>HYPERLINK("https://klasma.github.io/Logging_1737/klagomål/A 37699-2025 FSC-klagomål.docx", "A 37699-2025")</f>
        <v/>
      </c>
      <c r="W216">
        <f>HYPERLINK("https://klasma.github.io/Logging_1737/klagomålsmail/A 37699-2025 FSC-klagomål mail.docx", "A 37699-2025")</f>
        <v/>
      </c>
      <c r="X216">
        <f>HYPERLINK("https://klasma.github.io/Logging_1737/tillsyn/A 37699-2025 tillsynsbegäran.docx", "A 37699-2025")</f>
        <v/>
      </c>
      <c r="Y216">
        <f>HYPERLINK("https://klasma.github.io/Logging_1737/tillsynsmail/A 37699-2025 tillsynsbegäran mail.docx", "A 37699-2025")</f>
        <v/>
      </c>
    </row>
    <row r="217" ht="15" customHeight="1">
      <c r="A217" t="inlineStr">
        <is>
          <t>A 54160-2022</t>
        </is>
      </c>
      <c r="B217" s="1" t="n">
        <v>44881</v>
      </c>
      <c r="C217" s="1" t="n">
        <v>46191</v>
      </c>
      <c r="D217" t="inlineStr">
        <is>
          <t>VÄRMLANDS LÄN</t>
        </is>
      </c>
      <c r="E217" t="inlineStr">
        <is>
          <t>TORSBY</t>
        </is>
      </c>
      <c r="G217" t="n">
        <v>1.3</v>
      </c>
      <c r="H217" t="n">
        <v>0</v>
      </c>
      <c r="I217" t="n">
        <v>0</v>
      </c>
      <c r="J217" t="n">
        <v>1</v>
      </c>
      <c r="K217" t="n">
        <v>0</v>
      </c>
      <c r="L217" t="n">
        <v>0</v>
      </c>
      <c r="M217" t="n">
        <v>0</v>
      </c>
      <c r="N217" t="n">
        <v>0</v>
      </c>
      <c r="O217" t="n">
        <v>1</v>
      </c>
      <c r="P217" t="n">
        <v>0</v>
      </c>
      <c r="Q217" t="n">
        <v>1</v>
      </c>
      <c r="R217" s="2" t="inlineStr">
        <is>
          <t>Gullklöver</t>
        </is>
      </c>
      <c r="S217">
        <f>HYPERLINK("https://klasma.github.io/Logging_1737/artfynd/A 54160-2022 artfynd.xlsx", "A 54160-2022")</f>
        <v/>
      </c>
      <c r="T217">
        <f>HYPERLINK("https://klasma.github.io/Logging_1737/kartor/A 54160-2022 karta.png", "A 54160-2022")</f>
        <v/>
      </c>
      <c r="V217">
        <f>HYPERLINK("https://klasma.github.io/Logging_1737/klagomål/A 54160-2022 FSC-klagomål.docx", "A 54160-2022")</f>
        <v/>
      </c>
      <c r="W217">
        <f>HYPERLINK("https://klasma.github.io/Logging_1737/klagomålsmail/A 54160-2022 FSC-klagomål mail.docx", "A 54160-2022")</f>
        <v/>
      </c>
      <c r="X217">
        <f>HYPERLINK("https://klasma.github.io/Logging_1737/tillsyn/A 54160-2022 tillsynsbegäran.docx", "A 54160-2022")</f>
        <v/>
      </c>
      <c r="Y217">
        <f>HYPERLINK("https://klasma.github.io/Logging_1737/tillsynsmail/A 54160-2022 tillsynsbegäran mail.docx", "A 54160-2022")</f>
        <v/>
      </c>
    </row>
    <row r="218" ht="15" customHeight="1">
      <c r="A218" t="inlineStr">
        <is>
          <t>A 39648-2023</t>
        </is>
      </c>
      <c r="B218" s="1" t="n">
        <v>45167</v>
      </c>
      <c r="C218" s="1" t="n">
        <v>46191</v>
      </c>
      <c r="D218" t="inlineStr">
        <is>
          <t>VÄRMLANDS LÄN</t>
        </is>
      </c>
      <c r="E218" t="inlineStr">
        <is>
          <t>TORSBY</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HYPERLINK("https://klasma.github.io/Logging_1737/artfynd/A 39648-2023 artfynd.xlsx", "A 39648-2023")</f>
        <v/>
      </c>
      <c r="T218">
        <f>HYPERLINK("https://klasma.github.io/Logging_1737/kartor/A 39648-2023 karta.png", "A 39648-2023")</f>
        <v/>
      </c>
      <c r="V218">
        <f>HYPERLINK("https://klasma.github.io/Logging_1737/klagomål/A 39648-2023 FSC-klagomål.docx", "A 39648-2023")</f>
        <v/>
      </c>
      <c r="W218">
        <f>HYPERLINK("https://klasma.github.io/Logging_1737/klagomålsmail/A 39648-2023 FSC-klagomål mail.docx", "A 39648-2023")</f>
        <v/>
      </c>
      <c r="X218">
        <f>HYPERLINK("https://klasma.github.io/Logging_1737/tillsyn/A 39648-2023 tillsynsbegäran.docx", "A 39648-2023")</f>
        <v/>
      </c>
      <c r="Y218">
        <f>HYPERLINK("https://klasma.github.io/Logging_1737/tillsynsmail/A 39648-2023 tillsynsbegäran mail.docx", "A 39648-2023")</f>
        <v/>
      </c>
    </row>
    <row r="219" ht="15" customHeight="1">
      <c r="A219" t="inlineStr">
        <is>
          <t>A 48324-2021</t>
        </is>
      </c>
      <c r="B219" s="1" t="n">
        <v>44450</v>
      </c>
      <c r="C219" s="1" t="n">
        <v>46191</v>
      </c>
      <c r="D219" t="inlineStr">
        <is>
          <t>VÄRMLANDS LÄN</t>
        </is>
      </c>
      <c r="E219" t="inlineStr">
        <is>
          <t>TORSBY</t>
        </is>
      </c>
      <c r="G219" t="n">
        <v>1.3</v>
      </c>
      <c r="H219" t="n">
        <v>0</v>
      </c>
      <c r="I219" t="n">
        <v>0</v>
      </c>
      <c r="J219" t="n">
        <v>0</v>
      </c>
      <c r="K219" t="n">
        <v>0</v>
      </c>
      <c r="L219" t="n">
        <v>0</v>
      </c>
      <c r="M219" t="n">
        <v>0</v>
      </c>
      <c r="N219" t="n">
        <v>0</v>
      </c>
      <c r="O219" t="n">
        <v>0</v>
      </c>
      <c r="P219" t="n">
        <v>0</v>
      </c>
      <c r="Q219" t="n">
        <v>0</v>
      </c>
      <c r="R219" s="2" t="inlineStr"/>
    </row>
    <row r="220" ht="15" customHeight="1">
      <c r="A220" t="inlineStr">
        <is>
          <t>A 49900-2021</t>
        </is>
      </c>
      <c r="B220" s="1" t="n">
        <v>44455</v>
      </c>
      <c r="C220" s="1" t="n">
        <v>46191</v>
      </c>
      <c r="D220" t="inlineStr">
        <is>
          <t>VÄRMLANDS LÄN</t>
        </is>
      </c>
      <c r="E220" t="inlineStr">
        <is>
          <t>TORSBY</t>
        </is>
      </c>
      <c r="G220" t="n">
        <v>4.1</v>
      </c>
      <c r="H220" t="n">
        <v>0</v>
      </c>
      <c r="I220" t="n">
        <v>0</v>
      </c>
      <c r="J220" t="n">
        <v>0</v>
      </c>
      <c r="K220" t="n">
        <v>0</v>
      </c>
      <c r="L220" t="n">
        <v>0</v>
      </c>
      <c r="M220" t="n">
        <v>0</v>
      </c>
      <c r="N220" t="n">
        <v>0</v>
      </c>
      <c r="O220" t="n">
        <v>0</v>
      </c>
      <c r="P220" t="n">
        <v>0</v>
      </c>
      <c r="Q220" t="n">
        <v>0</v>
      </c>
      <c r="R220" s="2" t="inlineStr"/>
    </row>
    <row r="221" ht="15" customHeight="1">
      <c r="A221" t="inlineStr">
        <is>
          <t>A 36189-2021</t>
        </is>
      </c>
      <c r="B221" s="1" t="n">
        <v>44389</v>
      </c>
      <c r="C221" s="1" t="n">
        <v>46191</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43022-2022</t>
        </is>
      </c>
      <c r="B222" s="1" t="n">
        <v>44833</v>
      </c>
      <c r="C222" s="1" t="n">
        <v>46191</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44149-2022</t>
        </is>
      </c>
      <c r="B223" s="1" t="n">
        <v>44839</v>
      </c>
      <c r="C223" s="1" t="n">
        <v>46191</v>
      </c>
      <c r="D223" t="inlineStr">
        <is>
          <t>VÄRMLANDS LÄN</t>
        </is>
      </c>
      <c r="E223" t="inlineStr">
        <is>
          <t>TORSBY</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52546-2022</t>
        </is>
      </c>
      <c r="B224" s="1" t="n">
        <v>44874</v>
      </c>
      <c r="C224" s="1" t="n">
        <v>46191</v>
      </c>
      <c r="D224" t="inlineStr">
        <is>
          <t>VÄRMLANDS LÄN</t>
        </is>
      </c>
      <c r="E224" t="inlineStr">
        <is>
          <t>TORSBY</t>
        </is>
      </c>
      <c r="G224" t="n">
        <v>2.6</v>
      </c>
      <c r="H224" t="n">
        <v>0</v>
      </c>
      <c r="I224" t="n">
        <v>0</v>
      </c>
      <c r="J224" t="n">
        <v>0</v>
      </c>
      <c r="K224" t="n">
        <v>0</v>
      </c>
      <c r="L224" t="n">
        <v>0</v>
      </c>
      <c r="M224" t="n">
        <v>0</v>
      </c>
      <c r="N224" t="n">
        <v>0</v>
      </c>
      <c r="O224" t="n">
        <v>0</v>
      </c>
      <c r="P224" t="n">
        <v>0</v>
      </c>
      <c r="Q224" t="n">
        <v>0</v>
      </c>
      <c r="R224" s="2" t="inlineStr"/>
    </row>
    <row r="225" ht="15" customHeight="1">
      <c r="A225" t="inlineStr">
        <is>
          <t>A 64780-2021</t>
        </is>
      </c>
      <c r="B225" s="1" t="n">
        <v>44512</v>
      </c>
      <c r="C225" s="1" t="n">
        <v>46191</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31894-2021</t>
        </is>
      </c>
      <c r="B226" s="1" t="n">
        <v>44370</v>
      </c>
      <c r="C226" s="1" t="n">
        <v>46191</v>
      </c>
      <c r="D226" t="inlineStr">
        <is>
          <t>VÄRMLANDS LÄN</t>
        </is>
      </c>
      <c r="E226" t="inlineStr">
        <is>
          <t>TORSBY</t>
        </is>
      </c>
      <c r="G226" t="n">
        <v>1.7</v>
      </c>
      <c r="H226" t="n">
        <v>0</v>
      </c>
      <c r="I226" t="n">
        <v>0</v>
      </c>
      <c r="J226" t="n">
        <v>0</v>
      </c>
      <c r="K226" t="n">
        <v>0</v>
      </c>
      <c r="L226" t="n">
        <v>0</v>
      </c>
      <c r="M226" t="n">
        <v>0</v>
      </c>
      <c r="N226" t="n">
        <v>0</v>
      </c>
      <c r="O226" t="n">
        <v>0</v>
      </c>
      <c r="P226" t="n">
        <v>0</v>
      </c>
      <c r="Q226" t="n">
        <v>0</v>
      </c>
      <c r="R226" s="2" t="inlineStr"/>
    </row>
    <row r="227" ht="15" customHeight="1">
      <c r="A227" t="inlineStr">
        <is>
          <t>A 69974-2021</t>
        </is>
      </c>
      <c r="B227" s="1" t="n">
        <v>44533</v>
      </c>
      <c r="C227" s="1" t="n">
        <v>46191</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20382-2022</t>
        </is>
      </c>
      <c r="B228" s="1" t="n">
        <v>44699</v>
      </c>
      <c r="C228" s="1" t="n">
        <v>46191</v>
      </c>
      <c r="D228" t="inlineStr">
        <is>
          <t>VÄRMLANDS LÄN</t>
        </is>
      </c>
      <c r="E228" t="inlineStr">
        <is>
          <t>TORSBY</t>
        </is>
      </c>
      <c r="G228" t="n">
        <v>14.3</v>
      </c>
      <c r="H228" t="n">
        <v>0</v>
      </c>
      <c r="I228" t="n">
        <v>0</v>
      </c>
      <c r="J228" t="n">
        <v>0</v>
      </c>
      <c r="K228" t="n">
        <v>0</v>
      </c>
      <c r="L228" t="n">
        <v>0</v>
      </c>
      <c r="M228" t="n">
        <v>0</v>
      </c>
      <c r="N228" t="n">
        <v>0</v>
      </c>
      <c r="O228" t="n">
        <v>0</v>
      </c>
      <c r="P228" t="n">
        <v>0</v>
      </c>
      <c r="Q228" t="n">
        <v>0</v>
      </c>
      <c r="R228" s="2" t="inlineStr"/>
    </row>
    <row r="229" ht="15" customHeight="1">
      <c r="A229" t="inlineStr">
        <is>
          <t>A 39826-2021</t>
        </is>
      </c>
      <c r="B229" s="1" t="n">
        <v>44417</v>
      </c>
      <c r="C229" s="1" t="n">
        <v>46191</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43161-2021</t>
        </is>
      </c>
      <c r="B230" s="1" t="n">
        <v>44431</v>
      </c>
      <c r="C230" s="1" t="n">
        <v>46191</v>
      </c>
      <c r="D230" t="inlineStr">
        <is>
          <t>VÄRMLANDS LÄN</t>
        </is>
      </c>
      <c r="E230" t="inlineStr">
        <is>
          <t>TORSBY</t>
        </is>
      </c>
      <c r="G230" t="n">
        <v>3.7</v>
      </c>
      <c r="H230" t="n">
        <v>0</v>
      </c>
      <c r="I230" t="n">
        <v>0</v>
      </c>
      <c r="J230" t="n">
        <v>0</v>
      </c>
      <c r="K230" t="n">
        <v>0</v>
      </c>
      <c r="L230" t="n">
        <v>0</v>
      </c>
      <c r="M230" t="n">
        <v>0</v>
      </c>
      <c r="N230" t="n">
        <v>0</v>
      </c>
      <c r="O230" t="n">
        <v>0</v>
      </c>
      <c r="P230" t="n">
        <v>0</v>
      </c>
      <c r="Q230" t="n">
        <v>0</v>
      </c>
      <c r="R230" s="2" t="inlineStr"/>
    </row>
    <row r="231" ht="15" customHeight="1">
      <c r="A231" t="inlineStr">
        <is>
          <t>A 52121-2021</t>
        </is>
      </c>
      <c r="B231" s="1" t="n">
        <v>44463</v>
      </c>
      <c r="C231" s="1" t="n">
        <v>46191</v>
      </c>
      <c r="D231" t="inlineStr">
        <is>
          <t>VÄRMLANDS LÄN</t>
        </is>
      </c>
      <c r="E231" t="inlineStr">
        <is>
          <t>TORSBY</t>
        </is>
      </c>
      <c r="G231" t="n">
        <v>0</v>
      </c>
      <c r="H231" t="n">
        <v>0</v>
      </c>
      <c r="I231" t="n">
        <v>0</v>
      </c>
      <c r="J231" t="n">
        <v>0</v>
      </c>
      <c r="K231" t="n">
        <v>0</v>
      </c>
      <c r="L231" t="n">
        <v>0</v>
      </c>
      <c r="M231" t="n">
        <v>0</v>
      </c>
      <c r="N231" t="n">
        <v>0</v>
      </c>
      <c r="O231" t="n">
        <v>0</v>
      </c>
      <c r="P231" t="n">
        <v>0</v>
      </c>
      <c r="Q231" t="n">
        <v>0</v>
      </c>
      <c r="R231" s="2" t="inlineStr"/>
    </row>
    <row r="232" ht="15" customHeight="1">
      <c r="A232" t="inlineStr">
        <is>
          <t>A 56102-2021</t>
        </is>
      </c>
      <c r="B232" s="1" t="n">
        <v>44477</v>
      </c>
      <c r="C232" s="1" t="n">
        <v>46191</v>
      </c>
      <c r="D232" t="inlineStr">
        <is>
          <t>VÄRMLANDS LÄN</t>
        </is>
      </c>
      <c r="E232" t="inlineStr">
        <is>
          <t>TORSBY</t>
        </is>
      </c>
      <c r="G232" t="n">
        <v>4.6</v>
      </c>
      <c r="H232" t="n">
        <v>0</v>
      </c>
      <c r="I232" t="n">
        <v>0</v>
      </c>
      <c r="J232" t="n">
        <v>0</v>
      </c>
      <c r="K232" t="n">
        <v>0</v>
      </c>
      <c r="L232" t="n">
        <v>0</v>
      </c>
      <c r="M232" t="n">
        <v>0</v>
      </c>
      <c r="N232" t="n">
        <v>0</v>
      </c>
      <c r="O232" t="n">
        <v>0</v>
      </c>
      <c r="P232" t="n">
        <v>0</v>
      </c>
      <c r="Q232" t="n">
        <v>0</v>
      </c>
      <c r="R232" s="2" t="inlineStr"/>
    </row>
    <row r="233" ht="15" customHeight="1">
      <c r="A233" t="inlineStr">
        <is>
          <t>A 70241-2021</t>
        </is>
      </c>
      <c r="B233" s="1" t="n">
        <v>44536</v>
      </c>
      <c r="C233" s="1" t="n">
        <v>46191</v>
      </c>
      <c r="D233" t="inlineStr">
        <is>
          <t>VÄRMLANDS LÄN</t>
        </is>
      </c>
      <c r="E233" t="inlineStr">
        <is>
          <t>TORSBY</t>
        </is>
      </c>
      <c r="F233" t="inlineStr">
        <is>
          <t>Bergvik skog väst AB</t>
        </is>
      </c>
      <c r="G233" t="n">
        <v>0.4</v>
      </c>
      <c r="H233" t="n">
        <v>0</v>
      </c>
      <c r="I233" t="n">
        <v>0</v>
      </c>
      <c r="J233" t="n">
        <v>0</v>
      </c>
      <c r="K233" t="n">
        <v>0</v>
      </c>
      <c r="L233" t="n">
        <v>0</v>
      </c>
      <c r="M233" t="n">
        <v>0</v>
      </c>
      <c r="N233" t="n">
        <v>0</v>
      </c>
      <c r="O233" t="n">
        <v>0</v>
      </c>
      <c r="P233" t="n">
        <v>0</v>
      </c>
      <c r="Q233" t="n">
        <v>0</v>
      </c>
      <c r="R233" s="2" t="inlineStr"/>
    </row>
    <row r="234" ht="15" customHeight="1">
      <c r="A234" t="inlineStr">
        <is>
          <t>A 48328-2022</t>
        </is>
      </c>
      <c r="B234" s="1" t="n">
        <v>44853</v>
      </c>
      <c r="C234" s="1" t="n">
        <v>46191</v>
      </c>
      <c r="D234" t="inlineStr">
        <is>
          <t>VÄRMLANDS LÄN</t>
        </is>
      </c>
      <c r="E234" t="inlineStr">
        <is>
          <t>TORSBY</t>
        </is>
      </c>
      <c r="G234" t="n">
        <v>0.4</v>
      </c>
      <c r="H234" t="n">
        <v>0</v>
      </c>
      <c r="I234" t="n">
        <v>0</v>
      </c>
      <c r="J234" t="n">
        <v>0</v>
      </c>
      <c r="K234" t="n">
        <v>0</v>
      </c>
      <c r="L234" t="n">
        <v>0</v>
      </c>
      <c r="M234" t="n">
        <v>0</v>
      </c>
      <c r="N234" t="n">
        <v>0</v>
      </c>
      <c r="O234" t="n">
        <v>0</v>
      </c>
      <c r="P234" t="n">
        <v>0</v>
      </c>
      <c r="Q234" t="n">
        <v>0</v>
      </c>
      <c r="R234" s="2" t="inlineStr"/>
    </row>
    <row r="235" ht="15" customHeight="1">
      <c r="A235" t="inlineStr">
        <is>
          <t>A 51247-2021</t>
        </is>
      </c>
      <c r="B235" s="1" t="n">
        <v>44461</v>
      </c>
      <c r="C235" s="1" t="n">
        <v>46191</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29717-2022</t>
        </is>
      </c>
      <c r="B236" s="1" t="n">
        <v>44755</v>
      </c>
      <c r="C236" s="1" t="n">
        <v>46191</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29721-2022</t>
        </is>
      </c>
      <c r="B237" s="1" t="n">
        <v>44755</v>
      </c>
      <c r="C237" s="1" t="n">
        <v>46191</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50100-2021</t>
        </is>
      </c>
      <c r="B238" s="1" t="n">
        <v>44456</v>
      </c>
      <c r="C238" s="1" t="n">
        <v>46191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22823-2022</t>
        </is>
      </c>
      <c r="B239" s="1" t="n">
        <v>44714</v>
      </c>
      <c r="C239" s="1" t="n">
        <v>46191</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21521-2022</t>
        </is>
      </c>
      <c r="B240" s="1" t="n">
        <v>44706</v>
      </c>
      <c r="C240" s="1" t="n">
        <v>46191</v>
      </c>
      <c r="D240" t="inlineStr">
        <is>
          <t>VÄRMLANDS LÄN</t>
        </is>
      </c>
      <c r="E240" t="inlineStr">
        <is>
          <t>TORSBY</t>
        </is>
      </c>
      <c r="G240" t="n">
        <v>0.1</v>
      </c>
      <c r="H240" t="n">
        <v>0</v>
      </c>
      <c r="I240" t="n">
        <v>0</v>
      </c>
      <c r="J240" t="n">
        <v>0</v>
      </c>
      <c r="K240" t="n">
        <v>0</v>
      </c>
      <c r="L240" t="n">
        <v>0</v>
      </c>
      <c r="M240" t="n">
        <v>0</v>
      </c>
      <c r="N240" t="n">
        <v>0</v>
      </c>
      <c r="O240" t="n">
        <v>0</v>
      </c>
      <c r="P240" t="n">
        <v>0</v>
      </c>
      <c r="Q240" t="n">
        <v>0</v>
      </c>
      <c r="R240" s="2" t="inlineStr"/>
    </row>
    <row r="241" ht="15" customHeight="1">
      <c r="A241" t="inlineStr">
        <is>
          <t>A 43098-2021</t>
        </is>
      </c>
      <c r="B241" s="1" t="n">
        <v>44431</v>
      </c>
      <c r="C241" s="1" t="n">
        <v>46191</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63527-2021</t>
        </is>
      </c>
      <c r="B242" s="1" t="n">
        <v>44508</v>
      </c>
      <c r="C242" s="1" t="n">
        <v>46191</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37609-2021</t>
        </is>
      </c>
      <c r="B243" s="1" t="n">
        <v>44399</v>
      </c>
      <c r="C243" s="1" t="n">
        <v>46191</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41590-2022</t>
        </is>
      </c>
      <c r="B244" s="1" t="n">
        <v>44827</v>
      </c>
      <c r="C244" s="1" t="n">
        <v>46191</v>
      </c>
      <c r="D244" t="inlineStr">
        <is>
          <t>VÄRMLANDS LÄN</t>
        </is>
      </c>
      <c r="E244" t="inlineStr">
        <is>
          <t>TORSBY</t>
        </is>
      </c>
      <c r="F244" t="inlineStr">
        <is>
          <t>Bergvik skog väst AB</t>
        </is>
      </c>
      <c r="G244" t="n">
        <v>42.5</v>
      </c>
      <c r="H244" t="n">
        <v>0</v>
      </c>
      <c r="I244" t="n">
        <v>0</v>
      </c>
      <c r="J244" t="n">
        <v>0</v>
      </c>
      <c r="K244" t="n">
        <v>0</v>
      </c>
      <c r="L244" t="n">
        <v>0</v>
      </c>
      <c r="M244" t="n">
        <v>0</v>
      </c>
      <c r="N244" t="n">
        <v>0</v>
      </c>
      <c r="O244" t="n">
        <v>0</v>
      </c>
      <c r="P244" t="n">
        <v>0</v>
      </c>
      <c r="Q244" t="n">
        <v>0</v>
      </c>
      <c r="R244" s="2" t="inlineStr"/>
    </row>
    <row r="245" ht="15" customHeight="1">
      <c r="A245" t="inlineStr">
        <is>
          <t>A 50390-2022</t>
        </is>
      </c>
      <c r="B245" s="1" t="n">
        <v>44861</v>
      </c>
      <c r="C245" s="1" t="n">
        <v>46191</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68266-2021</t>
        </is>
      </c>
      <c r="B246" s="1" t="n">
        <v>44526</v>
      </c>
      <c r="C246" s="1" t="n">
        <v>46191</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51522-2021</t>
        </is>
      </c>
      <c r="B247" s="1" t="n">
        <v>44462</v>
      </c>
      <c r="C247" s="1" t="n">
        <v>46191</v>
      </c>
      <c r="D247" t="inlineStr">
        <is>
          <t>VÄRMLANDS LÄN</t>
        </is>
      </c>
      <c r="E247" t="inlineStr">
        <is>
          <t>TORSBY</t>
        </is>
      </c>
      <c r="G247" t="n">
        <v>0.3</v>
      </c>
      <c r="H247" t="n">
        <v>0</v>
      </c>
      <c r="I247" t="n">
        <v>0</v>
      </c>
      <c r="J247" t="n">
        <v>0</v>
      </c>
      <c r="K247" t="n">
        <v>0</v>
      </c>
      <c r="L247" t="n">
        <v>0</v>
      </c>
      <c r="M247" t="n">
        <v>0</v>
      </c>
      <c r="N247" t="n">
        <v>0</v>
      </c>
      <c r="O247" t="n">
        <v>0</v>
      </c>
      <c r="P247" t="n">
        <v>0</v>
      </c>
      <c r="Q247" t="n">
        <v>0</v>
      </c>
      <c r="R247" s="2" t="inlineStr"/>
    </row>
    <row r="248" ht="15" customHeight="1">
      <c r="A248" t="inlineStr">
        <is>
          <t>A 49795-2022</t>
        </is>
      </c>
      <c r="B248" s="1" t="n">
        <v>44862</v>
      </c>
      <c r="C248" s="1" t="n">
        <v>46191</v>
      </c>
      <c r="D248" t="inlineStr">
        <is>
          <t>VÄRMLANDS LÄN</t>
        </is>
      </c>
      <c r="E248" t="inlineStr">
        <is>
          <t>TORSBY</t>
        </is>
      </c>
      <c r="G248" t="n">
        <v>7.6</v>
      </c>
      <c r="H248" t="n">
        <v>0</v>
      </c>
      <c r="I248" t="n">
        <v>0</v>
      </c>
      <c r="J248" t="n">
        <v>0</v>
      </c>
      <c r="K248" t="n">
        <v>0</v>
      </c>
      <c r="L248" t="n">
        <v>0</v>
      </c>
      <c r="M248" t="n">
        <v>0</v>
      </c>
      <c r="N248" t="n">
        <v>0</v>
      </c>
      <c r="O248" t="n">
        <v>0</v>
      </c>
      <c r="P248" t="n">
        <v>0</v>
      </c>
      <c r="Q248" t="n">
        <v>0</v>
      </c>
      <c r="R248" s="2" t="inlineStr"/>
    </row>
    <row r="249" ht="15" customHeight="1">
      <c r="A249" t="inlineStr">
        <is>
          <t>A 28113-2022</t>
        </is>
      </c>
      <c r="B249" s="1" t="n">
        <v>44746</v>
      </c>
      <c r="C249" s="1" t="n">
        <v>46191</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20174-2022</t>
        </is>
      </c>
      <c r="B250" s="1" t="n">
        <v>44698</v>
      </c>
      <c r="C250" s="1" t="n">
        <v>46191</v>
      </c>
      <c r="D250" t="inlineStr">
        <is>
          <t>VÄRMLANDS LÄN</t>
        </is>
      </c>
      <c r="E250" t="inlineStr">
        <is>
          <t>TORSBY</t>
        </is>
      </c>
      <c r="G250" t="n">
        <v>4.4</v>
      </c>
      <c r="H250" t="n">
        <v>0</v>
      </c>
      <c r="I250" t="n">
        <v>0</v>
      </c>
      <c r="J250" t="n">
        <v>0</v>
      </c>
      <c r="K250" t="n">
        <v>0</v>
      </c>
      <c r="L250" t="n">
        <v>0</v>
      </c>
      <c r="M250" t="n">
        <v>0</v>
      </c>
      <c r="N250" t="n">
        <v>0</v>
      </c>
      <c r="O250" t="n">
        <v>0</v>
      </c>
      <c r="P250" t="n">
        <v>0</v>
      </c>
      <c r="Q250" t="n">
        <v>0</v>
      </c>
      <c r="R250" s="2" t="inlineStr"/>
    </row>
    <row r="251" ht="15" customHeight="1">
      <c r="A251" t="inlineStr">
        <is>
          <t>A 20009-2022</t>
        </is>
      </c>
      <c r="B251" s="1" t="n">
        <v>44697</v>
      </c>
      <c r="C251" s="1" t="n">
        <v>46191</v>
      </c>
      <c r="D251" t="inlineStr">
        <is>
          <t>VÄRMLANDS LÄN</t>
        </is>
      </c>
      <c r="E251" t="inlineStr">
        <is>
          <t>TORSBY</t>
        </is>
      </c>
      <c r="G251" t="n">
        <v>14.4</v>
      </c>
      <c r="H251" t="n">
        <v>0</v>
      </c>
      <c r="I251" t="n">
        <v>0</v>
      </c>
      <c r="J251" t="n">
        <v>0</v>
      </c>
      <c r="K251" t="n">
        <v>0</v>
      </c>
      <c r="L251" t="n">
        <v>0</v>
      </c>
      <c r="M251" t="n">
        <v>0</v>
      </c>
      <c r="N251" t="n">
        <v>0</v>
      </c>
      <c r="O251" t="n">
        <v>0</v>
      </c>
      <c r="P251" t="n">
        <v>0</v>
      </c>
      <c r="Q251" t="n">
        <v>0</v>
      </c>
      <c r="R251" s="2" t="inlineStr"/>
    </row>
    <row r="252" ht="15" customHeight="1">
      <c r="A252" t="inlineStr">
        <is>
          <t>A 51489-2022</t>
        </is>
      </c>
      <c r="B252" s="1" t="n">
        <v>44869</v>
      </c>
      <c r="C252" s="1" t="n">
        <v>46191</v>
      </c>
      <c r="D252" t="inlineStr">
        <is>
          <t>VÄRMLANDS LÄN</t>
        </is>
      </c>
      <c r="E252" t="inlineStr">
        <is>
          <t>TORSBY</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49959-2022</t>
        </is>
      </c>
      <c r="B253" s="1" t="n">
        <v>44865</v>
      </c>
      <c r="C253" s="1" t="n">
        <v>46191</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37937-2022</t>
        </is>
      </c>
      <c r="B254" s="1" t="n">
        <v>44811</v>
      </c>
      <c r="C254" s="1" t="n">
        <v>46191</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50953-2022</t>
        </is>
      </c>
      <c r="B255" s="1" t="n">
        <v>44866</v>
      </c>
      <c r="C255" s="1" t="n">
        <v>46191</v>
      </c>
      <c r="D255" t="inlineStr">
        <is>
          <t>VÄRMLANDS LÄN</t>
        </is>
      </c>
      <c r="E255" t="inlineStr">
        <is>
          <t>TORSBY</t>
        </is>
      </c>
      <c r="G255" t="n">
        <v>1.7</v>
      </c>
      <c r="H255" t="n">
        <v>0</v>
      </c>
      <c r="I255" t="n">
        <v>0</v>
      </c>
      <c r="J255" t="n">
        <v>0</v>
      </c>
      <c r="K255" t="n">
        <v>0</v>
      </c>
      <c r="L255" t="n">
        <v>0</v>
      </c>
      <c r="M255" t="n">
        <v>0</v>
      </c>
      <c r="N255" t="n">
        <v>0</v>
      </c>
      <c r="O255" t="n">
        <v>0</v>
      </c>
      <c r="P255" t="n">
        <v>0</v>
      </c>
      <c r="Q255" t="n">
        <v>0</v>
      </c>
      <c r="R255" s="2" t="inlineStr"/>
    </row>
    <row r="256" ht="15" customHeight="1">
      <c r="A256" t="inlineStr">
        <is>
          <t>A 23851-2022</t>
        </is>
      </c>
      <c r="B256" s="1" t="n">
        <v>44722</v>
      </c>
      <c r="C256" s="1" t="n">
        <v>46191</v>
      </c>
      <c r="D256" t="inlineStr">
        <is>
          <t>VÄRMLANDS LÄN</t>
        </is>
      </c>
      <c r="E256" t="inlineStr">
        <is>
          <t>TORSBY</t>
        </is>
      </c>
      <c r="G256" t="n">
        <v>3.6</v>
      </c>
      <c r="H256" t="n">
        <v>0</v>
      </c>
      <c r="I256" t="n">
        <v>0</v>
      </c>
      <c r="J256" t="n">
        <v>0</v>
      </c>
      <c r="K256" t="n">
        <v>0</v>
      </c>
      <c r="L256" t="n">
        <v>0</v>
      </c>
      <c r="M256" t="n">
        <v>0</v>
      </c>
      <c r="N256" t="n">
        <v>0</v>
      </c>
      <c r="O256" t="n">
        <v>0</v>
      </c>
      <c r="P256" t="n">
        <v>0</v>
      </c>
      <c r="Q256" t="n">
        <v>0</v>
      </c>
      <c r="R256" s="2" t="inlineStr"/>
    </row>
    <row r="257" ht="15" customHeight="1">
      <c r="A257" t="inlineStr">
        <is>
          <t>A 36562-2022</t>
        </is>
      </c>
      <c r="B257" s="1" t="n">
        <v>44804</v>
      </c>
      <c r="C257" s="1" t="n">
        <v>46191</v>
      </c>
      <c r="D257" t="inlineStr">
        <is>
          <t>VÄRMLANDS LÄN</t>
        </is>
      </c>
      <c r="E257" t="inlineStr">
        <is>
          <t>TORSBY</t>
        </is>
      </c>
      <c r="G257" t="n">
        <v>9.1</v>
      </c>
      <c r="H257" t="n">
        <v>0</v>
      </c>
      <c r="I257" t="n">
        <v>0</v>
      </c>
      <c r="J257" t="n">
        <v>0</v>
      </c>
      <c r="K257" t="n">
        <v>0</v>
      </c>
      <c r="L257" t="n">
        <v>0</v>
      </c>
      <c r="M257" t="n">
        <v>0</v>
      </c>
      <c r="N257" t="n">
        <v>0</v>
      </c>
      <c r="O257" t="n">
        <v>0</v>
      </c>
      <c r="P257" t="n">
        <v>0</v>
      </c>
      <c r="Q257" t="n">
        <v>0</v>
      </c>
      <c r="R257" s="2" t="inlineStr"/>
    </row>
    <row r="258" ht="15" customHeight="1">
      <c r="A258" t="inlineStr">
        <is>
          <t>A 50596-2021</t>
        </is>
      </c>
      <c r="B258" s="1" t="n">
        <v>44459</v>
      </c>
      <c r="C258" s="1" t="n">
        <v>46191</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44490-2021</t>
        </is>
      </c>
      <c r="B259" s="1" t="n">
        <v>44435</v>
      </c>
      <c r="C259" s="1" t="n">
        <v>46191</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18779-2022</t>
        </is>
      </c>
      <c r="B260" s="1" t="n">
        <v>44689</v>
      </c>
      <c r="C260" s="1" t="n">
        <v>46191</v>
      </c>
      <c r="D260" t="inlineStr">
        <is>
          <t>VÄRMLANDS LÄN</t>
        </is>
      </c>
      <c r="E260" t="inlineStr">
        <is>
          <t>TORSBY</t>
        </is>
      </c>
      <c r="G260" t="n">
        <v>5.1</v>
      </c>
      <c r="H260" t="n">
        <v>0</v>
      </c>
      <c r="I260" t="n">
        <v>0</v>
      </c>
      <c r="J260" t="n">
        <v>0</v>
      </c>
      <c r="K260" t="n">
        <v>0</v>
      </c>
      <c r="L260" t="n">
        <v>0</v>
      </c>
      <c r="M260" t="n">
        <v>0</v>
      </c>
      <c r="N260" t="n">
        <v>0</v>
      </c>
      <c r="O260" t="n">
        <v>0</v>
      </c>
      <c r="P260" t="n">
        <v>0</v>
      </c>
      <c r="Q260" t="n">
        <v>0</v>
      </c>
      <c r="R260" s="2" t="inlineStr"/>
    </row>
    <row r="261" ht="15" customHeight="1">
      <c r="A261" t="inlineStr">
        <is>
          <t>A 45666-2022</t>
        </is>
      </c>
      <c r="B261" s="1" t="n">
        <v>44845</v>
      </c>
      <c r="C261" s="1" t="n">
        <v>46191</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50988-2021</t>
        </is>
      </c>
      <c r="B262" s="1" t="n">
        <v>44460</v>
      </c>
      <c r="C262" s="1" t="n">
        <v>46191</v>
      </c>
      <c r="D262" t="inlineStr">
        <is>
          <t>VÄRMLANDS LÄN</t>
        </is>
      </c>
      <c r="E262" t="inlineStr">
        <is>
          <t>TORSBY</t>
        </is>
      </c>
      <c r="G262" t="n">
        <v>14.3</v>
      </c>
      <c r="H262" t="n">
        <v>0</v>
      </c>
      <c r="I262" t="n">
        <v>0</v>
      </c>
      <c r="J262" t="n">
        <v>0</v>
      </c>
      <c r="K262" t="n">
        <v>0</v>
      </c>
      <c r="L262" t="n">
        <v>0</v>
      </c>
      <c r="M262" t="n">
        <v>0</v>
      </c>
      <c r="N262" t="n">
        <v>0</v>
      </c>
      <c r="O262" t="n">
        <v>0</v>
      </c>
      <c r="P262" t="n">
        <v>0</v>
      </c>
      <c r="Q262" t="n">
        <v>0</v>
      </c>
      <c r="R262" s="2" t="inlineStr"/>
    </row>
    <row r="263" ht="15" customHeight="1">
      <c r="A263" t="inlineStr">
        <is>
          <t>A 3369-2022</t>
        </is>
      </c>
      <c r="B263" s="1" t="n">
        <v>44585</v>
      </c>
      <c r="C263" s="1" t="n">
        <v>46191</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2421-2022</t>
        </is>
      </c>
      <c r="B264" s="1" t="n">
        <v>44579</v>
      </c>
      <c r="C264" s="1" t="n">
        <v>46191</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66080-2021</t>
        </is>
      </c>
      <c r="B265" s="1" t="n">
        <v>44517</v>
      </c>
      <c r="C265" s="1" t="n">
        <v>46191</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28955-2022</t>
        </is>
      </c>
      <c r="B266" s="1" t="n">
        <v>44749</v>
      </c>
      <c r="C266" s="1" t="n">
        <v>46191</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53906-2022</t>
        </is>
      </c>
      <c r="B267" s="1" t="n">
        <v>44880</v>
      </c>
      <c r="C267" s="1" t="n">
        <v>46191</v>
      </c>
      <c r="D267" t="inlineStr">
        <is>
          <t>VÄRMLANDS LÄN</t>
        </is>
      </c>
      <c r="E267" t="inlineStr">
        <is>
          <t>TORSBY</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31511-2021</t>
        </is>
      </c>
      <c r="B268" s="1" t="n">
        <v>44369</v>
      </c>
      <c r="C268" s="1" t="n">
        <v>46191</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41678-2021</t>
        </is>
      </c>
      <c r="B269" s="1" t="n">
        <v>44425</v>
      </c>
      <c r="C269" s="1" t="n">
        <v>46191</v>
      </c>
      <c r="D269" t="inlineStr">
        <is>
          <t>VÄRMLANDS LÄN</t>
        </is>
      </c>
      <c r="E269" t="inlineStr">
        <is>
          <t>TORSBY</t>
        </is>
      </c>
      <c r="G269" t="n">
        <v>4.3</v>
      </c>
      <c r="H269" t="n">
        <v>0</v>
      </c>
      <c r="I269" t="n">
        <v>0</v>
      </c>
      <c r="J269" t="n">
        <v>0</v>
      </c>
      <c r="K269" t="n">
        <v>0</v>
      </c>
      <c r="L269" t="n">
        <v>0</v>
      </c>
      <c r="M269" t="n">
        <v>0</v>
      </c>
      <c r="N269" t="n">
        <v>0</v>
      </c>
      <c r="O269" t="n">
        <v>0</v>
      </c>
      <c r="P269" t="n">
        <v>0</v>
      </c>
      <c r="Q269" t="n">
        <v>0</v>
      </c>
      <c r="R269" s="2" t="inlineStr"/>
    </row>
    <row r="270" ht="15" customHeight="1">
      <c r="A270" t="inlineStr">
        <is>
          <t>A 54811-2022</t>
        </is>
      </c>
      <c r="B270" s="1" t="n">
        <v>44883</v>
      </c>
      <c r="C270" s="1" t="n">
        <v>46191</v>
      </c>
      <c r="D270" t="inlineStr">
        <is>
          <t>VÄRMLANDS LÄN</t>
        </is>
      </c>
      <c r="E270" t="inlineStr">
        <is>
          <t>TORSBY</t>
        </is>
      </c>
      <c r="G270" t="n">
        <v>2.5</v>
      </c>
      <c r="H270" t="n">
        <v>0</v>
      </c>
      <c r="I270" t="n">
        <v>0</v>
      </c>
      <c r="J270" t="n">
        <v>0</v>
      </c>
      <c r="K270" t="n">
        <v>0</v>
      </c>
      <c r="L270" t="n">
        <v>0</v>
      </c>
      <c r="M270" t="n">
        <v>0</v>
      </c>
      <c r="N270" t="n">
        <v>0</v>
      </c>
      <c r="O270" t="n">
        <v>0</v>
      </c>
      <c r="P270" t="n">
        <v>0</v>
      </c>
      <c r="Q270" t="n">
        <v>0</v>
      </c>
      <c r="R270" s="2" t="inlineStr"/>
    </row>
    <row r="271" ht="15" customHeight="1">
      <c r="A271" t="inlineStr">
        <is>
          <t>A 44923-2021</t>
        </is>
      </c>
      <c r="B271" s="1" t="n">
        <v>44438</v>
      </c>
      <c r="C271" s="1" t="n">
        <v>46191</v>
      </c>
      <c r="D271" t="inlineStr">
        <is>
          <t>VÄRMLANDS LÄN</t>
        </is>
      </c>
      <c r="E271" t="inlineStr">
        <is>
          <t>TORSBY</t>
        </is>
      </c>
      <c r="G271" t="n">
        <v>1.9</v>
      </c>
      <c r="H271" t="n">
        <v>0</v>
      </c>
      <c r="I271" t="n">
        <v>0</v>
      </c>
      <c r="J271" t="n">
        <v>0</v>
      </c>
      <c r="K271" t="n">
        <v>0</v>
      </c>
      <c r="L271" t="n">
        <v>0</v>
      </c>
      <c r="M271" t="n">
        <v>0</v>
      </c>
      <c r="N271" t="n">
        <v>0</v>
      </c>
      <c r="O271" t="n">
        <v>0</v>
      </c>
      <c r="P271" t="n">
        <v>0</v>
      </c>
      <c r="Q271" t="n">
        <v>0</v>
      </c>
      <c r="R271" s="2" t="inlineStr"/>
    </row>
    <row r="272" ht="15" customHeight="1">
      <c r="A272" t="inlineStr">
        <is>
          <t>A 33145-2021</t>
        </is>
      </c>
      <c r="B272" s="1" t="n">
        <v>44376</v>
      </c>
      <c r="C272" s="1" t="n">
        <v>46191</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30802-2021</t>
        </is>
      </c>
      <c r="B273" s="1" t="n">
        <v>44365</v>
      </c>
      <c r="C273" s="1" t="n">
        <v>46191</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11922-2022</t>
        </is>
      </c>
      <c r="B274" s="1" t="n">
        <v>44635</v>
      </c>
      <c r="C274" s="1" t="n">
        <v>46191</v>
      </c>
      <c r="D274" t="inlineStr">
        <is>
          <t>VÄRMLANDS LÄN</t>
        </is>
      </c>
      <c r="E274" t="inlineStr">
        <is>
          <t>TORSBY</t>
        </is>
      </c>
      <c r="G274" t="n">
        <v>2.6</v>
      </c>
      <c r="H274" t="n">
        <v>0</v>
      </c>
      <c r="I274" t="n">
        <v>0</v>
      </c>
      <c r="J274" t="n">
        <v>0</v>
      </c>
      <c r="K274" t="n">
        <v>0</v>
      </c>
      <c r="L274" t="n">
        <v>0</v>
      </c>
      <c r="M274" t="n">
        <v>0</v>
      </c>
      <c r="N274" t="n">
        <v>0</v>
      </c>
      <c r="O274" t="n">
        <v>0</v>
      </c>
      <c r="P274" t="n">
        <v>0</v>
      </c>
      <c r="Q274" t="n">
        <v>0</v>
      </c>
      <c r="R274" s="2" t="inlineStr"/>
    </row>
    <row r="275" ht="15" customHeight="1">
      <c r="A275" t="inlineStr">
        <is>
          <t>A 33254-2022</t>
        </is>
      </c>
      <c r="B275" s="1" t="n">
        <v>44787</v>
      </c>
      <c r="C275" s="1" t="n">
        <v>46191</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31494-2021</t>
        </is>
      </c>
      <c r="B276" s="1" t="n">
        <v>44369</v>
      </c>
      <c r="C276" s="1" t="n">
        <v>46191</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46191</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33959-2022</t>
        </is>
      </c>
      <c r="B278" s="1" t="n">
        <v>44790</v>
      </c>
      <c r="C278" s="1" t="n">
        <v>46191</v>
      </c>
      <c r="D278" t="inlineStr">
        <is>
          <t>VÄRMLANDS LÄN</t>
        </is>
      </c>
      <c r="E278" t="inlineStr">
        <is>
          <t>TORSBY</t>
        </is>
      </c>
      <c r="G278" t="n">
        <v>0.6</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46191</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46191</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46191</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69265-2021</t>
        </is>
      </c>
      <c r="B282" s="1" t="n">
        <v>44526</v>
      </c>
      <c r="C282" s="1" t="n">
        <v>46191</v>
      </c>
      <c r="D282" t="inlineStr">
        <is>
          <t>VÄRMLANDS LÄN</t>
        </is>
      </c>
      <c r="E282" t="inlineStr">
        <is>
          <t>TORSBY</t>
        </is>
      </c>
      <c r="G282" t="n">
        <v>11.1</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46191</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62576-2021</t>
        </is>
      </c>
      <c r="B284" s="1" t="n">
        <v>44502</v>
      </c>
      <c r="C284" s="1" t="n">
        <v>46191</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50549-2021</t>
        </is>
      </c>
      <c r="B285" s="1" t="n">
        <v>44459</v>
      </c>
      <c r="C285" s="1" t="n">
        <v>46191</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4967-2022</t>
        </is>
      </c>
      <c r="B286" s="1" t="n">
        <v>44593</v>
      </c>
      <c r="C286" s="1" t="n">
        <v>46191</v>
      </c>
      <c r="D286" t="inlineStr">
        <is>
          <t>VÄRMLANDS LÄN</t>
        </is>
      </c>
      <c r="E286" t="inlineStr">
        <is>
          <t>TORSBY</t>
        </is>
      </c>
      <c r="G286" t="n">
        <v>1.6</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46191</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46191</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65998-2021</t>
        </is>
      </c>
      <c r="B289" s="1" t="n">
        <v>44517</v>
      </c>
      <c r="C289" s="1" t="n">
        <v>46191</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52543-2022</t>
        </is>
      </c>
      <c r="B290" s="1" t="n">
        <v>44874</v>
      </c>
      <c r="C290" s="1" t="n">
        <v>46191</v>
      </c>
      <c r="D290" t="inlineStr">
        <is>
          <t>VÄRMLANDS LÄN</t>
        </is>
      </c>
      <c r="E290" t="inlineStr">
        <is>
          <t>TORSBY</t>
        </is>
      </c>
      <c r="G290" t="n">
        <v>10.1</v>
      </c>
      <c r="H290" t="n">
        <v>0</v>
      </c>
      <c r="I290" t="n">
        <v>0</v>
      </c>
      <c r="J290" t="n">
        <v>0</v>
      </c>
      <c r="K290" t="n">
        <v>0</v>
      </c>
      <c r="L290" t="n">
        <v>0</v>
      </c>
      <c r="M290" t="n">
        <v>0</v>
      </c>
      <c r="N290" t="n">
        <v>0</v>
      </c>
      <c r="O290" t="n">
        <v>0</v>
      </c>
      <c r="P290" t="n">
        <v>0</v>
      </c>
      <c r="Q290" t="n">
        <v>0</v>
      </c>
      <c r="R290" s="2" t="inlineStr"/>
    </row>
    <row r="291" ht="15" customHeight="1">
      <c r="A291" t="inlineStr">
        <is>
          <t>A 43095-2021</t>
        </is>
      </c>
      <c r="B291" s="1" t="n">
        <v>44431</v>
      </c>
      <c r="C291" s="1" t="n">
        <v>46191</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17765-2022</t>
        </is>
      </c>
      <c r="B292" s="1" t="n">
        <v>44681</v>
      </c>
      <c r="C292" s="1" t="n">
        <v>46191</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49192-2021</t>
        </is>
      </c>
      <c r="B293" s="1" t="n">
        <v>44454</v>
      </c>
      <c r="C293" s="1" t="n">
        <v>46191</v>
      </c>
      <c r="D293" t="inlineStr">
        <is>
          <t>VÄRMLANDS LÄN</t>
        </is>
      </c>
      <c r="E293" t="inlineStr">
        <is>
          <t>TORSBY</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33149-2021</t>
        </is>
      </c>
      <c r="B294" s="1" t="n">
        <v>44376</v>
      </c>
      <c r="C294" s="1" t="n">
        <v>46191</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56062-2021</t>
        </is>
      </c>
      <c r="B295" s="1" t="n">
        <v>44477</v>
      </c>
      <c r="C295" s="1" t="n">
        <v>46191</v>
      </c>
      <c r="D295" t="inlineStr">
        <is>
          <t>VÄRMLANDS LÄN</t>
        </is>
      </c>
      <c r="E295" t="inlineStr">
        <is>
          <t>TORSBY</t>
        </is>
      </c>
      <c r="G295" t="n">
        <v>0.9</v>
      </c>
      <c r="H295" t="n">
        <v>0</v>
      </c>
      <c r="I295" t="n">
        <v>0</v>
      </c>
      <c r="J295" t="n">
        <v>0</v>
      </c>
      <c r="K295" t="n">
        <v>0</v>
      </c>
      <c r="L295" t="n">
        <v>0</v>
      </c>
      <c r="M295" t="n">
        <v>0</v>
      </c>
      <c r="N295" t="n">
        <v>0</v>
      </c>
      <c r="O295" t="n">
        <v>0</v>
      </c>
      <c r="P295" t="n">
        <v>0</v>
      </c>
      <c r="Q295" t="n">
        <v>0</v>
      </c>
      <c r="R295" s="2" t="inlineStr"/>
    </row>
    <row r="296" ht="15" customHeight="1">
      <c r="A296" t="inlineStr">
        <is>
          <t>A 33515-2021</t>
        </is>
      </c>
      <c r="B296" s="1" t="n">
        <v>44377</v>
      </c>
      <c r="C296" s="1" t="n">
        <v>46191</v>
      </c>
      <c r="D296" t="inlineStr">
        <is>
          <t>VÄRMLANDS LÄN</t>
        </is>
      </c>
      <c r="E296" t="inlineStr">
        <is>
          <t>TORSBY</t>
        </is>
      </c>
      <c r="G296" t="n">
        <v>3.5</v>
      </c>
      <c r="H296" t="n">
        <v>0</v>
      </c>
      <c r="I296" t="n">
        <v>0</v>
      </c>
      <c r="J296" t="n">
        <v>0</v>
      </c>
      <c r="K296" t="n">
        <v>0</v>
      </c>
      <c r="L296" t="n">
        <v>0</v>
      </c>
      <c r="M296" t="n">
        <v>0</v>
      </c>
      <c r="N296" t="n">
        <v>0</v>
      </c>
      <c r="O296" t="n">
        <v>0</v>
      </c>
      <c r="P296" t="n">
        <v>0</v>
      </c>
      <c r="Q296" t="n">
        <v>0</v>
      </c>
      <c r="R296" s="2" t="inlineStr"/>
    </row>
    <row r="297" ht="15" customHeight="1">
      <c r="A297" t="inlineStr">
        <is>
          <t>A 33517-2021</t>
        </is>
      </c>
      <c r="B297" s="1" t="n">
        <v>44377</v>
      </c>
      <c r="C297" s="1" t="n">
        <v>46191</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20045-2022</t>
        </is>
      </c>
      <c r="B298" s="1" t="n">
        <v>44697</v>
      </c>
      <c r="C298" s="1" t="n">
        <v>46191</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43136-2021</t>
        </is>
      </c>
      <c r="B299" s="1" t="n">
        <v>44431</v>
      </c>
      <c r="C299" s="1" t="n">
        <v>46191</v>
      </c>
      <c r="D299" t="inlineStr">
        <is>
          <t>VÄRMLANDS LÄN</t>
        </is>
      </c>
      <c r="E299" t="inlineStr">
        <is>
          <t>TORSBY</t>
        </is>
      </c>
      <c r="G299" t="n">
        <v>14.4</v>
      </c>
      <c r="H299" t="n">
        <v>0</v>
      </c>
      <c r="I299" t="n">
        <v>0</v>
      </c>
      <c r="J299" t="n">
        <v>0</v>
      </c>
      <c r="K299" t="n">
        <v>0</v>
      </c>
      <c r="L299" t="n">
        <v>0</v>
      </c>
      <c r="M299" t="n">
        <v>0</v>
      </c>
      <c r="N299" t="n">
        <v>0</v>
      </c>
      <c r="O299" t="n">
        <v>0</v>
      </c>
      <c r="P299" t="n">
        <v>0</v>
      </c>
      <c r="Q299" t="n">
        <v>0</v>
      </c>
      <c r="R299" s="2" t="inlineStr"/>
    </row>
    <row r="300" ht="15" customHeight="1">
      <c r="A300" t="inlineStr">
        <is>
          <t>A 8739-2022</t>
        </is>
      </c>
      <c r="B300" s="1" t="n">
        <v>44615</v>
      </c>
      <c r="C300" s="1" t="n">
        <v>46191</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18628-2022</t>
        </is>
      </c>
      <c r="B301" s="1" t="n">
        <v>44687</v>
      </c>
      <c r="C301" s="1" t="n">
        <v>46191</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46934-2021</t>
        </is>
      </c>
      <c r="B302" s="1" t="n">
        <v>44446</v>
      </c>
      <c r="C302" s="1" t="n">
        <v>46191</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71255-2021</t>
        </is>
      </c>
      <c r="B303" s="1" t="n">
        <v>44538</v>
      </c>
      <c r="C303" s="1" t="n">
        <v>46191</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38179-2022</t>
        </is>
      </c>
      <c r="B304" s="1" t="n">
        <v>44812</v>
      </c>
      <c r="C304" s="1" t="n">
        <v>46191</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47466-2022</t>
        </is>
      </c>
      <c r="B305" s="1" t="n">
        <v>44852</v>
      </c>
      <c r="C305" s="1" t="n">
        <v>46191</v>
      </c>
      <c r="D305" t="inlineStr">
        <is>
          <t>VÄRMLANDS LÄN</t>
        </is>
      </c>
      <c r="E305" t="inlineStr">
        <is>
          <t>TORSBY</t>
        </is>
      </c>
      <c r="G305" t="n">
        <v>3</v>
      </c>
      <c r="H305" t="n">
        <v>0</v>
      </c>
      <c r="I305" t="n">
        <v>0</v>
      </c>
      <c r="J305" t="n">
        <v>0</v>
      </c>
      <c r="K305" t="n">
        <v>0</v>
      </c>
      <c r="L305" t="n">
        <v>0</v>
      </c>
      <c r="M305" t="n">
        <v>0</v>
      </c>
      <c r="N305" t="n">
        <v>0</v>
      </c>
      <c r="O305" t="n">
        <v>0</v>
      </c>
      <c r="P305" t="n">
        <v>0</v>
      </c>
      <c r="Q305" t="n">
        <v>0</v>
      </c>
      <c r="R305" s="2" t="inlineStr"/>
    </row>
    <row r="306" ht="15" customHeight="1">
      <c r="A306" t="inlineStr">
        <is>
          <t>A 37917-2022</t>
        </is>
      </c>
      <c r="B306" s="1" t="n">
        <v>44811</v>
      </c>
      <c r="C306" s="1" t="n">
        <v>46191</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46191</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70253-2021</t>
        </is>
      </c>
      <c r="B308" s="1" t="n">
        <v>44536</v>
      </c>
      <c r="C308" s="1" t="n">
        <v>46191</v>
      </c>
      <c r="D308" t="inlineStr">
        <is>
          <t>VÄRMLANDS LÄN</t>
        </is>
      </c>
      <c r="E308" t="inlineStr">
        <is>
          <t>TORSBY</t>
        </is>
      </c>
      <c r="G308" t="n">
        <v>4.3</v>
      </c>
      <c r="H308" t="n">
        <v>0</v>
      </c>
      <c r="I308" t="n">
        <v>0</v>
      </c>
      <c r="J308" t="n">
        <v>0</v>
      </c>
      <c r="K308" t="n">
        <v>0</v>
      </c>
      <c r="L308" t="n">
        <v>0</v>
      </c>
      <c r="M308" t="n">
        <v>0</v>
      </c>
      <c r="N308" t="n">
        <v>0</v>
      </c>
      <c r="O308" t="n">
        <v>0</v>
      </c>
      <c r="P308" t="n">
        <v>0</v>
      </c>
      <c r="Q308" t="n">
        <v>0</v>
      </c>
      <c r="R308" s="2" t="inlineStr"/>
    </row>
    <row r="309" ht="15" customHeight="1">
      <c r="A309" t="inlineStr">
        <is>
          <t>A 32003-2022</t>
        </is>
      </c>
      <c r="B309" s="1" t="n">
        <v>44778</v>
      </c>
      <c r="C309" s="1" t="n">
        <v>46191</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33181-2022</t>
        </is>
      </c>
      <c r="B310" s="1" t="n">
        <v>44785</v>
      </c>
      <c r="C310" s="1" t="n">
        <v>46191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39186-2022</t>
        </is>
      </c>
      <c r="B311" s="1" t="n">
        <v>44817</v>
      </c>
      <c r="C311" s="1" t="n">
        <v>46191</v>
      </c>
      <c r="D311" t="inlineStr">
        <is>
          <t>VÄRMLANDS LÄN</t>
        </is>
      </c>
      <c r="E311" t="inlineStr">
        <is>
          <t>TORSBY</t>
        </is>
      </c>
      <c r="F311" t="inlineStr">
        <is>
          <t>Bergvik skog väst AB</t>
        </is>
      </c>
      <c r="G311" t="n">
        <v>20.3</v>
      </c>
      <c r="H311" t="n">
        <v>0</v>
      </c>
      <c r="I311" t="n">
        <v>0</v>
      </c>
      <c r="J311" t="n">
        <v>0</v>
      </c>
      <c r="K311" t="n">
        <v>0</v>
      </c>
      <c r="L311" t="n">
        <v>0</v>
      </c>
      <c r="M311" t="n">
        <v>0</v>
      </c>
      <c r="N311" t="n">
        <v>0</v>
      </c>
      <c r="O311" t="n">
        <v>0</v>
      </c>
      <c r="P311" t="n">
        <v>0</v>
      </c>
      <c r="Q311" t="n">
        <v>0</v>
      </c>
      <c r="R311" s="2" t="inlineStr"/>
    </row>
    <row r="312" ht="15" customHeight="1">
      <c r="A312" t="inlineStr">
        <is>
          <t>A 35851-2022</t>
        </is>
      </c>
      <c r="B312" s="1" t="n">
        <v>44802</v>
      </c>
      <c r="C312" s="1" t="n">
        <v>46191</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11664-2022</t>
        </is>
      </c>
      <c r="B313" s="1" t="n">
        <v>44632</v>
      </c>
      <c r="C313" s="1" t="n">
        <v>46191</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53044-2022</t>
        </is>
      </c>
      <c r="B314" s="1" t="n">
        <v>44876</v>
      </c>
      <c r="C314" s="1" t="n">
        <v>46191</v>
      </c>
      <c r="D314" t="inlineStr">
        <is>
          <t>VÄRMLANDS LÄN</t>
        </is>
      </c>
      <c r="E314" t="inlineStr">
        <is>
          <t>TORSBY</t>
        </is>
      </c>
      <c r="G314" t="n">
        <v>0.2</v>
      </c>
      <c r="H314" t="n">
        <v>0</v>
      </c>
      <c r="I314" t="n">
        <v>0</v>
      </c>
      <c r="J314" t="n">
        <v>0</v>
      </c>
      <c r="K314" t="n">
        <v>0</v>
      </c>
      <c r="L314" t="n">
        <v>0</v>
      </c>
      <c r="M314" t="n">
        <v>0</v>
      </c>
      <c r="N314" t="n">
        <v>0</v>
      </c>
      <c r="O314" t="n">
        <v>0</v>
      </c>
      <c r="P314" t="n">
        <v>0</v>
      </c>
      <c r="Q314" t="n">
        <v>0</v>
      </c>
      <c r="R314" s="2" t="inlineStr"/>
    </row>
    <row r="315" ht="15" customHeight="1">
      <c r="A315" t="inlineStr">
        <is>
          <t>A 53076-2022</t>
        </is>
      </c>
      <c r="B315" s="1" t="n">
        <v>44876</v>
      </c>
      <c r="C315" s="1" t="n">
        <v>46191</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57287-2021</t>
        </is>
      </c>
      <c r="B316" s="1" t="n">
        <v>44482</v>
      </c>
      <c r="C316" s="1" t="n">
        <v>46191</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43052-2021</t>
        </is>
      </c>
      <c r="B317" s="1" t="n">
        <v>44431</v>
      </c>
      <c r="C317" s="1" t="n">
        <v>46191</v>
      </c>
      <c r="D317" t="inlineStr">
        <is>
          <t>VÄRMLANDS LÄN</t>
        </is>
      </c>
      <c r="E317" t="inlineStr">
        <is>
          <t>TORSBY</t>
        </is>
      </c>
      <c r="G317" t="n">
        <v>25.1</v>
      </c>
      <c r="H317" t="n">
        <v>0</v>
      </c>
      <c r="I317" t="n">
        <v>0</v>
      </c>
      <c r="J317" t="n">
        <v>0</v>
      </c>
      <c r="K317" t="n">
        <v>0</v>
      </c>
      <c r="L317" t="n">
        <v>0</v>
      </c>
      <c r="M317" t="n">
        <v>0</v>
      </c>
      <c r="N317" t="n">
        <v>0</v>
      </c>
      <c r="O317" t="n">
        <v>0</v>
      </c>
      <c r="P317" t="n">
        <v>0</v>
      </c>
      <c r="Q317" t="n">
        <v>0</v>
      </c>
      <c r="R317" s="2" t="inlineStr"/>
    </row>
    <row r="318" ht="15" customHeight="1">
      <c r="A318" t="inlineStr">
        <is>
          <t>A 45445-2021</t>
        </is>
      </c>
      <c r="B318" s="1" t="n">
        <v>44440</v>
      </c>
      <c r="C318" s="1" t="n">
        <v>46191</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49983-2022</t>
        </is>
      </c>
      <c r="B319" s="1" t="n">
        <v>44865</v>
      </c>
      <c r="C319" s="1" t="n">
        <v>46191</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52900-2021</t>
        </is>
      </c>
      <c r="B320" s="1" t="n">
        <v>44467</v>
      </c>
      <c r="C320" s="1" t="n">
        <v>46191</v>
      </c>
      <c r="D320" t="inlineStr">
        <is>
          <t>VÄRMLANDS LÄN</t>
        </is>
      </c>
      <c r="E320" t="inlineStr">
        <is>
          <t>TORSBY</t>
        </is>
      </c>
      <c r="G320" t="n">
        <v>3.8</v>
      </c>
      <c r="H320" t="n">
        <v>0</v>
      </c>
      <c r="I320" t="n">
        <v>0</v>
      </c>
      <c r="J320" t="n">
        <v>0</v>
      </c>
      <c r="K320" t="n">
        <v>0</v>
      </c>
      <c r="L320" t="n">
        <v>0</v>
      </c>
      <c r="M320" t="n">
        <v>0</v>
      </c>
      <c r="N320" t="n">
        <v>0</v>
      </c>
      <c r="O320" t="n">
        <v>0</v>
      </c>
      <c r="P320" t="n">
        <v>0</v>
      </c>
      <c r="Q320" t="n">
        <v>0</v>
      </c>
      <c r="R320" s="2" t="inlineStr"/>
    </row>
    <row r="321" ht="15" customHeight="1">
      <c r="A321" t="inlineStr">
        <is>
          <t>A 29509-2022</t>
        </is>
      </c>
      <c r="B321" s="1" t="n">
        <v>44753</v>
      </c>
      <c r="C321" s="1" t="n">
        <v>46191</v>
      </c>
      <c r="D321" t="inlineStr">
        <is>
          <t>VÄRMLANDS LÄN</t>
        </is>
      </c>
      <c r="E321" t="inlineStr">
        <is>
          <t>TORSBY</t>
        </is>
      </c>
      <c r="G321" t="n">
        <v>2.5</v>
      </c>
      <c r="H321" t="n">
        <v>0</v>
      </c>
      <c r="I321" t="n">
        <v>0</v>
      </c>
      <c r="J321" t="n">
        <v>0</v>
      </c>
      <c r="K321" t="n">
        <v>0</v>
      </c>
      <c r="L321" t="n">
        <v>0</v>
      </c>
      <c r="M321" t="n">
        <v>0</v>
      </c>
      <c r="N321" t="n">
        <v>0</v>
      </c>
      <c r="O321" t="n">
        <v>0</v>
      </c>
      <c r="P321" t="n">
        <v>0</v>
      </c>
      <c r="Q321" t="n">
        <v>0</v>
      </c>
      <c r="R321" s="2" t="inlineStr"/>
    </row>
    <row r="322" ht="15" customHeight="1">
      <c r="A322" t="inlineStr">
        <is>
          <t>A 20907-2022</t>
        </is>
      </c>
      <c r="B322" s="1" t="n">
        <v>44701</v>
      </c>
      <c r="C322" s="1" t="n">
        <v>46191</v>
      </c>
      <c r="D322" t="inlineStr">
        <is>
          <t>VÄRMLANDS LÄN</t>
        </is>
      </c>
      <c r="E322" t="inlineStr">
        <is>
          <t>TORSBY</t>
        </is>
      </c>
      <c r="G322" t="n">
        <v>2.3</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46191</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37608-2021</t>
        </is>
      </c>
      <c r="B324" s="1" t="n">
        <v>44399</v>
      </c>
      <c r="C324" s="1" t="n">
        <v>46191</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48712-2022</t>
        </is>
      </c>
      <c r="B325" s="1" t="n">
        <v>44859</v>
      </c>
      <c r="C325" s="1" t="n">
        <v>46191</v>
      </c>
      <c r="D325" t="inlineStr">
        <is>
          <t>VÄRMLANDS LÄN</t>
        </is>
      </c>
      <c r="E325" t="inlineStr">
        <is>
          <t>TORSBY</t>
        </is>
      </c>
      <c r="F325" t="inlineStr">
        <is>
          <t>Bergvik skog väst AB</t>
        </is>
      </c>
      <c r="G325" t="n">
        <v>22.7</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46191</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35606-2022</t>
        </is>
      </c>
      <c r="B327" s="1" t="n">
        <v>44799</v>
      </c>
      <c r="C327" s="1" t="n">
        <v>46191</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47083-2021</t>
        </is>
      </c>
      <c r="B328" s="1" t="n">
        <v>44446</v>
      </c>
      <c r="C328" s="1" t="n">
        <v>46191</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47098-2021</t>
        </is>
      </c>
      <c r="B329" s="1" t="n">
        <v>44446</v>
      </c>
      <c r="C329" s="1" t="n">
        <v>46191</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34694-2021</t>
        </is>
      </c>
      <c r="B330" s="1" t="n">
        <v>44382</v>
      </c>
      <c r="C330" s="1" t="n">
        <v>46191</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33182-2021</t>
        </is>
      </c>
      <c r="B331" s="1" t="n">
        <v>44376</v>
      </c>
      <c r="C331" s="1" t="n">
        <v>46191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46191</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29142-2022</t>
        </is>
      </c>
      <c r="B333" s="1" t="n">
        <v>44750</v>
      </c>
      <c r="C333" s="1" t="n">
        <v>46191</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v>
      </c>
      <c r="C334" s="1" t="n">
        <v>46191</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73442-2021</t>
        </is>
      </c>
      <c r="B335" s="1" t="n">
        <v>44551</v>
      </c>
      <c r="C335" s="1" t="n">
        <v>46191</v>
      </c>
      <c r="D335" t="inlineStr">
        <is>
          <t>VÄRMLANDS LÄN</t>
        </is>
      </c>
      <c r="E335" t="inlineStr">
        <is>
          <t>TORSBY</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36527-2022</t>
        </is>
      </c>
      <c r="B336" s="1" t="n">
        <v>44804</v>
      </c>
      <c r="C336" s="1" t="n">
        <v>46191</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36572-2022</t>
        </is>
      </c>
      <c r="B337" s="1" t="n">
        <v>44804</v>
      </c>
      <c r="C337" s="1" t="n">
        <v>46191</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46191</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33937-2021</t>
        </is>
      </c>
      <c r="B339" s="1" t="n">
        <v>44378</v>
      </c>
      <c r="C339" s="1" t="n">
        <v>46191</v>
      </c>
      <c r="D339" t="inlineStr">
        <is>
          <t>VÄRMLANDS LÄN</t>
        </is>
      </c>
      <c r="E339" t="inlineStr">
        <is>
          <t>TORSBY</t>
        </is>
      </c>
      <c r="G339" t="n">
        <v>3.1</v>
      </c>
      <c r="H339" t="n">
        <v>0</v>
      </c>
      <c r="I339" t="n">
        <v>0</v>
      </c>
      <c r="J339" t="n">
        <v>0</v>
      </c>
      <c r="K339" t="n">
        <v>0</v>
      </c>
      <c r="L339" t="n">
        <v>0</v>
      </c>
      <c r="M339" t="n">
        <v>0</v>
      </c>
      <c r="N339" t="n">
        <v>0</v>
      </c>
      <c r="O339" t="n">
        <v>0</v>
      </c>
      <c r="P339" t="n">
        <v>0</v>
      </c>
      <c r="Q339" t="n">
        <v>0</v>
      </c>
      <c r="R339" s="2" t="inlineStr"/>
    </row>
    <row r="340" ht="15" customHeight="1">
      <c r="A340" t="inlineStr">
        <is>
          <t>A 36587-2022</t>
        </is>
      </c>
      <c r="B340" s="1" t="n">
        <v>44804</v>
      </c>
      <c r="C340" s="1" t="n">
        <v>46191</v>
      </c>
      <c r="D340" t="inlineStr">
        <is>
          <t>VÄRMLANDS LÄN</t>
        </is>
      </c>
      <c r="E340" t="inlineStr">
        <is>
          <t>TORSBY</t>
        </is>
      </c>
      <c r="G340" t="n">
        <v>4.4</v>
      </c>
      <c r="H340" t="n">
        <v>0</v>
      </c>
      <c r="I340" t="n">
        <v>0</v>
      </c>
      <c r="J340" t="n">
        <v>0</v>
      </c>
      <c r="K340" t="n">
        <v>0</v>
      </c>
      <c r="L340" t="n">
        <v>0</v>
      </c>
      <c r="M340" t="n">
        <v>0</v>
      </c>
      <c r="N340" t="n">
        <v>0</v>
      </c>
      <c r="O340" t="n">
        <v>0</v>
      </c>
      <c r="P340" t="n">
        <v>0</v>
      </c>
      <c r="Q340" t="n">
        <v>0</v>
      </c>
      <c r="R340" s="2" t="inlineStr"/>
    </row>
    <row r="341" ht="15" customHeight="1">
      <c r="A341" t="inlineStr">
        <is>
          <t>A 66103-2021</t>
        </is>
      </c>
      <c r="B341" s="1" t="n">
        <v>44517</v>
      </c>
      <c r="C341" s="1" t="n">
        <v>46191</v>
      </c>
      <c r="D341" t="inlineStr">
        <is>
          <t>VÄRMLANDS LÄN</t>
        </is>
      </c>
      <c r="E341" t="inlineStr">
        <is>
          <t>TORSBY</t>
        </is>
      </c>
      <c r="G341" t="n">
        <v>1.6</v>
      </c>
      <c r="H341" t="n">
        <v>0</v>
      </c>
      <c r="I341" t="n">
        <v>0</v>
      </c>
      <c r="J341" t="n">
        <v>0</v>
      </c>
      <c r="K341" t="n">
        <v>0</v>
      </c>
      <c r="L341" t="n">
        <v>0</v>
      </c>
      <c r="M341" t="n">
        <v>0</v>
      </c>
      <c r="N341" t="n">
        <v>0</v>
      </c>
      <c r="O341" t="n">
        <v>0</v>
      </c>
      <c r="P341" t="n">
        <v>0</v>
      </c>
      <c r="Q341" t="n">
        <v>0</v>
      </c>
      <c r="R341" s="2" t="inlineStr"/>
    </row>
    <row r="342" ht="15" customHeight="1">
      <c r="A342" t="inlineStr">
        <is>
          <t>A 44517-2022</t>
        </is>
      </c>
      <c r="B342" s="1" t="n">
        <v>44840</v>
      </c>
      <c r="C342" s="1" t="n">
        <v>46191</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v>
      </c>
      <c r="C343" s="1" t="n">
        <v>46191</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46191</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32438-2022</t>
        </is>
      </c>
      <c r="B345" s="1" t="n">
        <v>44782</v>
      </c>
      <c r="C345" s="1" t="n">
        <v>46191</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46191</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69281-2021</t>
        </is>
      </c>
      <c r="B347" s="1" t="n">
        <v>44526</v>
      </c>
      <c r="C347" s="1" t="n">
        <v>46191</v>
      </c>
      <c r="D347" t="inlineStr">
        <is>
          <t>VÄRMLANDS LÄN</t>
        </is>
      </c>
      <c r="E347" t="inlineStr">
        <is>
          <t>TORSBY</t>
        </is>
      </c>
      <c r="G347" t="n">
        <v>7.5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v>
      </c>
      <c r="C348" s="1" t="n">
        <v>46191</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v>
      </c>
      <c r="C349" s="1" t="n">
        <v>46191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70775-2021</t>
        </is>
      </c>
      <c r="B350" s="1" t="n">
        <v>44537</v>
      </c>
      <c r="C350" s="1" t="n">
        <v>46191</v>
      </c>
      <c r="D350" t="inlineStr">
        <is>
          <t>VÄRMLANDS LÄN</t>
        </is>
      </c>
      <c r="E350" t="inlineStr">
        <is>
          <t>TORSBY</t>
        </is>
      </c>
      <c r="G350" t="n">
        <v>0.3</v>
      </c>
      <c r="H350" t="n">
        <v>0</v>
      </c>
      <c r="I350" t="n">
        <v>0</v>
      </c>
      <c r="J350" t="n">
        <v>0</v>
      </c>
      <c r="K350" t="n">
        <v>0</v>
      </c>
      <c r="L350" t="n">
        <v>0</v>
      </c>
      <c r="M350" t="n">
        <v>0</v>
      </c>
      <c r="N350" t="n">
        <v>0</v>
      </c>
      <c r="O350" t="n">
        <v>0</v>
      </c>
      <c r="P350" t="n">
        <v>0</v>
      </c>
      <c r="Q350" t="n">
        <v>0</v>
      </c>
      <c r="R350" s="2" t="inlineStr"/>
    </row>
    <row r="351" ht="15" customHeight="1">
      <c r="A351" t="inlineStr">
        <is>
          <t>A 997-2022</t>
        </is>
      </c>
      <c r="B351" s="1" t="n">
        <v>44571</v>
      </c>
      <c r="C351" s="1" t="n">
        <v>46191</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7543-2022</t>
        </is>
      </c>
      <c r="B352" s="1" t="n">
        <v>44607</v>
      </c>
      <c r="C352" s="1" t="n">
        <v>46191</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13698-2022</t>
        </is>
      </c>
      <c r="B353" s="1" t="n">
        <v>44648</v>
      </c>
      <c r="C353" s="1" t="n">
        <v>46191</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14145-2022</t>
        </is>
      </c>
      <c r="B354" s="1" t="n">
        <v>44651</v>
      </c>
      <c r="C354" s="1" t="n">
        <v>46191</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7921-2022</t>
        </is>
      </c>
      <c r="B355" s="1" t="n">
        <v>44608</v>
      </c>
      <c r="C355" s="1" t="n">
        <v>46191</v>
      </c>
      <c r="D355" t="inlineStr">
        <is>
          <t>VÄRMLANDS LÄN</t>
        </is>
      </c>
      <c r="E355" t="inlineStr">
        <is>
          <t>TORSBY</t>
        </is>
      </c>
      <c r="G355" t="n">
        <v>1.4</v>
      </c>
      <c r="H355" t="n">
        <v>0</v>
      </c>
      <c r="I355" t="n">
        <v>0</v>
      </c>
      <c r="J355" t="n">
        <v>0</v>
      </c>
      <c r="K355" t="n">
        <v>0</v>
      </c>
      <c r="L355" t="n">
        <v>0</v>
      </c>
      <c r="M355" t="n">
        <v>0</v>
      </c>
      <c r="N355" t="n">
        <v>0</v>
      </c>
      <c r="O355" t="n">
        <v>0</v>
      </c>
      <c r="P355" t="n">
        <v>0</v>
      </c>
      <c r="Q355" t="n">
        <v>0</v>
      </c>
      <c r="R355" s="2" t="inlineStr"/>
    </row>
    <row r="356" ht="15" customHeight="1">
      <c r="A356" t="inlineStr">
        <is>
          <t>A 45303-2022</t>
        </is>
      </c>
      <c r="B356" s="1" t="n">
        <v>44844</v>
      </c>
      <c r="C356" s="1" t="n">
        <v>46191</v>
      </c>
      <c r="D356" t="inlineStr">
        <is>
          <t>VÄRMLANDS LÄN</t>
        </is>
      </c>
      <c r="E356" t="inlineStr">
        <is>
          <t>TORSBY</t>
        </is>
      </c>
      <c r="G356" t="n">
        <v>1</v>
      </c>
      <c r="H356" t="n">
        <v>0</v>
      </c>
      <c r="I356" t="n">
        <v>0</v>
      </c>
      <c r="J356" t="n">
        <v>0</v>
      </c>
      <c r="K356" t="n">
        <v>0</v>
      </c>
      <c r="L356" t="n">
        <v>0</v>
      </c>
      <c r="M356" t="n">
        <v>0</v>
      </c>
      <c r="N356" t="n">
        <v>0</v>
      </c>
      <c r="O356" t="n">
        <v>0</v>
      </c>
      <c r="P356" t="n">
        <v>0</v>
      </c>
      <c r="Q356" t="n">
        <v>0</v>
      </c>
      <c r="R356" s="2" t="inlineStr"/>
    </row>
    <row r="357" ht="15" customHeight="1">
      <c r="A357" t="inlineStr">
        <is>
          <t>A 34581-2022</t>
        </is>
      </c>
      <c r="B357" s="1" t="n">
        <v>44792</v>
      </c>
      <c r="C357" s="1" t="n">
        <v>46191</v>
      </c>
      <c r="D357" t="inlineStr">
        <is>
          <t>VÄRMLANDS LÄN</t>
        </is>
      </c>
      <c r="E357" t="inlineStr">
        <is>
          <t>TORSBY</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37754-2022</t>
        </is>
      </c>
      <c r="B358" s="1" t="n">
        <v>44810</v>
      </c>
      <c r="C358" s="1" t="n">
        <v>46191</v>
      </c>
      <c r="D358" t="inlineStr">
        <is>
          <t>VÄRMLANDS LÄN</t>
        </is>
      </c>
      <c r="E358" t="inlineStr">
        <is>
          <t>TORSBY</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38905-2025</t>
        </is>
      </c>
      <c r="B359" s="1" t="n">
        <v>45884</v>
      </c>
      <c r="C359" s="1" t="n">
        <v>46191</v>
      </c>
      <c r="D359" t="inlineStr">
        <is>
          <t>VÄRMLANDS LÄN</t>
        </is>
      </c>
      <c r="E359" t="inlineStr">
        <is>
          <t>TORSBY</t>
        </is>
      </c>
      <c r="G359" t="n">
        <v>5.4</v>
      </c>
      <c r="H359" t="n">
        <v>0</v>
      </c>
      <c r="I359" t="n">
        <v>0</v>
      </c>
      <c r="J359" t="n">
        <v>0</v>
      </c>
      <c r="K359" t="n">
        <v>0</v>
      </c>
      <c r="L359" t="n">
        <v>0</v>
      </c>
      <c r="M359" t="n">
        <v>0</v>
      </c>
      <c r="N359" t="n">
        <v>0</v>
      </c>
      <c r="O359" t="n">
        <v>0</v>
      </c>
      <c r="P359" t="n">
        <v>0</v>
      </c>
      <c r="Q359" t="n">
        <v>0</v>
      </c>
      <c r="R359" s="2" t="inlineStr"/>
    </row>
    <row r="360" ht="15" customHeight="1">
      <c r="A360" t="inlineStr">
        <is>
          <t>A 67172-2021</t>
        </is>
      </c>
      <c r="B360" s="1" t="n">
        <v>44523</v>
      </c>
      <c r="C360" s="1" t="n">
        <v>46191</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46795-2021</t>
        </is>
      </c>
      <c r="B361" s="1" t="n">
        <v>44446</v>
      </c>
      <c r="C361" s="1" t="n">
        <v>46191</v>
      </c>
      <c r="D361" t="inlineStr">
        <is>
          <t>VÄRMLANDS LÄN</t>
        </is>
      </c>
      <c r="E361" t="inlineStr">
        <is>
          <t>TORSBY</t>
        </is>
      </c>
      <c r="G361" t="n">
        <v>6</v>
      </c>
      <c r="H361" t="n">
        <v>0</v>
      </c>
      <c r="I361" t="n">
        <v>0</v>
      </c>
      <c r="J361" t="n">
        <v>0</v>
      </c>
      <c r="K361" t="n">
        <v>0</v>
      </c>
      <c r="L361" t="n">
        <v>0</v>
      </c>
      <c r="M361" t="n">
        <v>0</v>
      </c>
      <c r="N361" t="n">
        <v>0</v>
      </c>
      <c r="O361" t="n">
        <v>0</v>
      </c>
      <c r="P361" t="n">
        <v>0</v>
      </c>
      <c r="Q361" t="n">
        <v>0</v>
      </c>
      <c r="R361" s="2" t="inlineStr"/>
    </row>
    <row r="362" ht="15" customHeight="1">
      <c r="A362" t="inlineStr">
        <is>
          <t>A 23735-2022</t>
        </is>
      </c>
      <c r="B362" s="1" t="n">
        <v>44722</v>
      </c>
      <c r="C362" s="1" t="n">
        <v>46191</v>
      </c>
      <c r="D362" t="inlineStr">
        <is>
          <t>VÄRMLANDS LÄN</t>
        </is>
      </c>
      <c r="E362" t="inlineStr">
        <is>
          <t>TORSBY</t>
        </is>
      </c>
      <c r="G362" t="n">
        <v>1.9</v>
      </c>
      <c r="H362" t="n">
        <v>0</v>
      </c>
      <c r="I362" t="n">
        <v>0</v>
      </c>
      <c r="J362" t="n">
        <v>0</v>
      </c>
      <c r="K362" t="n">
        <v>0</v>
      </c>
      <c r="L362" t="n">
        <v>0</v>
      </c>
      <c r="M362" t="n">
        <v>0</v>
      </c>
      <c r="N362" t="n">
        <v>0</v>
      </c>
      <c r="O362" t="n">
        <v>0</v>
      </c>
      <c r="P362" t="n">
        <v>0</v>
      </c>
      <c r="Q362" t="n">
        <v>0</v>
      </c>
      <c r="R362" s="2" t="inlineStr"/>
    </row>
    <row r="363" ht="15" customHeight="1">
      <c r="A363" t="inlineStr">
        <is>
          <t>A 1911-2022</t>
        </is>
      </c>
      <c r="B363" s="1" t="n">
        <v>44575</v>
      </c>
      <c r="C363" s="1" t="n">
        <v>46191</v>
      </c>
      <c r="D363" t="inlineStr">
        <is>
          <t>VÄRMLANDS LÄN</t>
        </is>
      </c>
      <c r="E363" t="inlineStr">
        <is>
          <t>TORSBY</t>
        </is>
      </c>
      <c r="F363" t="inlineStr">
        <is>
          <t>Kommuner</t>
        </is>
      </c>
      <c r="G363" t="n">
        <v>0.8</v>
      </c>
      <c r="H363" t="n">
        <v>0</v>
      </c>
      <c r="I363" t="n">
        <v>0</v>
      </c>
      <c r="J363" t="n">
        <v>0</v>
      </c>
      <c r="K363" t="n">
        <v>0</v>
      </c>
      <c r="L363" t="n">
        <v>0</v>
      </c>
      <c r="M363" t="n">
        <v>0</v>
      </c>
      <c r="N363" t="n">
        <v>0</v>
      </c>
      <c r="O363" t="n">
        <v>0</v>
      </c>
      <c r="P363" t="n">
        <v>0</v>
      </c>
      <c r="Q363" t="n">
        <v>0</v>
      </c>
      <c r="R363" s="2" t="inlineStr"/>
    </row>
    <row r="364" ht="15" customHeight="1">
      <c r="A364" t="inlineStr">
        <is>
          <t>A 10473-2023</t>
        </is>
      </c>
      <c r="B364" s="1" t="n">
        <v>44981</v>
      </c>
      <c r="C364" s="1" t="n">
        <v>46191</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38062-2024</t>
        </is>
      </c>
      <c r="B365" s="1" t="n">
        <v>45544</v>
      </c>
      <c r="C365" s="1" t="n">
        <v>46191</v>
      </c>
      <c r="D365" t="inlineStr">
        <is>
          <t>VÄRMLANDS LÄN</t>
        </is>
      </c>
      <c r="E365" t="inlineStr">
        <is>
          <t>TORSBY</t>
        </is>
      </c>
      <c r="F365" t="inlineStr">
        <is>
          <t>Bergvik skog väst AB</t>
        </is>
      </c>
      <c r="G365" t="n">
        <v>7.9</v>
      </c>
      <c r="H365" t="n">
        <v>0</v>
      </c>
      <c r="I365" t="n">
        <v>0</v>
      </c>
      <c r="J365" t="n">
        <v>0</v>
      </c>
      <c r="K365" t="n">
        <v>0</v>
      </c>
      <c r="L365" t="n">
        <v>0</v>
      </c>
      <c r="M365" t="n">
        <v>0</v>
      </c>
      <c r="N365" t="n">
        <v>0</v>
      </c>
      <c r="O365" t="n">
        <v>0</v>
      </c>
      <c r="P365" t="n">
        <v>0</v>
      </c>
      <c r="Q365" t="n">
        <v>0</v>
      </c>
      <c r="R365" s="2" t="inlineStr"/>
    </row>
    <row r="366" ht="15" customHeight="1">
      <c r="A366" t="inlineStr">
        <is>
          <t>A 41808-2021</t>
        </is>
      </c>
      <c r="B366" s="1" t="n">
        <v>44425</v>
      </c>
      <c r="C366" s="1" t="n">
        <v>46191</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46191</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v>
      </c>
      <c r="C368" s="1" t="n">
        <v>46191</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39217-2022</t>
        </is>
      </c>
      <c r="B369" s="1" t="n">
        <v>44817</v>
      </c>
      <c r="C369" s="1" t="n">
        <v>46191</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39221-2022</t>
        </is>
      </c>
      <c r="B370" s="1" t="n">
        <v>44817</v>
      </c>
      <c r="C370" s="1" t="n">
        <v>46191</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v>
      </c>
      <c r="C371" s="1" t="n">
        <v>46191</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v>
      </c>
      <c r="C372" s="1" t="n">
        <v>46191</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13791-2023</t>
        </is>
      </c>
      <c r="B373" s="1" t="n">
        <v>45005</v>
      </c>
      <c r="C373" s="1" t="n">
        <v>46191</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2662-2024</t>
        </is>
      </c>
      <c r="B374" s="1" t="n">
        <v>45314</v>
      </c>
      <c r="C374" s="1" t="n">
        <v>46191</v>
      </c>
      <c r="D374" t="inlineStr">
        <is>
          <t>VÄRMLANDS LÄN</t>
        </is>
      </c>
      <c r="E374" t="inlineStr">
        <is>
          <t>TORSBY</t>
        </is>
      </c>
      <c r="G374" t="n">
        <v>1.7</v>
      </c>
      <c r="H374" t="n">
        <v>0</v>
      </c>
      <c r="I374" t="n">
        <v>0</v>
      </c>
      <c r="J374" t="n">
        <v>0</v>
      </c>
      <c r="K374" t="n">
        <v>0</v>
      </c>
      <c r="L374" t="n">
        <v>0</v>
      </c>
      <c r="M374" t="n">
        <v>0</v>
      </c>
      <c r="N374" t="n">
        <v>0</v>
      </c>
      <c r="O374" t="n">
        <v>0</v>
      </c>
      <c r="P374" t="n">
        <v>0</v>
      </c>
      <c r="Q374" t="n">
        <v>0</v>
      </c>
      <c r="R374" s="2" t="inlineStr"/>
    </row>
    <row r="375" ht="15" customHeight="1">
      <c r="A375" t="inlineStr">
        <is>
          <t>A 33656-2023</t>
        </is>
      </c>
      <c r="B375" s="1" t="n">
        <v>45132</v>
      </c>
      <c r="C375" s="1" t="n">
        <v>46191</v>
      </c>
      <c r="D375" t="inlineStr">
        <is>
          <t>VÄRMLANDS LÄN</t>
        </is>
      </c>
      <c r="E375" t="inlineStr">
        <is>
          <t>TORSBY</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9793-2024</t>
        </is>
      </c>
      <c r="B376" s="1" t="n">
        <v>45362</v>
      </c>
      <c r="C376" s="1" t="n">
        <v>46191</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27195-2023</t>
        </is>
      </c>
      <c r="B377" s="1" t="n">
        <v>45096</v>
      </c>
      <c r="C377" s="1" t="n">
        <v>46191</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21757-2024</t>
        </is>
      </c>
      <c r="B378" s="1" t="n">
        <v>45442</v>
      </c>
      <c r="C378" s="1" t="n">
        <v>46191</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30110-2023</t>
        </is>
      </c>
      <c r="B379" s="1" t="n">
        <v>45110</v>
      </c>
      <c r="C379" s="1" t="n">
        <v>46191</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26166-2024</t>
        </is>
      </c>
      <c r="B380" s="1" t="n">
        <v>45468</v>
      </c>
      <c r="C380" s="1" t="n">
        <v>46191</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43037-2024</t>
        </is>
      </c>
      <c r="B381" s="1" t="n">
        <v>45567</v>
      </c>
      <c r="C381" s="1" t="n">
        <v>46191</v>
      </c>
      <c r="D381" t="inlineStr">
        <is>
          <t>VÄRMLANDS LÄN</t>
        </is>
      </c>
      <c r="E381" t="inlineStr">
        <is>
          <t>TORSBY</t>
        </is>
      </c>
      <c r="F381" t="inlineStr">
        <is>
          <t>Bergvik skog väst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24639-2023</t>
        </is>
      </c>
      <c r="B382" s="1" t="n">
        <v>45084</v>
      </c>
      <c r="C382" s="1" t="n">
        <v>46191</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73165-2021</t>
        </is>
      </c>
      <c r="B383" s="1" t="n">
        <v>44550</v>
      </c>
      <c r="C383" s="1" t="n">
        <v>46191</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8428-2025</t>
        </is>
      </c>
      <c r="B384" s="1" t="n">
        <v>45709</v>
      </c>
      <c r="C384" s="1" t="n">
        <v>46191</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27292-2024</t>
        </is>
      </c>
      <c r="B385" s="1" t="n">
        <v>45471</v>
      </c>
      <c r="C385" s="1" t="n">
        <v>46191</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7221-2024</t>
        </is>
      </c>
      <c r="B386" s="1" t="n">
        <v>45344</v>
      </c>
      <c r="C386" s="1" t="n">
        <v>46191</v>
      </c>
      <c r="D386" t="inlineStr">
        <is>
          <t>VÄRMLANDS LÄN</t>
        </is>
      </c>
      <c r="E386" t="inlineStr">
        <is>
          <t>TORSBY</t>
        </is>
      </c>
      <c r="G386" t="n">
        <v>8.1</v>
      </c>
      <c r="H386" t="n">
        <v>0</v>
      </c>
      <c r="I386" t="n">
        <v>0</v>
      </c>
      <c r="J386" t="n">
        <v>0</v>
      </c>
      <c r="K386" t="n">
        <v>0</v>
      </c>
      <c r="L386" t="n">
        <v>0</v>
      </c>
      <c r="M386" t="n">
        <v>0</v>
      </c>
      <c r="N386" t="n">
        <v>0</v>
      </c>
      <c r="O386" t="n">
        <v>0</v>
      </c>
      <c r="P386" t="n">
        <v>0</v>
      </c>
      <c r="Q386" t="n">
        <v>0</v>
      </c>
      <c r="R386" s="2" t="inlineStr"/>
    </row>
    <row r="387" ht="15" customHeight="1">
      <c r="A387" t="inlineStr">
        <is>
          <t>A 3269-2025</t>
        </is>
      </c>
      <c r="B387" s="1" t="n">
        <v>45679</v>
      </c>
      <c r="C387" s="1" t="n">
        <v>46191</v>
      </c>
      <c r="D387" t="inlineStr">
        <is>
          <t>VÄRMLANDS LÄN</t>
        </is>
      </c>
      <c r="E387" t="inlineStr">
        <is>
          <t>TORSBY</t>
        </is>
      </c>
      <c r="G387" t="n">
        <v>6.9</v>
      </c>
      <c r="H387" t="n">
        <v>0</v>
      </c>
      <c r="I387" t="n">
        <v>0</v>
      </c>
      <c r="J387" t="n">
        <v>0</v>
      </c>
      <c r="K387" t="n">
        <v>0</v>
      </c>
      <c r="L387" t="n">
        <v>0</v>
      </c>
      <c r="M387" t="n">
        <v>0</v>
      </c>
      <c r="N387" t="n">
        <v>0</v>
      </c>
      <c r="O387" t="n">
        <v>0</v>
      </c>
      <c r="P387" t="n">
        <v>0</v>
      </c>
      <c r="Q387" t="n">
        <v>0</v>
      </c>
      <c r="R387" s="2" t="inlineStr"/>
    </row>
    <row r="388" ht="15" customHeight="1">
      <c r="A388" t="inlineStr">
        <is>
          <t>A 44710-2023</t>
        </is>
      </c>
      <c r="B388" s="1" t="n">
        <v>45190</v>
      </c>
      <c r="C388" s="1" t="n">
        <v>46191</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24995-2024</t>
        </is>
      </c>
      <c r="B389" s="1" t="n">
        <v>45461</v>
      </c>
      <c r="C389" s="1" t="n">
        <v>46191</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423-2024</t>
        </is>
      </c>
      <c r="B390" s="1" t="n">
        <v>45296</v>
      </c>
      <c r="C390" s="1" t="n">
        <v>46191</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10583-2023</t>
        </is>
      </c>
      <c r="B391" s="1" t="n">
        <v>44988</v>
      </c>
      <c r="C391" s="1" t="n">
        <v>46191</v>
      </c>
      <c r="D391" t="inlineStr">
        <is>
          <t>VÄRMLANDS LÄN</t>
        </is>
      </c>
      <c r="E391" t="inlineStr">
        <is>
          <t>TORSBY</t>
        </is>
      </c>
      <c r="G391" t="n">
        <v>3.6</v>
      </c>
      <c r="H391" t="n">
        <v>0</v>
      </c>
      <c r="I391" t="n">
        <v>0</v>
      </c>
      <c r="J391" t="n">
        <v>0</v>
      </c>
      <c r="K391" t="n">
        <v>0</v>
      </c>
      <c r="L391" t="n">
        <v>0</v>
      </c>
      <c r="M391" t="n">
        <v>0</v>
      </c>
      <c r="N391" t="n">
        <v>0</v>
      </c>
      <c r="O391" t="n">
        <v>0</v>
      </c>
      <c r="P391" t="n">
        <v>0</v>
      </c>
      <c r="Q391" t="n">
        <v>0</v>
      </c>
      <c r="R391" s="2" t="inlineStr"/>
    </row>
    <row r="392" ht="15" customHeight="1">
      <c r="A392" t="inlineStr">
        <is>
          <t>A 39781-2022</t>
        </is>
      </c>
      <c r="B392" s="1" t="n">
        <v>44819</v>
      </c>
      <c r="C392" s="1" t="n">
        <v>46191</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11143-2024</t>
        </is>
      </c>
      <c r="B393" s="1" t="n">
        <v>45371</v>
      </c>
      <c r="C393" s="1" t="n">
        <v>46191</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34434-2022</t>
        </is>
      </c>
      <c r="B394" s="1" t="n">
        <v>44792</v>
      </c>
      <c r="C394" s="1" t="n">
        <v>46191</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43536-2023</t>
        </is>
      </c>
      <c r="B395" s="1" t="n">
        <v>45181</v>
      </c>
      <c r="C395" s="1" t="n">
        <v>46191</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63158-2023</t>
        </is>
      </c>
      <c r="B396" s="1" t="n">
        <v>45273</v>
      </c>
      <c r="C396" s="1" t="n">
        <v>46191</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41065-2022</t>
        </is>
      </c>
      <c r="B397" s="1" t="n">
        <v>44825</v>
      </c>
      <c r="C397" s="1" t="n">
        <v>46191</v>
      </c>
      <c r="D397" t="inlineStr">
        <is>
          <t>VÄRMLANDS LÄN</t>
        </is>
      </c>
      <c r="E397" t="inlineStr">
        <is>
          <t>TORSBY</t>
        </is>
      </c>
      <c r="F397" t="inlineStr">
        <is>
          <t>Kommuner</t>
        </is>
      </c>
      <c r="G397" t="n">
        <v>1.8</v>
      </c>
      <c r="H397" t="n">
        <v>0</v>
      </c>
      <c r="I397" t="n">
        <v>0</v>
      </c>
      <c r="J397" t="n">
        <v>0</v>
      </c>
      <c r="K397" t="n">
        <v>0</v>
      </c>
      <c r="L397" t="n">
        <v>0</v>
      </c>
      <c r="M397" t="n">
        <v>0</v>
      </c>
      <c r="N397" t="n">
        <v>0</v>
      </c>
      <c r="O397" t="n">
        <v>0</v>
      </c>
      <c r="P397" t="n">
        <v>0</v>
      </c>
      <c r="Q397" t="n">
        <v>0</v>
      </c>
      <c r="R397" s="2" t="inlineStr"/>
    </row>
    <row r="398" ht="15" customHeight="1">
      <c r="A398" t="inlineStr">
        <is>
          <t>A 44659-2024</t>
        </is>
      </c>
      <c r="B398" s="1" t="n">
        <v>45574</v>
      </c>
      <c r="C398" s="1" t="n">
        <v>46191</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62250-2023</t>
        </is>
      </c>
      <c r="B399" s="1" t="n">
        <v>45266</v>
      </c>
      <c r="C399" s="1" t="n">
        <v>46191</v>
      </c>
      <c r="D399" t="inlineStr">
        <is>
          <t>VÄRMLANDS LÄN</t>
        </is>
      </c>
      <c r="E399" t="inlineStr">
        <is>
          <t>TORSBY</t>
        </is>
      </c>
      <c r="G399" t="n">
        <v>4.7</v>
      </c>
      <c r="H399" t="n">
        <v>0</v>
      </c>
      <c r="I399" t="n">
        <v>0</v>
      </c>
      <c r="J399" t="n">
        <v>0</v>
      </c>
      <c r="K399" t="n">
        <v>0</v>
      </c>
      <c r="L399" t="n">
        <v>0</v>
      </c>
      <c r="M399" t="n">
        <v>0</v>
      </c>
      <c r="N399" t="n">
        <v>0</v>
      </c>
      <c r="O399" t="n">
        <v>0</v>
      </c>
      <c r="P399" t="n">
        <v>0</v>
      </c>
      <c r="Q399" t="n">
        <v>0</v>
      </c>
      <c r="R399" s="2" t="inlineStr"/>
    </row>
    <row r="400" ht="15" customHeight="1">
      <c r="A400" t="inlineStr">
        <is>
          <t>A 60385-2024</t>
        </is>
      </c>
      <c r="B400" s="1" t="n">
        <v>45643</v>
      </c>
      <c r="C400" s="1" t="n">
        <v>46191</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32340-2024</t>
        </is>
      </c>
      <c r="B401" s="1" t="n">
        <v>45512</v>
      </c>
      <c r="C401" s="1" t="n">
        <v>46191</v>
      </c>
      <c r="D401" t="inlineStr">
        <is>
          <t>VÄRMLANDS LÄN</t>
        </is>
      </c>
      <c r="E401" t="inlineStr">
        <is>
          <t>TORSBY</t>
        </is>
      </c>
      <c r="G401" t="n">
        <v>9.9</v>
      </c>
      <c r="H401" t="n">
        <v>0</v>
      </c>
      <c r="I401" t="n">
        <v>0</v>
      </c>
      <c r="J401" t="n">
        <v>0</v>
      </c>
      <c r="K401" t="n">
        <v>0</v>
      </c>
      <c r="L401" t="n">
        <v>0</v>
      </c>
      <c r="M401" t="n">
        <v>0</v>
      </c>
      <c r="N401" t="n">
        <v>0</v>
      </c>
      <c r="O401" t="n">
        <v>0</v>
      </c>
      <c r="P401" t="n">
        <v>0</v>
      </c>
      <c r="Q401" t="n">
        <v>0</v>
      </c>
      <c r="R401" s="2" t="inlineStr"/>
    </row>
    <row r="402" ht="15" customHeight="1">
      <c r="A402" t="inlineStr">
        <is>
          <t>A 39075-2024</t>
        </is>
      </c>
      <c r="B402" s="1" t="n">
        <v>45548</v>
      </c>
      <c r="C402" s="1" t="n">
        <v>46191</v>
      </c>
      <c r="D402" t="inlineStr">
        <is>
          <t>VÄRMLANDS LÄN</t>
        </is>
      </c>
      <c r="E402" t="inlineStr">
        <is>
          <t>TORSBY</t>
        </is>
      </c>
      <c r="G402" t="n">
        <v>5.8</v>
      </c>
      <c r="H402" t="n">
        <v>0</v>
      </c>
      <c r="I402" t="n">
        <v>0</v>
      </c>
      <c r="J402" t="n">
        <v>0</v>
      </c>
      <c r="K402" t="n">
        <v>0</v>
      </c>
      <c r="L402" t="n">
        <v>0</v>
      </c>
      <c r="M402" t="n">
        <v>0</v>
      </c>
      <c r="N402" t="n">
        <v>0</v>
      </c>
      <c r="O402" t="n">
        <v>0</v>
      </c>
      <c r="P402" t="n">
        <v>0</v>
      </c>
      <c r="Q402" t="n">
        <v>0</v>
      </c>
      <c r="R402" s="2" t="inlineStr"/>
    </row>
    <row r="403" ht="15" customHeight="1">
      <c r="A403" t="inlineStr">
        <is>
          <t>A 15992-2023</t>
        </is>
      </c>
      <c r="B403" s="1" t="n">
        <v>45023</v>
      </c>
      <c r="C403" s="1" t="n">
        <v>46191</v>
      </c>
      <c r="D403" t="inlineStr">
        <is>
          <t>VÄRMLANDS LÄN</t>
        </is>
      </c>
      <c r="E403" t="inlineStr">
        <is>
          <t>TORSBY</t>
        </is>
      </c>
      <c r="G403" t="n">
        <v>5.4</v>
      </c>
      <c r="H403" t="n">
        <v>0</v>
      </c>
      <c r="I403" t="n">
        <v>0</v>
      </c>
      <c r="J403" t="n">
        <v>0</v>
      </c>
      <c r="K403" t="n">
        <v>0</v>
      </c>
      <c r="L403" t="n">
        <v>0</v>
      </c>
      <c r="M403" t="n">
        <v>0</v>
      </c>
      <c r="N403" t="n">
        <v>0</v>
      </c>
      <c r="O403" t="n">
        <v>0</v>
      </c>
      <c r="P403" t="n">
        <v>0</v>
      </c>
      <c r="Q403" t="n">
        <v>0</v>
      </c>
      <c r="R403" s="2" t="inlineStr"/>
    </row>
    <row r="404" ht="15" customHeight="1">
      <c r="A404" t="inlineStr">
        <is>
          <t>A 16044-2023</t>
        </is>
      </c>
      <c r="B404" s="1" t="n">
        <v>45027</v>
      </c>
      <c r="C404" s="1" t="n">
        <v>46191</v>
      </c>
      <c r="D404" t="inlineStr">
        <is>
          <t>VÄRMLANDS LÄN</t>
        </is>
      </c>
      <c r="E404" t="inlineStr">
        <is>
          <t>TORSBY</t>
        </is>
      </c>
      <c r="G404" t="n">
        <v>4.3</v>
      </c>
      <c r="H404" t="n">
        <v>0</v>
      </c>
      <c r="I404" t="n">
        <v>0</v>
      </c>
      <c r="J404" t="n">
        <v>0</v>
      </c>
      <c r="K404" t="n">
        <v>0</v>
      </c>
      <c r="L404" t="n">
        <v>0</v>
      </c>
      <c r="M404" t="n">
        <v>0</v>
      </c>
      <c r="N404" t="n">
        <v>0</v>
      </c>
      <c r="O404" t="n">
        <v>0</v>
      </c>
      <c r="P404" t="n">
        <v>0</v>
      </c>
      <c r="Q404" t="n">
        <v>0</v>
      </c>
      <c r="R404" s="2" t="inlineStr"/>
    </row>
    <row r="405" ht="15" customHeight="1">
      <c r="A405" t="inlineStr">
        <is>
          <t>A 15083-2024</t>
        </is>
      </c>
      <c r="B405" s="1" t="n">
        <v>45399</v>
      </c>
      <c r="C405" s="1" t="n">
        <v>46191</v>
      </c>
      <c r="D405" t="inlineStr">
        <is>
          <t>VÄRMLANDS LÄN</t>
        </is>
      </c>
      <c r="E405" t="inlineStr">
        <is>
          <t>TORSBY</t>
        </is>
      </c>
      <c r="G405" t="n">
        <v>2.8</v>
      </c>
      <c r="H405" t="n">
        <v>0</v>
      </c>
      <c r="I405" t="n">
        <v>0</v>
      </c>
      <c r="J405" t="n">
        <v>0</v>
      </c>
      <c r="K405" t="n">
        <v>0</v>
      </c>
      <c r="L405" t="n">
        <v>0</v>
      </c>
      <c r="M405" t="n">
        <v>0</v>
      </c>
      <c r="N405" t="n">
        <v>0</v>
      </c>
      <c r="O405" t="n">
        <v>0</v>
      </c>
      <c r="P405" t="n">
        <v>0</v>
      </c>
      <c r="Q405" t="n">
        <v>0</v>
      </c>
      <c r="R405" s="2" t="inlineStr"/>
    </row>
    <row r="406" ht="15" customHeight="1">
      <c r="A406" t="inlineStr">
        <is>
          <t>A 56101-2024</t>
        </is>
      </c>
      <c r="B406" s="1" t="n">
        <v>45624</v>
      </c>
      <c r="C406" s="1" t="n">
        <v>46191</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22030-2023</t>
        </is>
      </c>
      <c r="B407" s="1" t="n">
        <v>45069</v>
      </c>
      <c r="C407" s="1" t="n">
        <v>46191</v>
      </c>
      <c r="D407" t="inlineStr">
        <is>
          <t>VÄRMLANDS LÄN</t>
        </is>
      </c>
      <c r="E407" t="inlineStr">
        <is>
          <t>TORSBY</t>
        </is>
      </c>
      <c r="F407" t="inlineStr">
        <is>
          <t>Bergvik skog väst AB</t>
        </is>
      </c>
      <c r="G407" t="n">
        <v>3.5</v>
      </c>
      <c r="H407" t="n">
        <v>0</v>
      </c>
      <c r="I407" t="n">
        <v>0</v>
      </c>
      <c r="J407" t="n">
        <v>0</v>
      </c>
      <c r="K407" t="n">
        <v>0</v>
      </c>
      <c r="L407" t="n">
        <v>0</v>
      </c>
      <c r="M407" t="n">
        <v>0</v>
      </c>
      <c r="N407" t="n">
        <v>0</v>
      </c>
      <c r="O407" t="n">
        <v>0</v>
      </c>
      <c r="P407" t="n">
        <v>0</v>
      </c>
      <c r="Q407" t="n">
        <v>0</v>
      </c>
      <c r="R407" s="2" t="inlineStr"/>
    </row>
    <row r="408" ht="15" customHeight="1">
      <c r="A408" t="inlineStr">
        <is>
          <t>A 37929-2022</t>
        </is>
      </c>
      <c r="B408" s="1" t="n">
        <v>44811</v>
      </c>
      <c r="C408" s="1" t="n">
        <v>46191</v>
      </c>
      <c r="D408" t="inlineStr">
        <is>
          <t>VÄRMLANDS LÄN</t>
        </is>
      </c>
      <c r="E408" t="inlineStr">
        <is>
          <t>TORSBY</t>
        </is>
      </c>
      <c r="G408" t="n">
        <v>2.6</v>
      </c>
      <c r="H408" t="n">
        <v>0</v>
      </c>
      <c r="I408" t="n">
        <v>0</v>
      </c>
      <c r="J408" t="n">
        <v>0</v>
      </c>
      <c r="K408" t="n">
        <v>0</v>
      </c>
      <c r="L408" t="n">
        <v>0</v>
      </c>
      <c r="M408" t="n">
        <v>0</v>
      </c>
      <c r="N408" t="n">
        <v>0</v>
      </c>
      <c r="O408" t="n">
        <v>0</v>
      </c>
      <c r="P408" t="n">
        <v>0</v>
      </c>
      <c r="Q408" t="n">
        <v>0</v>
      </c>
      <c r="R408" s="2" t="inlineStr"/>
    </row>
    <row r="409" ht="15" customHeight="1">
      <c r="A409" t="inlineStr">
        <is>
          <t>A 54618-2024</t>
        </is>
      </c>
      <c r="B409" s="1" t="n">
        <v>45617</v>
      </c>
      <c r="C409" s="1" t="n">
        <v>46191</v>
      </c>
      <c r="D409" t="inlineStr">
        <is>
          <t>VÄRMLANDS LÄN</t>
        </is>
      </c>
      <c r="E409" t="inlineStr">
        <is>
          <t>TORSBY</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38738-2025</t>
        </is>
      </c>
      <c r="B410" s="1" t="n">
        <v>45887</v>
      </c>
      <c r="C410" s="1" t="n">
        <v>46191</v>
      </c>
      <c r="D410" t="inlineStr">
        <is>
          <t>VÄRMLANDS LÄN</t>
        </is>
      </c>
      <c r="E410" t="inlineStr">
        <is>
          <t>TORSBY</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54204-2023</t>
        </is>
      </c>
      <c r="B411" s="1" t="n">
        <v>45232</v>
      </c>
      <c r="C411" s="1" t="n">
        <v>46191</v>
      </c>
      <c r="D411" t="inlineStr">
        <is>
          <t>VÄRMLANDS LÄN</t>
        </is>
      </c>
      <c r="E411" t="inlineStr">
        <is>
          <t>TORSBY</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37357-2023</t>
        </is>
      </c>
      <c r="B412" s="1" t="n">
        <v>45156</v>
      </c>
      <c r="C412" s="1" t="n">
        <v>46191</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14023-2025</t>
        </is>
      </c>
      <c r="B413" s="1" t="n">
        <v>45740</v>
      </c>
      <c r="C413" s="1" t="n">
        <v>46191</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38771-2025</t>
        </is>
      </c>
      <c r="B414" s="1" t="n">
        <v>45887</v>
      </c>
      <c r="C414" s="1" t="n">
        <v>46191</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38808-2025</t>
        </is>
      </c>
      <c r="B415" s="1" t="n">
        <v>45887</v>
      </c>
      <c r="C415" s="1" t="n">
        <v>46191</v>
      </c>
      <c r="D415" t="inlineStr">
        <is>
          <t>VÄRMLANDS LÄN</t>
        </is>
      </c>
      <c r="E415" t="inlineStr">
        <is>
          <t>TORSBY</t>
        </is>
      </c>
      <c r="G415" t="n">
        <v>4.6</v>
      </c>
      <c r="H415" t="n">
        <v>0</v>
      </c>
      <c r="I415" t="n">
        <v>0</v>
      </c>
      <c r="J415" t="n">
        <v>0</v>
      </c>
      <c r="K415" t="n">
        <v>0</v>
      </c>
      <c r="L415" t="n">
        <v>0</v>
      </c>
      <c r="M415" t="n">
        <v>0</v>
      </c>
      <c r="N415" t="n">
        <v>0</v>
      </c>
      <c r="O415" t="n">
        <v>0</v>
      </c>
      <c r="P415" t="n">
        <v>0</v>
      </c>
      <c r="Q415" t="n">
        <v>0</v>
      </c>
      <c r="R415" s="2" t="inlineStr"/>
    </row>
    <row r="416" ht="15" customHeight="1">
      <c r="A416" t="inlineStr">
        <is>
          <t>A 58386-2023</t>
        </is>
      </c>
      <c r="B416" s="1" t="n">
        <v>45250</v>
      </c>
      <c r="C416" s="1" t="n">
        <v>46191</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38662-2025</t>
        </is>
      </c>
      <c r="B417" s="1" t="n">
        <v>45884</v>
      </c>
      <c r="C417" s="1" t="n">
        <v>46191</v>
      </c>
      <c r="D417" t="inlineStr">
        <is>
          <t>VÄRMLANDS LÄN</t>
        </is>
      </c>
      <c r="E417" t="inlineStr">
        <is>
          <t>TORSBY</t>
        </is>
      </c>
      <c r="F417" t="inlineStr">
        <is>
          <t>Bergvik skog väst AB</t>
        </is>
      </c>
      <c r="G417" t="n">
        <v>5.1</v>
      </c>
      <c r="H417" t="n">
        <v>0</v>
      </c>
      <c r="I417" t="n">
        <v>0</v>
      </c>
      <c r="J417" t="n">
        <v>0</v>
      </c>
      <c r="K417" t="n">
        <v>0</v>
      </c>
      <c r="L417" t="n">
        <v>0</v>
      </c>
      <c r="M417" t="n">
        <v>0</v>
      </c>
      <c r="N417" t="n">
        <v>0</v>
      </c>
      <c r="O417" t="n">
        <v>0</v>
      </c>
      <c r="P417" t="n">
        <v>0</v>
      </c>
      <c r="Q417" t="n">
        <v>0</v>
      </c>
      <c r="R417" s="2" t="inlineStr"/>
    </row>
    <row r="418" ht="15" customHeight="1">
      <c r="A418" t="inlineStr">
        <is>
          <t>A 51823-2024</t>
        </is>
      </c>
      <c r="B418" s="1" t="n">
        <v>45607</v>
      </c>
      <c r="C418" s="1" t="n">
        <v>46191</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25579-2023</t>
        </is>
      </c>
      <c r="B419" s="1" t="n">
        <v>45089</v>
      </c>
      <c r="C419" s="1" t="n">
        <v>46191</v>
      </c>
      <c r="D419" t="inlineStr">
        <is>
          <t>VÄRMLANDS LÄN</t>
        </is>
      </c>
      <c r="E419" t="inlineStr">
        <is>
          <t>TORSBY</t>
        </is>
      </c>
      <c r="G419" t="n">
        <v>1.2</v>
      </c>
      <c r="H419" t="n">
        <v>0</v>
      </c>
      <c r="I419" t="n">
        <v>0</v>
      </c>
      <c r="J419" t="n">
        <v>0</v>
      </c>
      <c r="K419" t="n">
        <v>0</v>
      </c>
      <c r="L419" t="n">
        <v>0</v>
      </c>
      <c r="M419" t="n">
        <v>0</v>
      </c>
      <c r="N419" t="n">
        <v>0</v>
      </c>
      <c r="O419" t="n">
        <v>0</v>
      </c>
      <c r="P419" t="n">
        <v>0</v>
      </c>
      <c r="Q419" t="n">
        <v>0</v>
      </c>
      <c r="R419" s="2" t="inlineStr"/>
    </row>
    <row r="420" ht="15" customHeight="1">
      <c r="A420" t="inlineStr">
        <is>
          <t>A 39770-2024</t>
        </is>
      </c>
      <c r="B420" s="1" t="n">
        <v>45552</v>
      </c>
      <c r="C420" s="1" t="n">
        <v>46191</v>
      </c>
      <c r="D420" t="inlineStr">
        <is>
          <t>VÄRMLANDS LÄN</t>
        </is>
      </c>
      <c r="E420" t="inlineStr">
        <is>
          <t>TORSBY</t>
        </is>
      </c>
      <c r="G420" t="n">
        <v>1.5</v>
      </c>
      <c r="H420" t="n">
        <v>0</v>
      </c>
      <c r="I420" t="n">
        <v>0</v>
      </c>
      <c r="J420" t="n">
        <v>0</v>
      </c>
      <c r="K420" t="n">
        <v>0</v>
      </c>
      <c r="L420" t="n">
        <v>0</v>
      </c>
      <c r="M420" t="n">
        <v>0</v>
      </c>
      <c r="N420" t="n">
        <v>0</v>
      </c>
      <c r="O420" t="n">
        <v>0</v>
      </c>
      <c r="P420" t="n">
        <v>0</v>
      </c>
      <c r="Q420" t="n">
        <v>0</v>
      </c>
      <c r="R420" s="2" t="inlineStr"/>
    </row>
    <row r="421" ht="15" customHeight="1">
      <c r="A421" t="inlineStr">
        <is>
          <t>A 37818-2025</t>
        </is>
      </c>
      <c r="B421" s="1" t="n">
        <v>45881</v>
      </c>
      <c r="C421" s="1" t="n">
        <v>46191</v>
      </c>
      <c r="D421" t="inlineStr">
        <is>
          <t>VÄRMLANDS LÄN</t>
        </is>
      </c>
      <c r="E421" t="inlineStr">
        <is>
          <t>TORSBY</t>
        </is>
      </c>
      <c r="G421" t="n">
        <v>1.6</v>
      </c>
      <c r="H421" t="n">
        <v>0</v>
      </c>
      <c r="I421" t="n">
        <v>0</v>
      </c>
      <c r="J421" t="n">
        <v>0</v>
      </c>
      <c r="K421" t="n">
        <v>0</v>
      </c>
      <c r="L421" t="n">
        <v>0</v>
      </c>
      <c r="M421" t="n">
        <v>0</v>
      </c>
      <c r="N421" t="n">
        <v>0</v>
      </c>
      <c r="O421" t="n">
        <v>0</v>
      </c>
      <c r="P421" t="n">
        <v>0</v>
      </c>
      <c r="Q421" t="n">
        <v>0</v>
      </c>
      <c r="R421" s="2" t="inlineStr"/>
    </row>
    <row r="422" ht="15" customHeight="1">
      <c r="A422" t="inlineStr">
        <is>
          <t>A 17898-2023</t>
        </is>
      </c>
      <c r="B422" s="1" t="n">
        <v>45039</v>
      </c>
      <c r="C422" s="1" t="n">
        <v>46191</v>
      </c>
      <c r="D422" t="inlineStr">
        <is>
          <t>VÄRMLANDS LÄN</t>
        </is>
      </c>
      <c r="E422" t="inlineStr">
        <is>
          <t>TORSBY</t>
        </is>
      </c>
      <c r="G422" t="n">
        <v>0.3</v>
      </c>
      <c r="H422" t="n">
        <v>0</v>
      </c>
      <c r="I422" t="n">
        <v>0</v>
      </c>
      <c r="J422" t="n">
        <v>0</v>
      </c>
      <c r="K422" t="n">
        <v>0</v>
      </c>
      <c r="L422" t="n">
        <v>0</v>
      </c>
      <c r="M422" t="n">
        <v>0</v>
      </c>
      <c r="N422" t="n">
        <v>0</v>
      </c>
      <c r="O422" t="n">
        <v>0</v>
      </c>
      <c r="P422" t="n">
        <v>0</v>
      </c>
      <c r="Q422" t="n">
        <v>0</v>
      </c>
      <c r="R422" s="2" t="inlineStr"/>
    </row>
    <row r="423" ht="15" customHeight="1">
      <c r="A423" t="inlineStr">
        <is>
          <t>A 39039-2025</t>
        </is>
      </c>
      <c r="B423" s="1" t="n">
        <v>45888</v>
      </c>
      <c r="C423" s="1" t="n">
        <v>46191</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46195-2023</t>
        </is>
      </c>
      <c r="B424" s="1" t="n">
        <v>45196</v>
      </c>
      <c r="C424" s="1" t="n">
        <v>46191</v>
      </c>
      <c r="D424" t="inlineStr">
        <is>
          <t>VÄRMLANDS LÄN</t>
        </is>
      </c>
      <c r="E424" t="inlineStr">
        <is>
          <t>TORSBY</t>
        </is>
      </c>
      <c r="G424" t="n">
        <v>2.3</v>
      </c>
      <c r="H424" t="n">
        <v>0</v>
      </c>
      <c r="I424" t="n">
        <v>0</v>
      </c>
      <c r="J424" t="n">
        <v>0</v>
      </c>
      <c r="K424" t="n">
        <v>0</v>
      </c>
      <c r="L424" t="n">
        <v>0</v>
      </c>
      <c r="M424" t="n">
        <v>0</v>
      </c>
      <c r="N424" t="n">
        <v>0</v>
      </c>
      <c r="O424" t="n">
        <v>0</v>
      </c>
      <c r="P424" t="n">
        <v>0</v>
      </c>
      <c r="Q424" t="n">
        <v>0</v>
      </c>
      <c r="R424" s="2" t="inlineStr"/>
    </row>
    <row r="425" ht="15" customHeight="1">
      <c r="A425" t="inlineStr">
        <is>
          <t>A 23044-2024</t>
        </is>
      </c>
      <c r="B425" s="1" t="n">
        <v>45450</v>
      </c>
      <c r="C425" s="1" t="n">
        <v>46191</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24182-2024</t>
        </is>
      </c>
      <c r="B426" s="1" t="n">
        <v>45456</v>
      </c>
      <c r="C426" s="1" t="n">
        <v>46191</v>
      </c>
      <c r="D426" t="inlineStr">
        <is>
          <t>VÄRMLANDS LÄN</t>
        </is>
      </c>
      <c r="E426" t="inlineStr">
        <is>
          <t>TORSBY</t>
        </is>
      </c>
      <c r="F426" t="inlineStr">
        <is>
          <t>Bergvik skog väst AB</t>
        </is>
      </c>
      <c r="G426" t="n">
        <v>28.9</v>
      </c>
      <c r="H426" t="n">
        <v>0</v>
      </c>
      <c r="I426" t="n">
        <v>0</v>
      </c>
      <c r="J426" t="n">
        <v>0</v>
      </c>
      <c r="K426" t="n">
        <v>0</v>
      </c>
      <c r="L426" t="n">
        <v>0</v>
      </c>
      <c r="M426" t="n">
        <v>0</v>
      </c>
      <c r="N426" t="n">
        <v>0</v>
      </c>
      <c r="O426" t="n">
        <v>0</v>
      </c>
      <c r="P426" t="n">
        <v>0</v>
      </c>
      <c r="Q426" t="n">
        <v>0</v>
      </c>
      <c r="R426" s="2" t="inlineStr"/>
    </row>
    <row r="427" ht="15" customHeight="1">
      <c r="A427" t="inlineStr">
        <is>
          <t>A 39258-2025</t>
        </is>
      </c>
      <c r="B427" s="1" t="n">
        <v>45889</v>
      </c>
      <c r="C427" s="1" t="n">
        <v>46191</v>
      </c>
      <c r="D427" t="inlineStr">
        <is>
          <t>VÄRMLANDS LÄN</t>
        </is>
      </c>
      <c r="E427" t="inlineStr">
        <is>
          <t>TORSBY</t>
        </is>
      </c>
      <c r="F427" t="inlineStr">
        <is>
          <t>Bergvik skog väst AB</t>
        </is>
      </c>
      <c r="G427" t="n">
        <v>12.1</v>
      </c>
      <c r="H427" t="n">
        <v>0</v>
      </c>
      <c r="I427" t="n">
        <v>0</v>
      </c>
      <c r="J427" t="n">
        <v>0</v>
      </c>
      <c r="K427" t="n">
        <v>0</v>
      </c>
      <c r="L427" t="n">
        <v>0</v>
      </c>
      <c r="M427" t="n">
        <v>0</v>
      </c>
      <c r="N427" t="n">
        <v>0</v>
      </c>
      <c r="O427" t="n">
        <v>0</v>
      </c>
      <c r="P427" t="n">
        <v>0</v>
      </c>
      <c r="Q427" t="n">
        <v>0</v>
      </c>
      <c r="R427" s="2" t="inlineStr"/>
    </row>
    <row r="428" ht="15" customHeight="1">
      <c r="A428" t="inlineStr">
        <is>
          <t>A 26799-2024</t>
        </is>
      </c>
      <c r="B428" s="1" t="n">
        <v>45470</v>
      </c>
      <c r="C428" s="1" t="n">
        <v>46191</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39652-2025</t>
        </is>
      </c>
      <c r="B429" s="1" t="n">
        <v>45890</v>
      </c>
      <c r="C429" s="1" t="n">
        <v>46191</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63409-2023</t>
        </is>
      </c>
      <c r="B430" s="1" t="n">
        <v>45274</v>
      </c>
      <c r="C430" s="1" t="n">
        <v>46191</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2005-2026</t>
        </is>
      </c>
      <c r="B431" s="1" t="n">
        <v>46035</v>
      </c>
      <c r="C431" s="1" t="n">
        <v>46191</v>
      </c>
      <c r="D431" t="inlineStr">
        <is>
          <t>VÄRMLANDS LÄN</t>
        </is>
      </c>
      <c r="E431" t="inlineStr">
        <is>
          <t>TORSBY</t>
        </is>
      </c>
      <c r="G431" t="n">
        <v>3.7</v>
      </c>
      <c r="H431" t="n">
        <v>0</v>
      </c>
      <c r="I431" t="n">
        <v>0</v>
      </c>
      <c r="J431" t="n">
        <v>0</v>
      </c>
      <c r="K431" t="n">
        <v>0</v>
      </c>
      <c r="L431" t="n">
        <v>0</v>
      </c>
      <c r="M431" t="n">
        <v>0</v>
      </c>
      <c r="N431" t="n">
        <v>0</v>
      </c>
      <c r="O431" t="n">
        <v>0</v>
      </c>
      <c r="P431" t="n">
        <v>0</v>
      </c>
      <c r="Q431" t="n">
        <v>0</v>
      </c>
      <c r="R431" s="2" t="inlineStr"/>
    </row>
    <row r="432" ht="15" customHeight="1">
      <c r="A432" t="inlineStr">
        <is>
          <t>A 40195-2025</t>
        </is>
      </c>
      <c r="B432" s="1" t="n">
        <v>45894</v>
      </c>
      <c r="C432" s="1" t="n">
        <v>46191</v>
      </c>
      <c r="D432" t="inlineStr">
        <is>
          <t>VÄRMLANDS LÄN</t>
        </is>
      </c>
      <c r="E432" t="inlineStr">
        <is>
          <t>TORSBY</t>
        </is>
      </c>
      <c r="F432" t="inlineStr">
        <is>
          <t>Bergvik skog väst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40051-2025</t>
        </is>
      </c>
      <c r="B433" s="1" t="n">
        <v>45894</v>
      </c>
      <c r="C433" s="1" t="n">
        <v>46191</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2966-2026</t>
        </is>
      </c>
      <c r="B434" s="1" t="n">
        <v>46038</v>
      </c>
      <c r="C434" s="1" t="n">
        <v>46191</v>
      </c>
      <c r="D434" t="inlineStr">
        <is>
          <t>VÄRMLANDS LÄN</t>
        </is>
      </c>
      <c r="E434" t="inlineStr">
        <is>
          <t>TORSBY</t>
        </is>
      </c>
      <c r="G434" t="n">
        <v>5</v>
      </c>
      <c r="H434" t="n">
        <v>0</v>
      </c>
      <c r="I434" t="n">
        <v>0</v>
      </c>
      <c r="J434" t="n">
        <v>0</v>
      </c>
      <c r="K434" t="n">
        <v>0</v>
      </c>
      <c r="L434" t="n">
        <v>0</v>
      </c>
      <c r="M434" t="n">
        <v>0</v>
      </c>
      <c r="N434" t="n">
        <v>0</v>
      </c>
      <c r="O434" t="n">
        <v>0</v>
      </c>
      <c r="P434" t="n">
        <v>0</v>
      </c>
      <c r="Q434" t="n">
        <v>0</v>
      </c>
      <c r="R434" s="2" t="inlineStr"/>
    </row>
    <row r="435" ht="15" customHeight="1">
      <c r="A435" t="inlineStr">
        <is>
          <t>A 2960-2026</t>
        </is>
      </c>
      <c r="B435" s="1" t="n">
        <v>46038</v>
      </c>
      <c r="C435" s="1" t="n">
        <v>46191</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14303-2023</t>
        </is>
      </c>
      <c r="B436" s="1" t="n">
        <v>45011</v>
      </c>
      <c r="C436" s="1" t="n">
        <v>46191</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34427-2023</t>
        </is>
      </c>
      <c r="B437" s="1" t="n">
        <v>45139</v>
      </c>
      <c r="C437" s="1" t="n">
        <v>46191</v>
      </c>
      <c r="D437" t="inlineStr">
        <is>
          <t>VÄRMLANDS LÄN</t>
        </is>
      </c>
      <c r="E437" t="inlineStr">
        <is>
          <t>TORSBY</t>
        </is>
      </c>
      <c r="G437" t="n">
        <v>3.9</v>
      </c>
      <c r="H437" t="n">
        <v>0</v>
      </c>
      <c r="I437" t="n">
        <v>0</v>
      </c>
      <c r="J437" t="n">
        <v>0</v>
      </c>
      <c r="K437" t="n">
        <v>0</v>
      </c>
      <c r="L437" t="n">
        <v>0</v>
      </c>
      <c r="M437" t="n">
        <v>0</v>
      </c>
      <c r="N437" t="n">
        <v>0</v>
      </c>
      <c r="O437" t="n">
        <v>0</v>
      </c>
      <c r="P437" t="n">
        <v>0</v>
      </c>
      <c r="Q437" t="n">
        <v>0</v>
      </c>
      <c r="R437" s="2" t="inlineStr"/>
    </row>
    <row r="438" ht="15" customHeight="1">
      <c r="A438" t="inlineStr">
        <is>
          <t>A 15087-2023</t>
        </is>
      </c>
      <c r="B438" s="1" t="n">
        <v>45016</v>
      </c>
      <c r="C438" s="1" t="n">
        <v>46191</v>
      </c>
      <c r="D438" t="inlineStr">
        <is>
          <t>VÄRMLANDS LÄN</t>
        </is>
      </c>
      <c r="E438" t="inlineStr">
        <is>
          <t>TORSBY</t>
        </is>
      </c>
      <c r="F438" t="inlineStr">
        <is>
          <t>Bergvik skog väst AB</t>
        </is>
      </c>
      <c r="G438" t="n">
        <v>11.4</v>
      </c>
      <c r="H438" t="n">
        <v>0</v>
      </c>
      <c r="I438" t="n">
        <v>0</v>
      </c>
      <c r="J438" t="n">
        <v>0</v>
      </c>
      <c r="K438" t="n">
        <v>0</v>
      </c>
      <c r="L438" t="n">
        <v>0</v>
      </c>
      <c r="M438" t="n">
        <v>0</v>
      </c>
      <c r="N438" t="n">
        <v>0</v>
      </c>
      <c r="O438" t="n">
        <v>0</v>
      </c>
      <c r="P438" t="n">
        <v>0</v>
      </c>
      <c r="Q438" t="n">
        <v>0</v>
      </c>
      <c r="R438" s="2" t="inlineStr"/>
    </row>
    <row r="439" ht="15" customHeight="1">
      <c r="A439" t="inlineStr">
        <is>
          <t>A 2687-2026</t>
        </is>
      </c>
      <c r="B439" s="1" t="n">
        <v>46037</v>
      </c>
      <c r="C439" s="1" t="n">
        <v>46191</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39499-2025</t>
        </is>
      </c>
      <c r="B440" s="1" t="n">
        <v>45890</v>
      </c>
      <c r="C440" s="1" t="n">
        <v>46191</v>
      </c>
      <c r="D440" t="inlineStr">
        <is>
          <t>VÄRMLANDS LÄN</t>
        </is>
      </c>
      <c r="E440" t="inlineStr">
        <is>
          <t>TORSBY</t>
        </is>
      </c>
      <c r="F440" t="inlineStr">
        <is>
          <t>Kommuner</t>
        </is>
      </c>
      <c r="G440" t="n">
        <v>1.3</v>
      </c>
      <c r="H440" t="n">
        <v>0</v>
      </c>
      <c r="I440" t="n">
        <v>0</v>
      </c>
      <c r="J440" t="n">
        <v>0</v>
      </c>
      <c r="K440" t="n">
        <v>0</v>
      </c>
      <c r="L440" t="n">
        <v>0</v>
      </c>
      <c r="M440" t="n">
        <v>0</v>
      </c>
      <c r="N440" t="n">
        <v>0</v>
      </c>
      <c r="O440" t="n">
        <v>0</v>
      </c>
      <c r="P440" t="n">
        <v>0</v>
      </c>
      <c r="Q440" t="n">
        <v>0</v>
      </c>
      <c r="R440" s="2" t="inlineStr"/>
    </row>
    <row r="441" ht="15" customHeight="1">
      <c r="A441" t="inlineStr">
        <is>
          <t>A 18115-2025</t>
        </is>
      </c>
      <c r="B441" s="1" t="n">
        <v>45761</v>
      </c>
      <c r="C441" s="1" t="n">
        <v>46191</v>
      </c>
      <c r="D441" t="inlineStr">
        <is>
          <t>VÄRMLANDS LÄN</t>
        </is>
      </c>
      <c r="E441" t="inlineStr">
        <is>
          <t>TORSBY</t>
        </is>
      </c>
      <c r="G441" t="n">
        <v>2.5</v>
      </c>
      <c r="H441" t="n">
        <v>0</v>
      </c>
      <c r="I441" t="n">
        <v>0</v>
      </c>
      <c r="J441" t="n">
        <v>0</v>
      </c>
      <c r="K441" t="n">
        <v>0</v>
      </c>
      <c r="L441" t="n">
        <v>0</v>
      </c>
      <c r="M441" t="n">
        <v>0</v>
      </c>
      <c r="N441" t="n">
        <v>0</v>
      </c>
      <c r="O441" t="n">
        <v>0</v>
      </c>
      <c r="P441" t="n">
        <v>0</v>
      </c>
      <c r="Q441" t="n">
        <v>0</v>
      </c>
      <c r="R441" s="2" t="inlineStr"/>
    </row>
    <row r="442" ht="15" customHeight="1">
      <c r="A442" t="inlineStr">
        <is>
          <t>A 28035-2024</t>
        </is>
      </c>
      <c r="B442" s="1" t="n">
        <v>45476</v>
      </c>
      <c r="C442" s="1" t="n">
        <v>46191</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17001-2024</t>
        </is>
      </c>
      <c r="B443" s="1" t="n">
        <v>45412</v>
      </c>
      <c r="C443" s="1" t="n">
        <v>46191</v>
      </c>
      <c r="D443" t="inlineStr">
        <is>
          <t>VÄRMLANDS LÄN</t>
        </is>
      </c>
      <c r="E443" t="inlineStr">
        <is>
          <t>TORSBY</t>
        </is>
      </c>
      <c r="G443" t="n">
        <v>3.6</v>
      </c>
      <c r="H443" t="n">
        <v>0</v>
      </c>
      <c r="I443" t="n">
        <v>0</v>
      </c>
      <c r="J443" t="n">
        <v>0</v>
      </c>
      <c r="K443" t="n">
        <v>0</v>
      </c>
      <c r="L443" t="n">
        <v>0</v>
      </c>
      <c r="M443" t="n">
        <v>0</v>
      </c>
      <c r="N443" t="n">
        <v>0</v>
      </c>
      <c r="O443" t="n">
        <v>0</v>
      </c>
      <c r="P443" t="n">
        <v>0</v>
      </c>
      <c r="Q443" t="n">
        <v>0</v>
      </c>
      <c r="R443" s="2" t="inlineStr"/>
    </row>
    <row r="444" ht="15" customHeight="1">
      <c r="A444" t="inlineStr">
        <is>
          <t>A 2856-2026</t>
        </is>
      </c>
      <c r="B444" s="1" t="n">
        <v>46038</v>
      </c>
      <c r="C444" s="1" t="n">
        <v>46191</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2861-2026</t>
        </is>
      </c>
      <c r="B445" s="1" t="n">
        <v>46038</v>
      </c>
      <c r="C445" s="1" t="n">
        <v>46191</v>
      </c>
      <c r="D445" t="inlineStr">
        <is>
          <t>VÄRMLANDS LÄN</t>
        </is>
      </c>
      <c r="E445" t="inlineStr">
        <is>
          <t>TORSBY</t>
        </is>
      </c>
      <c r="G445" t="n">
        <v>5.7</v>
      </c>
      <c r="H445" t="n">
        <v>0</v>
      </c>
      <c r="I445" t="n">
        <v>0</v>
      </c>
      <c r="J445" t="n">
        <v>0</v>
      </c>
      <c r="K445" t="n">
        <v>0</v>
      </c>
      <c r="L445" t="n">
        <v>0</v>
      </c>
      <c r="M445" t="n">
        <v>0</v>
      </c>
      <c r="N445" t="n">
        <v>0</v>
      </c>
      <c r="O445" t="n">
        <v>0</v>
      </c>
      <c r="P445" t="n">
        <v>0</v>
      </c>
      <c r="Q445" t="n">
        <v>0</v>
      </c>
      <c r="R445" s="2" t="inlineStr"/>
    </row>
    <row r="446" ht="15" customHeight="1">
      <c r="A446" t="inlineStr">
        <is>
          <t>A 2865-2026</t>
        </is>
      </c>
      <c r="B446" s="1" t="n">
        <v>46038</v>
      </c>
      <c r="C446" s="1" t="n">
        <v>46191</v>
      </c>
      <c r="D446" t="inlineStr">
        <is>
          <t>VÄRMLANDS LÄN</t>
        </is>
      </c>
      <c r="E446" t="inlineStr">
        <is>
          <t>TORSBY</t>
        </is>
      </c>
      <c r="G446" t="n">
        <v>3.7</v>
      </c>
      <c r="H446" t="n">
        <v>0</v>
      </c>
      <c r="I446" t="n">
        <v>0</v>
      </c>
      <c r="J446" t="n">
        <v>0</v>
      </c>
      <c r="K446" t="n">
        <v>0</v>
      </c>
      <c r="L446" t="n">
        <v>0</v>
      </c>
      <c r="M446" t="n">
        <v>0</v>
      </c>
      <c r="N446" t="n">
        <v>0</v>
      </c>
      <c r="O446" t="n">
        <v>0</v>
      </c>
      <c r="P446" t="n">
        <v>0</v>
      </c>
      <c r="Q446" t="n">
        <v>0</v>
      </c>
      <c r="R446" s="2" t="inlineStr"/>
    </row>
    <row r="447" ht="15" customHeight="1">
      <c r="A447" t="inlineStr">
        <is>
          <t>A 48106-2023</t>
        </is>
      </c>
      <c r="B447" s="1" t="n">
        <v>45205</v>
      </c>
      <c r="C447" s="1" t="n">
        <v>46191</v>
      </c>
      <c r="D447" t="inlineStr">
        <is>
          <t>VÄRMLANDS LÄN</t>
        </is>
      </c>
      <c r="E447" t="inlineStr">
        <is>
          <t>TORSBY</t>
        </is>
      </c>
      <c r="G447" t="n">
        <v>3.9</v>
      </c>
      <c r="H447" t="n">
        <v>0</v>
      </c>
      <c r="I447" t="n">
        <v>0</v>
      </c>
      <c r="J447" t="n">
        <v>0</v>
      </c>
      <c r="K447" t="n">
        <v>0</v>
      </c>
      <c r="L447" t="n">
        <v>0</v>
      </c>
      <c r="M447" t="n">
        <v>0</v>
      </c>
      <c r="N447" t="n">
        <v>0</v>
      </c>
      <c r="O447" t="n">
        <v>0</v>
      </c>
      <c r="P447" t="n">
        <v>0</v>
      </c>
      <c r="Q447" t="n">
        <v>0</v>
      </c>
      <c r="R447" s="2" t="inlineStr"/>
    </row>
    <row r="448" ht="15" customHeight="1">
      <c r="A448" t="inlineStr">
        <is>
          <t>A 30267-2023</t>
        </is>
      </c>
      <c r="B448" s="1" t="n">
        <v>45110</v>
      </c>
      <c r="C448" s="1" t="n">
        <v>46191</v>
      </c>
      <c r="D448" t="inlineStr">
        <is>
          <t>VÄRMLANDS LÄN</t>
        </is>
      </c>
      <c r="E448" t="inlineStr">
        <is>
          <t>TORSBY</t>
        </is>
      </c>
      <c r="G448" t="n">
        <v>2.1</v>
      </c>
      <c r="H448" t="n">
        <v>0</v>
      </c>
      <c r="I448" t="n">
        <v>0</v>
      </c>
      <c r="J448" t="n">
        <v>0</v>
      </c>
      <c r="K448" t="n">
        <v>0</v>
      </c>
      <c r="L448" t="n">
        <v>0</v>
      </c>
      <c r="M448" t="n">
        <v>0</v>
      </c>
      <c r="N448" t="n">
        <v>0</v>
      </c>
      <c r="O448" t="n">
        <v>0</v>
      </c>
      <c r="P448" t="n">
        <v>0</v>
      </c>
      <c r="Q448" t="n">
        <v>0</v>
      </c>
      <c r="R448" s="2" t="inlineStr"/>
    </row>
    <row r="449" ht="15" customHeight="1">
      <c r="A449" t="inlineStr">
        <is>
          <t>A 30269-2023</t>
        </is>
      </c>
      <c r="B449" s="1" t="n">
        <v>45110</v>
      </c>
      <c r="C449" s="1" t="n">
        <v>46191</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70926-2021</t>
        </is>
      </c>
      <c r="B450" s="1" t="n">
        <v>44538</v>
      </c>
      <c r="C450" s="1" t="n">
        <v>46191</v>
      </c>
      <c r="D450" t="inlineStr">
        <is>
          <t>VÄRMLANDS LÄN</t>
        </is>
      </c>
      <c r="E450" t="inlineStr">
        <is>
          <t>TORSBY</t>
        </is>
      </c>
      <c r="G450" t="n">
        <v>6.5</v>
      </c>
      <c r="H450" t="n">
        <v>0</v>
      </c>
      <c r="I450" t="n">
        <v>0</v>
      </c>
      <c r="J450" t="n">
        <v>0</v>
      </c>
      <c r="K450" t="n">
        <v>0</v>
      </c>
      <c r="L450" t="n">
        <v>0</v>
      </c>
      <c r="M450" t="n">
        <v>0</v>
      </c>
      <c r="N450" t="n">
        <v>0</v>
      </c>
      <c r="O450" t="n">
        <v>0</v>
      </c>
      <c r="P450" t="n">
        <v>0</v>
      </c>
      <c r="Q450" t="n">
        <v>0</v>
      </c>
      <c r="R450" s="2" t="inlineStr"/>
    </row>
    <row r="451" ht="15" customHeight="1">
      <c r="A451" t="inlineStr">
        <is>
          <t>A 40519-2025</t>
        </is>
      </c>
      <c r="B451" s="1" t="n">
        <v>45896</v>
      </c>
      <c r="C451" s="1" t="n">
        <v>46191</v>
      </c>
      <c r="D451" t="inlineStr">
        <is>
          <t>VÄRMLANDS LÄN</t>
        </is>
      </c>
      <c r="E451" t="inlineStr">
        <is>
          <t>TORSBY</t>
        </is>
      </c>
      <c r="F451" t="inlineStr">
        <is>
          <t>Bergvik skog väst AB</t>
        </is>
      </c>
      <c r="G451" t="n">
        <v>0.4</v>
      </c>
      <c r="H451" t="n">
        <v>0</v>
      </c>
      <c r="I451" t="n">
        <v>0</v>
      </c>
      <c r="J451" t="n">
        <v>0</v>
      </c>
      <c r="K451" t="n">
        <v>0</v>
      </c>
      <c r="L451" t="n">
        <v>0</v>
      </c>
      <c r="M451" t="n">
        <v>0</v>
      </c>
      <c r="N451" t="n">
        <v>0</v>
      </c>
      <c r="O451" t="n">
        <v>0</v>
      </c>
      <c r="P451" t="n">
        <v>0</v>
      </c>
      <c r="Q451" t="n">
        <v>0</v>
      </c>
      <c r="R451" s="2" t="inlineStr"/>
    </row>
    <row r="452" ht="15" customHeight="1">
      <c r="A452" t="inlineStr">
        <is>
          <t>A 2559-2026</t>
        </is>
      </c>
      <c r="B452" s="1" t="n">
        <v>46037</v>
      </c>
      <c r="C452" s="1" t="n">
        <v>46191</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3414-2026</t>
        </is>
      </c>
      <c r="B453" s="1" t="n">
        <v>46042</v>
      </c>
      <c r="C453" s="1" t="n">
        <v>46191</v>
      </c>
      <c r="D453" t="inlineStr">
        <is>
          <t>VÄRMLANDS LÄN</t>
        </is>
      </c>
      <c r="E453" t="inlineStr">
        <is>
          <t>TORSBY</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36558-2024</t>
        </is>
      </c>
      <c r="B454" s="1" t="n">
        <v>45537</v>
      </c>
      <c r="C454" s="1" t="n">
        <v>46191</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18096-2025</t>
        </is>
      </c>
      <c r="B455" s="1" t="n">
        <v>45761</v>
      </c>
      <c r="C455" s="1" t="n">
        <v>46191</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41293-2025</t>
        </is>
      </c>
      <c r="B456" s="1" t="n">
        <v>45898</v>
      </c>
      <c r="C456" s="1" t="n">
        <v>46191</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40729-2025</t>
        </is>
      </c>
      <c r="B457" s="1" t="n">
        <v>45897</v>
      </c>
      <c r="C457" s="1" t="n">
        <v>46191</v>
      </c>
      <c r="D457" t="inlineStr">
        <is>
          <t>VÄRMLANDS LÄN</t>
        </is>
      </c>
      <c r="E457" t="inlineStr">
        <is>
          <t>TORSBY</t>
        </is>
      </c>
      <c r="F457" t="inlineStr">
        <is>
          <t>Bergvik skog väst AB</t>
        </is>
      </c>
      <c r="G457" t="n">
        <v>25.4</v>
      </c>
      <c r="H457" t="n">
        <v>0</v>
      </c>
      <c r="I457" t="n">
        <v>0</v>
      </c>
      <c r="J457" t="n">
        <v>0</v>
      </c>
      <c r="K457" t="n">
        <v>0</v>
      </c>
      <c r="L457" t="n">
        <v>0</v>
      </c>
      <c r="M457" t="n">
        <v>0</v>
      </c>
      <c r="N457" t="n">
        <v>0</v>
      </c>
      <c r="O457" t="n">
        <v>0</v>
      </c>
      <c r="P457" t="n">
        <v>0</v>
      </c>
      <c r="Q457" t="n">
        <v>0</v>
      </c>
      <c r="R457" s="2" t="inlineStr"/>
    </row>
    <row r="458" ht="15" customHeight="1">
      <c r="A458" t="inlineStr">
        <is>
          <t>A 3411-2026</t>
        </is>
      </c>
      <c r="B458" s="1" t="n">
        <v>46042</v>
      </c>
      <c r="C458" s="1" t="n">
        <v>46191</v>
      </c>
      <c r="D458" t="inlineStr">
        <is>
          <t>VÄRMLANDS LÄN</t>
        </is>
      </c>
      <c r="E458" t="inlineStr">
        <is>
          <t>TORSBY</t>
        </is>
      </c>
      <c r="F458" t="inlineStr">
        <is>
          <t>Bergvik skog väst AB</t>
        </is>
      </c>
      <c r="G458" t="n">
        <v>22.9</v>
      </c>
      <c r="H458" t="n">
        <v>0</v>
      </c>
      <c r="I458" t="n">
        <v>0</v>
      </c>
      <c r="J458" t="n">
        <v>0</v>
      </c>
      <c r="K458" t="n">
        <v>0</v>
      </c>
      <c r="L458" t="n">
        <v>0</v>
      </c>
      <c r="M458" t="n">
        <v>0</v>
      </c>
      <c r="N458" t="n">
        <v>0</v>
      </c>
      <c r="O458" t="n">
        <v>0</v>
      </c>
      <c r="P458" t="n">
        <v>0</v>
      </c>
      <c r="Q458" t="n">
        <v>0</v>
      </c>
      <c r="R458" s="2" t="inlineStr"/>
    </row>
    <row r="459" ht="15" customHeight="1">
      <c r="A459" t="inlineStr">
        <is>
          <t>A 46343-2024</t>
        </is>
      </c>
      <c r="B459" s="1" t="n">
        <v>45582</v>
      </c>
      <c r="C459" s="1" t="n">
        <v>46191</v>
      </c>
      <c r="D459" t="inlineStr">
        <is>
          <t>VÄRMLANDS LÄN</t>
        </is>
      </c>
      <c r="E459" t="inlineStr">
        <is>
          <t>TORSBY</t>
        </is>
      </c>
      <c r="G459" t="n">
        <v>1.7</v>
      </c>
      <c r="H459" t="n">
        <v>0</v>
      </c>
      <c r="I459" t="n">
        <v>0</v>
      </c>
      <c r="J459" t="n">
        <v>0</v>
      </c>
      <c r="K459" t="n">
        <v>0</v>
      </c>
      <c r="L459" t="n">
        <v>0</v>
      </c>
      <c r="M459" t="n">
        <v>0</v>
      </c>
      <c r="N459" t="n">
        <v>0</v>
      </c>
      <c r="O459" t="n">
        <v>0</v>
      </c>
      <c r="P459" t="n">
        <v>0</v>
      </c>
      <c r="Q459" t="n">
        <v>0</v>
      </c>
      <c r="R459" s="2" t="inlineStr"/>
    </row>
    <row r="460" ht="15" customHeight="1">
      <c r="A460" t="inlineStr">
        <is>
          <t>A 3409-2026</t>
        </is>
      </c>
      <c r="B460" s="1" t="n">
        <v>46042</v>
      </c>
      <c r="C460" s="1" t="n">
        <v>46191</v>
      </c>
      <c r="D460" t="inlineStr">
        <is>
          <t>VÄRMLANDS LÄN</t>
        </is>
      </c>
      <c r="E460" t="inlineStr">
        <is>
          <t>TORSBY</t>
        </is>
      </c>
      <c r="G460" t="n">
        <v>5.2</v>
      </c>
      <c r="H460" t="n">
        <v>0</v>
      </c>
      <c r="I460" t="n">
        <v>0</v>
      </c>
      <c r="J460" t="n">
        <v>0</v>
      </c>
      <c r="K460" t="n">
        <v>0</v>
      </c>
      <c r="L460" t="n">
        <v>0</v>
      </c>
      <c r="M460" t="n">
        <v>0</v>
      </c>
      <c r="N460" t="n">
        <v>0</v>
      </c>
      <c r="O460" t="n">
        <v>0</v>
      </c>
      <c r="P460" t="n">
        <v>0</v>
      </c>
      <c r="Q460" t="n">
        <v>0</v>
      </c>
      <c r="R460" s="2" t="inlineStr"/>
    </row>
    <row r="461" ht="15" customHeight="1">
      <c r="A461" t="inlineStr">
        <is>
          <t>A 3417-2026</t>
        </is>
      </c>
      <c r="B461" s="1" t="n">
        <v>46042</v>
      </c>
      <c r="C461" s="1" t="n">
        <v>46191</v>
      </c>
      <c r="D461" t="inlineStr">
        <is>
          <t>VÄRMLANDS LÄN</t>
        </is>
      </c>
      <c r="E461" t="inlineStr">
        <is>
          <t>TORSBY</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41209-2025</t>
        </is>
      </c>
      <c r="B462" s="1" t="n">
        <v>45898</v>
      </c>
      <c r="C462" s="1" t="n">
        <v>46191</v>
      </c>
      <c r="D462" t="inlineStr">
        <is>
          <t>VÄRMLANDS LÄN</t>
        </is>
      </c>
      <c r="E462" t="inlineStr">
        <is>
          <t>TORSBY</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14709-2023</t>
        </is>
      </c>
      <c r="B463" s="1" t="n">
        <v>45014</v>
      </c>
      <c r="C463" s="1" t="n">
        <v>46191</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41168-2025</t>
        </is>
      </c>
      <c r="B464" s="1" t="n">
        <v>45898</v>
      </c>
      <c r="C464" s="1" t="n">
        <v>46191</v>
      </c>
      <c r="D464" t="inlineStr">
        <is>
          <t>VÄRMLANDS LÄN</t>
        </is>
      </c>
      <c r="E464" t="inlineStr">
        <is>
          <t>TORSBY</t>
        </is>
      </c>
      <c r="F464" t="inlineStr">
        <is>
          <t>Övriga Aktiebolag</t>
        </is>
      </c>
      <c r="G464" t="n">
        <v>5</v>
      </c>
      <c r="H464" t="n">
        <v>0</v>
      </c>
      <c r="I464" t="n">
        <v>0</v>
      </c>
      <c r="J464" t="n">
        <v>0</v>
      </c>
      <c r="K464" t="n">
        <v>0</v>
      </c>
      <c r="L464" t="n">
        <v>0</v>
      </c>
      <c r="M464" t="n">
        <v>0</v>
      </c>
      <c r="N464" t="n">
        <v>0</v>
      </c>
      <c r="O464" t="n">
        <v>0</v>
      </c>
      <c r="P464" t="n">
        <v>0</v>
      </c>
      <c r="Q464" t="n">
        <v>0</v>
      </c>
      <c r="R464" s="2" t="inlineStr"/>
    </row>
    <row r="465" ht="15" customHeight="1">
      <c r="A465" t="inlineStr">
        <is>
          <t>A 41137-2025</t>
        </is>
      </c>
      <c r="B465" s="1" t="n">
        <v>45898</v>
      </c>
      <c r="C465" s="1" t="n">
        <v>46191</v>
      </c>
      <c r="D465" t="inlineStr">
        <is>
          <t>VÄRMLANDS LÄN</t>
        </is>
      </c>
      <c r="E465" t="inlineStr">
        <is>
          <t>TORSBY</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3211-2026</t>
        </is>
      </c>
      <c r="B466" s="1" t="n">
        <v>46041</v>
      </c>
      <c r="C466" s="1" t="n">
        <v>46191</v>
      </c>
      <c r="D466" t="inlineStr">
        <is>
          <t>VÄRMLANDS LÄN</t>
        </is>
      </c>
      <c r="E466" t="inlineStr">
        <is>
          <t>TORSBY</t>
        </is>
      </c>
      <c r="F466" t="inlineStr">
        <is>
          <t>Bergvik skog väst AB</t>
        </is>
      </c>
      <c r="G466" t="n">
        <v>6.9</v>
      </c>
      <c r="H466" t="n">
        <v>0</v>
      </c>
      <c r="I466" t="n">
        <v>0</v>
      </c>
      <c r="J466" t="n">
        <v>0</v>
      </c>
      <c r="K466" t="n">
        <v>0</v>
      </c>
      <c r="L466" t="n">
        <v>0</v>
      </c>
      <c r="M466" t="n">
        <v>0</v>
      </c>
      <c r="N466" t="n">
        <v>0</v>
      </c>
      <c r="O466" t="n">
        <v>0</v>
      </c>
      <c r="P466" t="n">
        <v>0</v>
      </c>
      <c r="Q466" t="n">
        <v>0</v>
      </c>
      <c r="R466" s="2" t="inlineStr"/>
    </row>
    <row r="467" ht="15" customHeight="1">
      <c r="A467" t="inlineStr">
        <is>
          <t>A 7636-2024</t>
        </is>
      </c>
      <c r="B467" s="1" t="n">
        <v>45348</v>
      </c>
      <c r="C467" s="1" t="n">
        <v>46191</v>
      </c>
      <c r="D467" t="inlineStr">
        <is>
          <t>VÄRMLANDS LÄN</t>
        </is>
      </c>
      <c r="E467" t="inlineStr">
        <is>
          <t>TORSBY</t>
        </is>
      </c>
      <c r="G467" t="n">
        <v>5.1</v>
      </c>
      <c r="H467" t="n">
        <v>0</v>
      </c>
      <c r="I467" t="n">
        <v>0</v>
      </c>
      <c r="J467" t="n">
        <v>0</v>
      </c>
      <c r="K467" t="n">
        <v>0</v>
      </c>
      <c r="L467" t="n">
        <v>0</v>
      </c>
      <c r="M467" t="n">
        <v>0</v>
      </c>
      <c r="N467" t="n">
        <v>0</v>
      </c>
      <c r="O467" t="n">
        <v>0</v>
      </c>
      <c r="P467" t="n">
        <v>0</v>
      </c>
      <c r="Q467" t="n">
        <v>0</v>
      </c>
      <c r="R467" s="2" t="inlineStr"/>
    </row>
    <row r="468" ht="15" customHeight="1">
      <c r="A468" t="inlineStr">
        <is>
          <t>A 5351-2024</t>
        </is>
      </c>
      <c r="B468" s="1" t="n">
        <v>45331</v>
      </c>
      <c r="C468" s="1" t="n">
        <v>46191</v>
      </c>
      <c r="D468" t="inlineStr">
        <is>
          <t>VÄRMLANDS LÄN</t>
        </is>
      </c>
      <c r="E468" t="inlineStr">
        <is>
          <t>TORSBY</t>
        </is>
      </c>
      <c r="G468" t="n">
        <v>8.9</v>
      </c>
      <c r="H468" t="n">
        <v>0</v>
      </c>
      <c r="I468" t="n">
        <v>0</v>
      </c>
      <c r="J468" t="n">
        <v>0</v>
      </c>
      <c r="K468" t="n">
        <v>0</v>
      </c>
      <c r="L468" t="n">
        <v>0</v>
      </c>
      <c r="M468" t="n">
        <v>0</v>
      </c>
      <c r="N468" t="n">
        <v>0</v>
      </c>
      <c r="O468" t="n">
        <v>0</v>
      </c>
      <c r="P468" t="n">
        <v>0</v>
      </c>
      <c r="Q468" t="n">
        <v>0</v>
      </c>
      <c r="R468" s="2" t="inlineStr"/>
    </row>
    <row r="469" ht="15" customHeight="1">
      <c r="A469" t="inlineStr">
        <is>
          <t>A 41232-2025</t>
        </is>
      </c>
      <c r="B469" s="1" t="n">
        <v>45898</v>
      </c>
      <c r="C469" s="1" t="n">
        <v>46191</v>
      </c>
      <c r="D469" t="inlineStr">
        <is>
          <t>VÄRMLANDS LÄN</t>
        </is>
      </c>
      <c r="E469" t="inlineStr">
        <is>
          <t>TORSBY</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41189-2025</t>
        </is>
      </c>
      <c r="B470" s="1" t="n">
        <v>45898</v>
      </c>
      <c r="C470" s="1" t="n">
        <v>46191</v>
      </c>
      <c r="D470" t="inlineStr">
        <is>
          <t>VÄRMLANDS LÄN</t>
        </is>
      </c>
      <c r="E470" t="inlineStr">
        <is>
          <t>TORSBY</t>
        </is>
      </c>
      <c r="F470" t="inlineStr">
        <is>
          <t>Övriga Aktiebolag</t>
        </is>
      </c>
      <c r="G470" t="n">
        <v>10.3</v>
      </c>
      <c r="H470" t="n">
        <v>0</v>
      </c>
      <c r="I470" t="n">
        <v>0</v>
      </c>
      <c r="J470" t="n">
        <v>0</v>
      </c>
      <c r="K470" t="n">
        <v>0</v>
      </c>
      <c r="L470" t="n">
        <v>0</v>
      </c>
      <c r="M470" t="n">
        <v>0</v>
      </c>
      <c r="N470" t="n">
        <v>0</v>
      </c>
      <c r="O470" t="n">
        <v>0</v>
      </c>
      <c r="P470" t="n">
        <v>0</v>
      </c>
      <c r="Q470" t="n">
        <v>0</v>
      </c>
      <c r="R470" s="2" t="inlineStr"/>
    </row>
    <row r="471" ht="15" customHeight="1">
      <c r="A471" t="inlineStr">
        <is>
          <t>A 41194-2025</t>
        </is>
      </c>
      <c r="B471" s="1" t="n">
        <v>45898</v>
      </c>
      <c r="C471" s="1" t="n">
        <v>46191</v>
      </c>
      <c r="D471" t="inlineStr">
        <is>
          <t>VÄRMLANDS LÄN</t>
        </is>
      </c>
      <c r="E471" t="inlineStr">
        <is>
          <t>TORSBY</t>
        </is>
      </c>
      <c r="F471" t="inlineStr">
        <is>
          <t>Bergvik skog väst AB</t>
        </is>
      </c>
      <c r="G471" t="n">
        <v>5.6</v>
      </c>
      <c r="H471" t="n">
        <v>0</v>
      </c>
      <c r="I471" t="n">
        <v>0</v>
      </c>
      <c r="J471" t="n">
        <v>0</v>
      </c>
      <c r="K471" t="n">
        <v>0</v>
      </c>
      <c r="L471" t="n">
        <v>0</v>
      </c>
      <c r="M471" t="n">
        <v>0</v>
      </c>
      <c r="N471" t="n">
        <v>0</v>
      </c>
      <c r="O471" t="n">
        <v>0</v>
      </c>
      <c r="P471" t="n">
        <v>0</v>
      </c>
      <c r="Q471" t="n">
        <v>0</v>
      </c>
      <c r="R471" s="2" t="inlineStr"/>
    </row>
    <row r="472" ht="15" customHeight="1">
      <c r="A472" t="inlineStr">
        <is>
          <t>A 3680-2026</t>
        </is>
      </c>
      <c r="B472" s="1" t="n">
        <v>46043</v>
      </c>
      <c r="C472" s="1" t="n">
        <v>46191</v>
      </c>
      <c r="D472" t="inlineStr">
        <is>
          <t>VÄRMLANDS LÄN</t>
        </is>
      </c>
      <c r="E472" t="inlineStr">
        <is>
          <t>TORSBY</t>
        </is>
      </c>
      <c r="G472" t="n">
        <v>5.5</v>
      </c>
      <c r="H472" t="n">
        <v>0</v>
      </c>
      <c r="I472" t="n">
        <v>0</v>
      </c>
      <c r="J472" t="n">
        <v>0</v>
      </c>
      <c r="K472" t="n">
        <v>0</v>
      </c>
      <c r="L472" t="n">
        <v>0</v>
      </c>
      <c r="M472" t="n">
        <v>0</v>
      </c>
      <c r="N472" t="n">
        <v>0</v>
      </c>
      <c r="O472" t="n">
        <v>0</v>
      </c>
      <c r="P472" t="n">
        <v>0</v>
      </c>
      <c r="Q472" t="n">
        <v>0</v>
      </c>
      <c r="R472" s="2" t="inlineStr"/>
    </row>
    <row r="473" ht="15" customHeight="1">
      <c r="A473" t="inlineStr">
        <is>
          <t>A 24111-2025</t>
        </is>
      </c>
      <c r="B473" s="1" t="n">
        <v>45796</v>
      </c>
      <c r="C473" s="1" t="n">
        <v>46191</v>
      </c>
      <c r="D473" t="inlineStr">
        <is>
          <t>VÄRMLANDS LÄN</t>
        </is>
      </c>
      <c r="E473" t="inlineStr">
        <is>
          <t>TORSBY</t>
        </is>
      </c>
      <c r="G473" t="n">
        <v>2.1</v>
      </c>
      <c r="H473" t="n">
        <v>0</v>
      </c>
      <c r="I473" t="n">
        <v>0</v>
      </c>
      <c r="J473" t="n">
        <v>0</v>
      </c>
      <c r="K473" t="n">
        <v>0</v>
      </c>
      <c r="L473" t="n">
        <v>0</v>
      </c>
      <c r="M473" t="n">
        <v>0</v>
      </c>
      <c r="N473" t="n">
        <v>0</v>
      </c>
      <c r="O473" t="n">
        <v>0</v>
      </c>
      <c r="P473" t="n">
        <v>0</v>
      </c>
      <c r="Q473" t="n">
        <v>0</v>
      </c>
      <c r="R473" s="2" t="inlineStr"/>
    </row>
    <row r="474" ht="15" customHeight="1">
      <c r="A474" t="inlineStr">
        <is>
          <t>A 11153-2024</t>
        </is>
      </c>
      <c r="B474" s="1" t="n">
        <v>45371</v>
      </c>
      <c r="C474" s="1" t="n">
        <v>46191</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11447-2022</t>
        </is>
      </c>
      <c r="B475" s="1" t="n">
        <v>44630</v>
      </c>
      <c r="C475" s="1" t="n">
        <v>46191</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3940-2026</t>
        </is>
      </c>
      <c r="B476" s="1" t="n">
        <v>46043</v>
      </c>
      <c r="C476" s="1" t="n">
        <v>46191</v>
      </c>
      <c r="D476" t="inlineStr">
        <is>
          <t>VÄRMLANDS LÄN</t>
        </is>
      </c>
      <c r="E476" t="inlineStr">
        <is>
          <t>TORSBY</t>
        </is>
      </c>
      <c r="G476" t="n">
        <v>2.1</v>
      </c>
      <c r="H476" t="n">
        <v>0</v>
      </c>
      <c r="I476" t="n">
        <v>0</v>
      </c>
      <c r="J476" t="n">
        <v>0</v>
      </c>
      <c r="K476" t="n">
        <v>0</v>
      </c>
      <c r="L476" t="n">
        <v>0</v>
      </c>
      <c r="M476" t="n">
        <v>0</v>
      </c>
      <c r="N476" t="n">
        <v>0</v>
      </c>
      <c r="O476" t="n">
        <v>0</v>
      </c>
      <c r="P476" t="n">
        <v>0</v>
      </c>
      <c r="Q476" t="n">
        <v>0</v>
      </c>
      <c r="R476" s="2" t="inlineStr"/>
    </row>
    <row r="477" ht="15" customHeight="1">
      <c r="A477" t="inlineStr">
        <is>
          <t>A 3884-2026</t>
        </is>
      </c>
      <c r="B477" s="1" t="n">
        <v>46043</v>
      </c>
      <c r="C477" s="1" t="n">
        <v>46191</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52057-2024</t>
        </is>
      </c>
      <c r="B478" s="1" t="n">
        <v>45608</v>
      </c>
      <c r="C478" s="1" t="n">
        <v>46191</v>
      </c>
      <c r="D478" t="inlineStr">
        <is>
          <t>VÄRMLANDS LÄN</t>
        </is>
      </c>
      <c r="E478" t="inlineStr">
        <is>
          <t>TORSBY</t>
        </is>
      </c>
      <c r="G478" t="n">
        <v>3.6</v>
      </c>
      <c r="H478" t="n">
        <v>0</v>
      </c>
      <c r="I478" t="n">
        <v>0</v>
      </c>
      <c r="J478" t="n">
        <v>0</v>
      </c>
      <c r="K478" t="n">
        <v>0</v>
      </c>
      <c r="L478" t="n">
        <v>0</v>
      </c>
      <c r="M478" t="n">
        <v>0</v>
      </c>
      <c r="N478" t="n">
        <v>0</v>
      </c>
      <c r="O478" t="n">
        <v>0</v>
      </c>
      <c r="P478" t="n">
        <v>0</v>
      </c>
      <c r="Q478" t="n">
        <v>0</v>
      </c>
      <c r="R478" s="2" t="inlineStr"/>
    </row>
    <row r="479" ht="15" customHeight="1">
      <c r="A479" t="inlineStr">
        <is>
          <t>A 52062-2024</t>
        </is>
      </c>
      <c r="B479" s="1" t="n">
        <v>45608</v>
      </c>
      <c r="C479" s="1" t="n">
        <v>46191</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29702-2025</t>
        </is>
      </c>
      <c r="B480" s="1" t="n">
        <v>45825</v>
      </c>
      <c r="C480" s="1" t="n">
        <v>46191</v>
      </c>
      <c r="D480" t="inlineStr">
        <is>
          <t>VÄRMLANDS LÄN</t>
        </is>
      </c>
      <c r="E480" t="inlineStr">
        <is>
          <t>TORSBY</t>
        </is>
      </c>
      <c r="G480" t="n">
        <v>8.6</v>
      </c>
      <c r="H480" t="n">
        <v>0</v>
      </c>
      <c r="I480" t="n">
        <v>0</v>
      </c>
      <c r="J480" t="n">
        <v>0</v>
      </c>
      <c r="K480" t="n">
        <v>0</v>
      </c>
      <c r="L480" t="n">
        <v>0</v>
      </c>
      <c r="M480" t="n">
        <v>0</v>
      </c>
      <c r="N480" t="n">
        <v>0</v>
      </c>
      <c r="O480" t="n">
        <v>0</v>
      </c>
      <c r="P480" t="n">
        <v>0</v>
      </c>
      <c r="Q480" t="n">
        <v>0</v>
      </c>
      <c r="R480" s="2" t="inlineStr"/>
    </row>
    <row r="481" ht="15" customHeight="1">
      <c r="A481" t="inlineStr">
        <is>
          <t>A 11670-2025</t>
        </is>
      </c>
      <c r="B481" s="1" t="n">
        <v>45727</v>
      </c>
      <c r="C481" s="1" t="n">
        <v>46191</v>
      </c>
      <c r="D481" t="inlineStr">
        <is>
          <t>VÄRMLANDS LÄN</t>
        </is>
      </c>
      <c r="E481" t="inlineStr">
        <is>
          <t>TORSBY</t>
        </is>
      </c>
      <c r="G481" t="n">
        <v>10.9</v>
      </c>
      <c r="H481" t="n">
        <v>0</v>
      </c>
      <c r="I481" t="n">
        <v>0</v>
      </c>
      <c r="J481" t="n">
        <v>0</v>
      </c>
      <c r="K481" t="n">
        <v>0</v>
      </c>
      <c r="L481" t="n">
        <v>0</v>
      </c>
      <c r="M481" t="n">
        <v>0</v>
      </c>
      <c r="N481" t="n">
        <v>0</v>
      </c>
      <c r="O481" t="n">
        <v>0</v>
      </c>
      <c r="P481" t="n">
        <v>0</v>
      </c>
      <c r="Q481" t="n">
        <v>0</v>
      </c>
      <c r="R481" s="2" t="inlineStr"/>
    </row>
    <row r="482" ht="15" customHeight="1">
      <c r="A482" t="inlineStr">
        <is>
          <t>A 53570-2024</t>
        </is>
      </c>
      <c r="B482" s="1" t="n">
        <v>45614</v>
      </c>
      <c r="C482" s="1" t="n">
        <v>46191</v>
      </c>
      <c r="D482" t="inlineStr">
        <is>
          <t>VÄRMLANDS LÄN</t>
        </is>
      </c>
      <c r="E482" t="inlineStr">
        <is>
          <t>TORSBY</t>
        </is>
      </c>
      <c r="G482" t="n">
        <v>15.5</v>
      </c>
      <c r="H482" t="n">
        <v>0</v>
      </c>
      <c r="I482" t="n">
        <v>0</v>
      </c>
      <c r="J482" t="n">
        <v>0</v>
      </c>
      <c r="K482" t="n">
        <v>0</v>
      </c>
      <c r="L482" t="n">
        <v>0</v>
      </c>
      <c r="M482" t="n">
        <v>0</v>
      </c>
      <c r="N482" t="n">
        <v>0</v>
      </c>
      <c r="O482" t="n">
        <v>0</v>
      </c>
      <c r="P482" t="n">
        <v>0</v>
      </c>
      <c r="Q482" t="n">
        <v>0</v>
      </c>
      <c r="R482" s="2" t="inlineStr"/>
    </row>
    <row r="483" ht="15" customHeight="1">
      <c r="A483" t="inlineStr">
        <is>
          <t>A 33189-2025</t>
        </is>
      </c>
      <c r="B483" s="1" t="n">
        <v>45840</v>
      </c>
      <c r="C483" s="1" t="n">
        <v>46191</v>
      </c>
      <c r="D483" t="inlineStr">
        <is>
          <t>VÄRMLANDS LÄN</t>
        </is>
      </c>
      <c r="E483" t="inlineStr">
        <is>
          <t>TORSBY</t>
        </is>
      </c>
      <c r="G483" t="n">
        <v>2.7</v>
      </c>
      <c r="H483" t="n">
        <v>0</v>
      </c>
      <c r="I483" t="n">
        <v>0</v>
      </c>
      <c r="J483" t="n">
        <v>0</v>
      </c>
      <c r="K483" t="n">
        <v>0</v>
      </c>
      <c r="L483" t="n">
        <v>0</v>
      </c>
      <c r="M483" t="n">
        <v>0</v>
      </c>
      <c r="N483" t="n">
        <v>0</v>
      </c>
      <c r="O483" t="n">
        <v>0</v>
      </c>
      <c r="P483" t="n">
        <v>0</v>
      </c>
      <c r="Q483" t="n">
        <v>0</v>
      </c>
      <c r="R483" s="2" t="inlineStr"/>
    </row>
    <row r="484" ht="15" customHeight="1">
      <c r="A484" t="inlineStr">
        <is>
          <t>A 16362-2025</t>
        </is>
      </c>
      <c r="B484" s="1" t="n">
        <v>45751</v>
      </c>
      <c r="C484" s="1" t="n">
        <v>46191</v>
      </c>
      <c r="D484" t="inlineStr">
        <is>
          <t>VÄRMLANDS LÄN</t>
        </is>
      </c>
      <c r="E484" t="inlineStr">
        <is>
          <t>TORSBY</t>
        </is>
      </c>
      <c r="G484" t="n">
        <v>2.7</v>
      </c>
      <c r="H484" t="n">
        <v>0</v>
      </c>
      <c r="I484" t="n">
        <v>0</v>
      </c>
      <c r="J484" t="n">
        <v>0</v>
      </c>
      <c r="K484" t="n">
        <v>0</v>
      </c>
      <c r="L484" t="n">
        <v>0</v>
      </c>
      <c r="M484" t="n">
        <v>0</v>
      </c>
      <c r="N484" t="n">
        <v>0</v>
      </c>
      <c r="O484" t="n">
        <v>0</v>
      </c>
      <c r="P484" t="n">
        <v>0</v>
      </c>
      <c r="Q484" t="n">
        <v>0</v>
      </c>
      <c r="R484" s="2" t="inlineStr"/>
    </row>
    <row r="485" ht="15" customHeight="1">
      <c r="A485" t="inlineStr">
        <is>
          <t>A 15885-2025</t>
        </is>
      </c>
      <c r="B485" s="1" t="n">
        <v>45749</v>
      </c>
      <c r="C485" s="1" t="n">
        <v>46191</v>
      </c>
      <c r="D485" t="inlineStr">
        <is>
          <t>VÄRMLANDS LÄN</t>
        </is>
      </c>
      <c r="E485" t="inlineStr">
        <is>
          <t>TORSBY</t>
        </is>
      </c>
      <c r="G485" t="n">
        <v>9.9</v>
      </c>
      <c r="H485" t="n">
        <v>0</v>
      </c>
      <c r="I485" t="n">
        <v>0</v>
      </c>
      <c r="J485" t="n">
        <v>0</v>
      </c>
      <c r="K485" t="n">
        <v>0</v>
      </c>
      <c r="L485" t="n">
        <v>0</v>
      </c>
      <c r="M485" t="n">
        <v>0</v>
      </c>
      <c r="N485" t="n">
        <v>0</v>
      </c>
      <c r="O485" t="n">
        <v>0</v>
      </c>
      <c r="P485" t="n">
        <v>0</v>
      </c>
      <c r="Q485" t="n">
        <v>0</v>
      </c>
      <c r="R485" s="2" t="inlineStr"/>
    </row>
    <row r="486" ht="15" customHeight="1">
      <c r="A486" t="inlineStr">
        <is>
          <t>A 20060-2025</t>
        </is>
      </c>
      <c r="B486" s="1" t="n">
        <v>45772</v>
      </c>
      <c r="C486" s="1" t="n">
        <v>46191</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41376-2025</t>
        </is>
      </c>
      <c r="B487" s="1" t="n">
        <v>45900</v>
      </c>
      <c r="C487" s="1" t="n">
        <v>46191</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4171-2026</t>
        </is>
      </c>
      <c r="B488" s="1" t="n">
        <v>46044</v>
      </c>
      <c r="C488" s="1" t="n">
        <v>46191</v>
      </c>
      <c r="D488" t="inlineStr">
        <is>
          <t>VÄRMLANDS LÄN</t>
        </is>
      </c>
      <c r="E488" t="inlineStr">
        <is>
          <t>TORSBY</t>
        </is>
      </c>
      <c r="G488" t="n">
        <v>2.2</v>
      </c>
      <c r="H488" t="n">
        <v>0</v>
      </c>
      <c r="I488" t="n">
        <v>0</v>
      </c>
      <c r="J488" t="n">
        <v>0</v>
      </c>
      <c r="K488" t="n">
        <v>0</v>
      </c>
      <c r="L488" t="n">
        <v>0</v>
      </c>
      <c r="M488" t="n">
        <v>0</v>
      </c>
      <c r="N488" t="n">
        <v>0</v>
      </c>
      <c r="O488" t="n">
        <v>0</v>
      </c>
      <c r="P488" t="n">
        <v>0</v>
      </c>
      <c r="Q488" t="n">
        <v>0</v>
      </c>
      <c r="R488" s="2" t="inlineStr"/>
    </row>
    <row r="489" ht="15" customHeight="1">
      <c r="A489" t="inlineStr">
        <is>
          <t>A 3685-2026</t>
        </is>
      </c>
      <c r="B489" s="1" t="n">
        <v>46043</v>
      </c>
      <c r="C489" s="1" t="n">
        <v>46191</v>
      </c>
      <c r="D489" t="inlineStr">
        <is>
          <t>VÄRMLANDS LÄN</t>
        </is>
      </c>
      <c r="E489" t="inlineStr">
        <is>
          <t>TORSBY</t>
        </is>
      </c>
      <c r="G489" t="n">
        <v>5.4</v>
      </c>
      <c r="H489" t="n">
        <v>0</v>
      </c>
      <c r="I489" t="n">
        <v>0</v>
      </c>
      <c r="J489" t="n">
        <v>0</v>
      </c>
      <c r="K489" t="n">
        <v>0</v>
      </c>
      <c r="L489" t="n">
        <v>0</v>
      </c>
      <c r="M489" t="n">
        <v>0</v>
      </c>
      <c r="N489" t="n">
        <v>0</v>
      </c>
      <c r="O489" t="n">
        <v>0</v>
      </c>
      <c r="P489" t="n">
        <v>0</v>
      </c>
      <c r="Q489" t="n">
        <v>0</v>
      </c>
      <c r="R489" s="2" t="inlineStr"/>
    </row>
    <row r="490" ht="15" customHeight="1">
      <c r="A490" t="inlineStr">
        <is>
          <t>A 18447-2025</t>
        </is>
      </c>
      <c r="B490" s="1" t="n">
        <v>45762</v>
      </c>
      <c r="C490" s="1" t="n">
        <v>46191</v>
      </c>
      <c r="D490" t="inlineStr">
        <is>
          <t>VÄRMLANDS LÄN</t>
        </is>
      </c>
      <c r="E490" t="inlineStr">
        <is>
          <t>TORSBY</t>
        </is>
      </c>
      <c r="G490" t="n">
        <v>12.8</v>
      </c>
      <c r="H490" t="n">
        <v>0</v>
      </c>
      <c r="I490" t="n">
        <v>0</v>
      </c>
      <c r="J490" t="n">
        <v>0</v>
      </c>
      <c r="K490" t="n">
        <v>0</v>
      </c>
      <c r="L490" t="n">
        <v>0</v>
      </c>
      <c r="M490" t="n">
        <v>0</v>
      </c>
      <c r="N490" t="n">
        <v>0</v>
      </c>
      <c r="O490" t="n">
        <v>0</v>
      </c>
      <c r="P490" t="n">
        <v>0</v>
      </c>
      <c r="Q490" t="n">
        <v>0</v>
      </c>
      <c r="R490" s="2" t="inlineStr"/>
    </row>
    <row r="491" ht="15" customHeight="1">
      <c r="A491" t="inlineStr">
        <is>
          <t>A 12933-2023</t>
        </is>
      </c>
      <c r="B491" s="1" t="n">
        <v>45001</v>
      </c>
      <c r="C491" s="1" t="n">
        <v>46191</v>
      </c>
      <c r="D491" t="inlineStr">
        <is>
          <t>VÄRMLANDS LÄN</t>
        </is>
      </c>
      <c r="E491" t="inlineStr">
        <is>
          <t>TORSBY</t>
        </is>
      </c>
      <c r="G491" t="n">
        <v>7.1</v>
      </c>
      <c r="H491" t="n">
        <v>0</v>
      </c>
      <c r="I491" t="n">
        <v>0</v>
      </c>
      <c r="J491" t="n">
        <v>0</v>
      </c>
      <c r="K491" t="n">
        <v>0</v>
      </c>
      <c r="L491" t="n">
        <v>0</v>
      </c>
      <c r="M491" t="n">
        <v>0</v>
      </c>
      <c r="N491" t="n">
        <v>0</v>
      </c>
      <c r="O491" t="n">
        <v>0</v>
      </c>
      <c r="P491" t="n">
        <v>0</v>
      </c>
      <c r="Q491" t="n">
        <v>0</v>
      </c>
      <c r="R491" s="2" t="inlineStr"/>
    </row>
    <row r="492" ht="15" customHeight="1">
      <c r="A492" t="inlineStr">
        <is>
          <t>A 54162-2023</t>
        </is>
      </c>
      <c r="B492" s="1" t="n">
        <v>45232</v>
      </c>
      <c r="C492" s="1" t="n">
        <v>46191</v>
      </c>
      <c r="D492" t="inlineStr">
        <is>
          <t>VÄRMLANDS LÄN</t>
        </is>
      </c>
      <c r="E492" t="inlineStr">
        <is>
          <t>TORSBY</t>
        </is>
      </c>
      <c r="F492" t="inlineStr">
        <is>
          <t>Bergvik skog väst AB</t>
        </is>
      </c>
      <c r="G492" t="n">
        <v>8.4</v>
      </c>
      <c r="H492" t="n">
        <v>0</v>
      </c>
      <c r="I492" t="n">
        <v>0</v>
      </c>
      <c r="J492" t="n">
        <v>0</v>
      </c>
      <c r="K492" t="n">
        <v>0</v>
      </c>
      <c r="L492" t="n">
        <v>0</v>
      </c>
      <c r="M492" t="n">
        <v>0</v>
      </c>
      <c r="N492" t="n">
        <v>0</v>
      </c>
      <c r="O492" t="n">
        <v>0</v>
      </c>
      <c r="P492" t="n">
        <v>0</v>
      </c>
      <c r="Q492" t="n">
        <v>0</v>
      </c>
      <c r="R492" s="2" t="inlineStr"/>
    </row>
    <row r="493" ht="15" customHeight="1">
      <c r="A493" t="inlineStr">
        <is>
          <t>A 54191-2023</t>
        </is>
      </c>
      <c r="B493" s="1" t="n">
        <v>45232</v>
      </c>
      <c r="C493" s="1" t="n">
        <v>46191</v>
      </c>
      <c r="D493" t="inlineStr">
        <is>
          <t>VÄRMLANDS LÄN</t>
        </is>
      </c>
      <c r="E493" t="inlineStr">
        <is>
          <t>TORSBY</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16789-2024</t>
        </is>
      </c>
      <c r="B494" s="1" t="n">
        <v>45411</v>
      </c>
      <c r="C494" s="1" t="n">
        <v>46191</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17488-2023</t>
        </is>
      </c>
      <c r="B495" s="1" t="n">
        <v>45036</v>
      </c>
      <c r="C495" s="1" t="n">
        <v>46191</v>
      </c>
      <c r="D495" t="inlineStr">
        <is>
          <t>VÄRMLANDS LÄN</t>
        </is>
      </c>
      <c r="E495" t="inlineStr">
        <is>
          <t>TORSBY</t>
        </is>
      </c>
      <c r="G495" t="n">
        <v>15.6</v>
      </c>
      <c r="H495" t="n">
        <v>0</v>
      </c>
      <c r="I495" t="n">
        <v>0</v>
      </c>
      <c r="J495" t="n">
        <v>0</v>
      </c>
      <c r="K495" t="n">
        <v>0</v>
      </c>
      <c r="L495" t="n">
        <v>0</v>
      </c>
      <c r="M495" t="n">
        <v>0</v>
      </c>
      <c r="N495" t="n">
        <v>0</v>
      </c>
      <c r="O495" t="n">
        <v>0</v>
      </c>
      <c r="P495" t="n">
        <v>0</v>
      </c>
      <c r="Q495" t="n">
        <v>0</v>
      </c>
      <c r="R495" s="2" t="inlineStr"/>
    </row>
    <row r="496" ht="15" customHeight="1">
      <c r="A496" t="inlineStr">
        <is>
          <t>A 53583-2024</t>
        </is>
      </c>
      <c r="B496" s="1" t="n">
        <v>45614</v>
      </c>
      <c r="C496" s="1" t="n">
        <v>46191</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4908-2024</t>
        </is>
      </c>
      <c r="B497" s="1" t="n">
        <v>45329</v>
      </c>
      <c r="C497" s="1" t="n">
        <v>46191</v>
      </c>
      <c r="D497" t="inlineStr">
        <is>
          <t>VÄRMLANDS LÄN</t>
        </is>
      </c>
      <c r="E497" t="inlineStr">
        <is>
          <t>TORSBY</t>
        </is>
      </c>
      <c r="G497" t="n">
        <v>4</v>
      </c>
      <c r="H497" t="n">
        <v>0</v>
      </c>
      <c r="I497" t="n">
        <v>0</v>
      </c>
      <c r="J497" t="n">
        <v>0</v>
      </c>
      <c r="K497" t="n">
        <v>0</v>
      </c>
      <c r="L497" t="n">
        <v>0</v>
      </c>
      <c r="M497" t="n">
        <v>0</v>
      </c>
      <c r="N497" t="n">
        <v>0</v>
      </c>
      <c r="O497" t="n">
        <v>0</v>
      </c>
      <c r="P497" t="n">
        <v>0</v>
      </c>
      <c r="Q497" t="n">
        <v>0</v>
      </c>
      <c r="R497" s="2" t="inlineStr"/>
    </row>
    <row r="498" ht="15" customHeight="1">
      <c r="A498" t="inlineStr">
        <is>
          <t>A 44838-2024</t>
        </is>
      </c>
      <c r="B498" s="1" t="n">
        <v>45574</v>
      </c>
      <c r="C498" s="1" t="n">
        <v>46191</v>
      </c>
      <c r="D498" t="inlineStr">
        <is>
          <t>VÄRMLANDS LÄN</t>
        </is>
      </c>
      <c r="E498" t="inlineStr">
        <is>
          <t>TORSBY</t>
        </is>
      </c>
      <c r="G498" t="n">
        <v>0.6</v>
      </c>
      <c r="H498" t="n">
        <v>0</v>
      </c>
      <c r="I498" t="n">
        <v>0</v>
      </c>
      <c r="J498" t="n">
        <v>0</v>
      </c>
      <c r="K498" t="n">
        <v>0</v>
      </c>
      <c r="L498" t="n">
        <v>0</v>
      </c>
      <c r="M498" t="n">
        <v>0</v>
      </c>
      <c r="N498" t="n">
        <v>0</v>
      </c>
      <c r="O498" t="n">
        <v>0</v>
      </c>
      <c r="P498" t="n">
        <v>0</v>
      </c>
      <c r="Q498" t="n">
        <v>0</v>
      </c>
      <c r="R498" s="2" t="inlineStr"/>
    </row>
    <row r="499" ht="15" customHeight="1">
      <c r="A499" t="inlineStr">
        <is>
          <t>A 22536-2024</t>
        </is>
      </c>
      <c r="B499" s="1" t="n">
        <v>45447</v>
      </c>
      <c r="C499" s="1" t="n">
        <v>46191</v>
      </c>
      <c r="D499" t="inlineStr">
        <is>
          <t>VÄRMLANDS LÄN</t>
        </is>
      </c>
      <c r="E499" t="inlineStr">
        <is>
          <t>TORSBY</t>
        </is>
      </c>
      <c r="G499" t="n">
        <v>25.2</v>
      </c>
      <c r="H499" t="n">
        <v>0</v>
      </c>
      <c r="I499" t="n">
        <v>0</v>
      </c>
      <c r="J499" t="n">
        <v>0</v>
      </c>
      <c r="K499" t="n">
        <v>0</v>
      </c>
      <c r="L499" t="n">
        <v>0</v>
      </c>
      <c r="M499" t="n">
        <v>0</v>
      </c>
      <c r="N499" t="n">
        <v>0</v>
      </c>
      <c r="O499" t="n">
        <v>0</v>
      </c>
      <c r="P499" t="n">
        <v>0</v>
      </c>
      <c r="Q499" t="n">
        <v>0</v>
      </c>
      <c r="R499" s="2" t="inlineStr"/>
    </row>
    <row r="500" ht="15" customHeight="1">
      <c r="A500" t="inlineStr">
        <is>
          <t>A 50680-2023</t>
        </is>
      </c>
      <c r="B500" s="1" t="n">
        <v>45217</v>
      </c>
      <c r="C500" s="1" t="n">
        <v>46191</v>
      </c>
      <c r="D500" t="inlineStr">
        <is>
          <t>VÄRMLANDS LÄN</t>
        </is>
      </c>
      <c r="E500" t="inlineStr">
        <is>
          <t>TORSBY</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37381-2025</t>
        </is>
      </c>
      <c r="B501" s="1" t="n">
        <v>45877</v>
      </c>
      <c r="C501" s="1" t="n">
        <v>46191</v>
      </c>
      <c r="D501" t="inlineStr">
        <is>
          <t>VÄRMLANDS LÄN</t>
        </is>
      </c>
      <c r="E501" t="inlineStr">
        <is>
          <t>TORSBY</t>
        </is>
      </c>
      <c r="G501" t="n">
        <v>0.8</v>
      </c>
      <c r="H501" t="n">
        <v>0</v>
      </c>
      <c r="I501" t="n">
        <v>0</v>
      </c>
      <c r="J501" t="n">
        <v>0</v>
      </c>
      <c r="K501" t="n">
        <v>0</v>
      </c>
      <c r="L501" t="n">
        <v>0</v>
      </c>
      <c r="M501" t="n">
        <v>0</v>
      </c>
      <c r="N501" t="n">
        <v>0</v>
      </c>
      <c r="O501" t="n">
        <v>0</v>
      </c>
      <c r="P501" t="n">
        <v>0</v>
      </c>
      <c r="Q501" t="n">
        <v>0</v>
      </c>
      <c r="R501" s="2" t="inlineStr"/>
    </row>
    <row r="502" ht="15" customHeight="1">
      <c r="A502" t="inlineStr">
        <is>
          <t>A 42352-2025</t>
        </is>
      </c>
      <c r="B502" s="1" t="n">
        <v>45904</v>
      </c>
      <c r="C502" s="1" t="n">
        <v>46191</v>
      </c>
      <c r="D502" t="inlineStr">
        <is>
          <t>VÄRMLANDS LÄN</t>
        </is>
      </c>
      <c r="E502" t="inlineStr">
        <is>
          <t>TORSBY</t>
        </is>
      </c>
      <c r="G502" t="n">
        <v>0.1</v>
      </c>
      <c r="H502" t="n">
        <v>0</v>
      </c>
      <c r="I502" t="n">
        <v>0</v>
      </c>
      <c r="J502" t="n">
        <v>0</v>
      </c>
      <c r="K502" t="n">
        <v>0</v>
      </c>
      <c r="L502" t="n">
        <v>0</v>
      </c>
      <c r="M502" t="n">
        <v>0</v>
      </c>
      <c r="N502" t="n">
        <v>0</v>
      </c>
      <c r="O502" t="n">
        <v>0</v>
      </c>
      <c r="P502" t="n">
        <v>0</v>
      </c>
      <c r="Q502" t="n">
        <v>0</v>
      </c>
      <c r="R502" s="2" t="inlineStr"/>
    </row>
    <row r="503" ht="15" customHeight="1">
      <c r="A503" t="inlineStr">
        <is>
          <t>A 52592-2024</t>
        </is>
      </c>
      <c r="B503" s="1" t="n">
        <v>45609</v>
      </c>
      <c r="C503" s="1" t="n">
        <v>46191</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42349-2025</t>
        </is>
      </c>
      <c r="B504" s="1" t="n">
        <v>45904</v>
      </c>
      <c r="C504" s="1" t="n">
        <v>46191</v>
      </c>
      <c r="D504" t="inlineStr">
        <is>
          <t>VÄRMLANDS LÄN</t>
        </is>
      </c>
      <c r="E504" t="inlineStr">
        <is>
          <t>TORSBY</t>
        </is>
      </c>
      <c r="G504" t="n">
        <v>0.2</v>
      </c>
      <c r="H504" t="n">
        <v>0</v>
      </c>
      <c r="I504" t="n">
        <v>0</v>
      </c>
      <c r="J504" t="n">
        <v>0</v>
      </c>
      <c r="K504" t="n">
        <v>0</v>
      </c>
      <c r="L504" t="n">
        <v>0</v>
      </c>
      <c r="M504" t="n">
        <v>0</v>
      </c>
      <c r="N504" t="n">
        <v>0</v>
      </c>
      <c r="O504" t="n">
        <v>0</v>
      </c>
      <c r="P504" t="n">
        <v>0</v>
      </c>
      <c r="Q504" t="n">
        <v>0</v>
      </c>
      <c r="R504" s="2" t="inlineStr"/>
    </row>
    <row r="505" ht="15" customHeight="1">
      <c r="A505" t="inlineStr">
        <is>
          <t>A 43988-2024</t>
        </is>
      </c>
      <c r="B505" s="1" t="n">
        <v>45572</v>
      </c>
      <c r="C505" s="1" t="n">
        <v>46191</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42354-2025</t>
        </is>
      </c>
      <c r="B506" s="1" t="n">
        <v>45904</v>
      </c>
      <c r="C506" s="1" t="n">
        <v>46191</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42273-2025</t>
        </is>
      </c>
      <c r="B507" s="1" t="n">
        <v>45904</v>
      </c>
      <c r="C507" s="1" t="n">
        <v>46191</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42350-2025</t>
        </is>
      </c>
      <c r="B508" s="1" t="n">
        <v>45904</v>
      </c>
      <c r="C508" s="1" t="n">
        <v>46191</v>
      </c>
      <c r="D508" t="inlineStr">
        <is>
          <t>VÄRMLANDS LÄN</t>
        </is>
      </c>
      <c r="E508" t="inlineStr">
        <is>
          <t>TORSBY</t>
        </is>
      </c>
      <c r="G508" t="n">
        <v>0.2</v>
      </c>
      <c r="H508" t="n">
        <v>0</v>
      </c>
      <c r="I508" t="n">
        <v>0</v>
      </c>
      <c r="J508" t="n">
        <v>0</v>
      </c>
      <c r="K508" t="n">
        <v>0</v>
      </c>
      <c r="L508" t="n">
        <v>0</v>
      </c>
      <c r="M508" t="n">
        <v>0</v>
      </c>
      <c r="N508" t="n">
        <v>0</v>
      </c>
      <c r="O508" t="n">
        <v>0</v>
      </c>
      <c r="P508" t="n">
        <v>0</v>
      </c>
      <c r="Q508" t="n">
        <v>0</v>
      </c>
      <c r="R508" s="2" t="inlineStr"/>
    </row>
    <row r="509" ht="15" customHeight="1">
      <c r="A509" t="inlineStr">
        <is>
          <t>A 42152-2025</t>
        </is>
      </c>
      <c r="B509" s="1" t="n">
        <v>45904</v>
      </c>
      <c r="C509" s="1" t="n">
        <v>46191</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43599-2023</t>
        </is>
      </c>
      <c r="B510" s="1" t="n">
        <v>45184</v>
      </c>
      <c r="C510" s="1" t="n">
        <v>46191</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4703-2026</t>
        </is>
      </c>
      <c r="B511" s="1" t="n">
        <v>46048</v>
      </c>
      <c r="C511" s="1" t="n">
        <v>46191</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73324-2021</t>
        </is>
      </c>
      <c r="B512" s="1" t="n">
        <v>44550</v>
      </c>
      <c r="C512" s="1" t="n">
        <v>46191</v>
      </c>
      <c r="D512" t="inlineStr">
        <is>
          <t>VÄRMLANDS LÄN</t>
        </is>
      </c>
      <c r="E512" t="inlineStr">
        <is>
          <t>TORSBY</t>
        </is>
      </c>
      <c r="G512" t="n">
        <v>9.9</v>
      </c>
      <c r="H512" t="n">
        <v>0</v>
      </c>
      <c r="I512" t="n">
        <v>0</v>
      </c>
      <c r="J512" t="n">
        <v>0</v>
      </c>
      <c r="K512" t="n">
        <v>0</v>
      </c>
      <c r="L512" t="n">
        <v>0</v>
      </c>
      <c r="M512" t="n">
        <v>0</v>
      </c>
      <c r="N512" t="n">
        <v>0</v>
      </c>
      <c r="O512" t="n">
        <v>0</v>
      </c>
      <c r="P512" t="n">
        <v>0</v>
      </c>
      <c r="Q512" t="n">
        <v>0</v>
      </c>
      <c r="R512" s="2" t="inlineStr"/>
    </row>
    <row r="513" ht="15" customHeight="1">
      <c r="A513" t="inlineStr">
        <is>
          <t>A 42149-2025</t>
        </is>
      </c>
      <c r="B513" s="1" t="n">
        <v>45904</v>
      </c>
      <c r="C513" s="1" t="n">
        <v>46191</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52689-2024</t>
        </is>
      </c>
      <c r="B514" s="1" t="n">
        <v>45610</v>
      </c>
      <c r="C514" s="1" t="n">
        <v>46191</v>
      </c>
      <c r="D514" t="inlineStr">
        <is>
          <t>VÄRMLANDS LÄN</t>
        </is>
      </c>
      <c r="E514" t="inlineStr">
        <is>
          <t>TORSBY</t>
        </is>
      </c>
      <c r="G514" t="n">
        <v>1.2</v>
      </c>
      <c r="H514" t="n">
        <v>0</v>
      </c>
      <c r="I514" t="n">
        <v>0</v>
      </c>
      <c r="J514" t="n">
        <v>0</v>
      </c>
      <c r="K514" t="n">
        <v>0</v>
      </c>
      <c r="L514" t="n">
        <v>0</v>
      </c>
      <c r="M514" t="n">
        <v>0</v>
      </c>
      <c r="N514" t="n">
        <v>0</v>
      </c>
      <c r="O514" t="n">
        <v>0</v>
      </c>
      <c r="P514" t="n">
        <v>0</v>
      </c>
      <c r="Q514" t="n">
        <v>0</v>
      </c>
      <c r="R514" s="2" t="inlineStr"/>
    </row>
    <row r="515" ht="15" customHeight="1">
      <c r="A515" t="inlineStr">
        <is>
          <t>A 34534-2024</t>
        </is>
      </c>
      <c r="B515" s="1" t="n">
        <v>45525</v>
      </c>
      <c r="C515" s="1" t="n">
        <v>46191</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22705-2023</t>
        </is>
      </c>
      <c r="B516" s="1" t="n">
        <v>45071</v>
      </c>
      <c r="C516" s="1" t="n">
        <v>46191</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53358-2024</t>
        </is>
      </c>
      <c r="B517" s="1" t="n">
        <v>45614</v>
      </c>
      <c r="C517" s="1" t="n">
        <v>46191</v>
      </c>
      <c r="D517" t="inlineStr">
        <is>
          <t>VÄRMLANDS LÄN</t>
        </is>
      </c>
      <c r="E517" t="inlineStr">
        <is>
          <t>TORSBY</t>
        </is>
      </c>
      <c r="G517" t="n">
        <v>0.3</v>
      </c>
      <c r="H517" t="n">
        <v>0</v>
      </c>
      <c r="I517" t="n">
        <v>0</v>
      </c>
      <c r="J517" t="n">
        <v>0</v>
      </c>
      <c r="K517" t="n">
        <v>0</v>
      </c>
      <c r="L517" t="n">
        <v>0</v>
      </c>
      <c r="M517" t="n">
        <v>0</v>
      </c>
      <c r="N517" t="n">
        <v>0</v>
      </c>
      <c r="O517" t="n">
        <v>0</v>
      </c>
      <c r="P517" t="n">
        <v>0</v>
      </c>
      <c r="Q517" t="n">
        <v>0</v>
      </c>
      <c r="R517" s="2" t="inlineStr"/>
    </row>
    <row r="518" ht="15" customHeight="1">
      <c r="A518" t="inlineStr">
        <is>
          <t>A 8054-2022</t>
        </is>
      </c>
      <c r="B518" s="1" t="n">
        <v>44609</v>
      </c>
      <c r="C518" s="1" t="n">
        <v>46191</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42720-2025</t>
        </is>
      </c>
      <c r="B519" s="1" t="n">
        <v>45908</v>
      </c>
      <c r="C519" s="1" t="n">
        <v>46191</v>
      </c>
      <c r="D519" t="inlineStr">
        <is>
          <t>VÄRMLANDS LÄN</t>
        </is>
      </c>
      <c r="E519" t="inlineStr">
        <is>
          <t>TORSBY</t>
        </is>
      </c>
      <c r="F519" t="inlineStr">
        <is>
          <t>Bergvik skog väst AB</t>
        </is>
      </c>
      <c r="G519" t="n">
        <v>6.8</v>
      </c>
      <c r="H519" t="n">
        <v>0</v>
      </c>
      <c r="I519" t="n">
        <v>0</v>
      </c>
      <c r="J519" t="n">
        <v>0</v>
      </c>
      <c r="K519" t="n">
        <v>0</v>
      </c>
      <c r="L519" t="n">
        <v>0</v>
      </c>
      <c r="M519" t="n">
        <v>0</v>
      </c>
      <c r="N519" t="n">
        <v>0</v>
      </c>
      <c r="O519" t="n">
        <v>0</v>
      </c>
      <c r="P519" t="n">
        <v>0</v>
      </c>
      <c r="Q519" t="n">
        <v>0</v>
      </c>
      <c r="R519" s="2" t="inlineStr"/>
    </row>
    <row r="520" ht="15" customHeight="1">
      <c r="A520" t="inlineStr">
        <is>
          <t>A 2195-2025</t>
        </is>
      </c>
      <c r="B520" s="1" t="n">
        <v>45673</v>
      </c>
      <c r="C520" s="1" t="n">
        <v>46191</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46914-2024</t>
        </is>
      </c>
      <c r="B521" s="1" t="n">
        <v>45583</v>
      </c>
      <c r="C521" s="1" t="n">
        <v>46191</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42742-2025</t>
        </is>
      </c>
      <c r="B522" s="1" t="n">
        <v>45908</v>
      </c>
      <c r="C522" s="1" t="n">
        <v>46191</v>
      </c>
      <c r="D522" t="inlineStr">
        <is>
          <t>VÄRMLANDS LÄN</t>
        </is>
      </c>
      <c r="E522" t="inlineStr">
        <is>
          <t>TORSBY</t>
        </is>
      </c>
      <c r="F522" t="inlineStr">
        <is>
          <t>Bergvik skog väst AB</t>
        </is>
      </c>
      <c r="G522" t="n">
        <v>0.5</v>
      </c>
      <c r="H522" t="n">
        <v>0</v>
      </c>
      <c r="I522" t="n">
        <v>0</v>
      </c>
      <c r="J522" t="n">
        <v>0</v>
      </c>
      <c r="K522" t="n">
        <v>0</v>
      </c>
      <c r="L522" t="n">
        <v>0</v>
      </c>
      <c r="M522" t="n">
        <v>0</v>
      </c>
      <c r="N522" t="n">
        <v>0</v>
      </c>
      <c r="O522" t="n">
        <v>0</v>
      </c>
      <c r="P522" t="n">
        <v>0</v>
      </c>
      <c r="Q522" t="n">
        <v>0</v>
      </c>
      <c r="R522" s="2" t="inlineStr"/>
    </row>
    <row r="523" ht="15" customHeight="1">
      <c r="A523" t="inlineStr">
        <is>
          <t>A 32319-2024</t>
        </is>
      </c>
      <c r="B523" s="1" t="n">
        <v>45512</v>
      </c>
      <c r="C523" s="1" t="n">
        <v>46191</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4988-2026</t>
        </is>
      </c>
      <c r="B524" s="1" t="n">
        <v>46049</v>
      </c>
      <c r="C524" s="1" t="n">
        <v>46191</v>
      </c>
      <c r="D524" t="inlineStr">
        <is>
          <t>VÄRMLANDS LÄN</t>
        </is>
      </c>
      <c r="E524" t="inlineStr">
        <is>
          <t>TORSBY</t>
        </is>
      </c>
      <c r="F524" t="inlineStr">
        <is>
          <t>Bergvik skog väst AB</t>
        </is>
      </c>
      <c r="G524" t="n">
        <v>3.5</v>
      </c>
      <c r="H524" t="n">
        <v>0</v>
      </c>
      <c r="I524" t="n">
        <v>0</v>
      </c>
      <c r="J524" t="n">
        <v>0</v>
      </c>
      <c r="K524" t="n">
        <v>0</v>
      </c>
      <c r="L524" t="n">
        <v>0</v>
      </c>
      <c r="M524" t="n">
        <v>0</v>
      </c>
      <c r="N524" t="n">
        <v>0</v>
      </c>
      <c r="O524" t="n">
        <v>0</v>
      </c>
      <c r="P524" t="n">
        <v>0</v>
      </c>
      <c r="Q524" t="n">
        <v>0</v>
      </c>
      <c r="R524" s="2" t="inlineStr"/>
    </row>
    <row r="525" ht="15" customHeight="1">
      <c r="A525" t="inlineStr">
        <is>
          <t>A 40207-2023</t>
        </is>
      </c>
      <c r="B525" s="1" t="n">
        <v>45169</v>
      </c>
      <c r="C525" s="1" t="n">
        <v>46191</v>
      </c>
      <c r="D525" t="inlineStr">
        <is>
          <t>VÄRMLANDS LÄN</t>
        </is>
      </c>
      <c r="E525" t="inlineStr">
        <is>
          <t>TORSBY</t>
        </is>
      </c>
      <c r="G525" t="n">
        <v>0.6</v>
      </c>
      <c r="H525" t="n">
        <v>0</v>
      </c>
      <c r="I525" t="n">
        <v>0</v>
      </c>
      <c r="J525" t="n">
        <v>0</v>
      </c>
      <c r="K525" t="n">
        <v>0</v>
      </c>
      <c r="L525" t="n">
        <v>0</v>
      </c>
      <c r="M525" t="n">
        <v>0</v>
      </c>
      <c r="N525" t="n">
        <v>0</v>
      </c>
      <c r="O525" t="n">
        <v>0</v>
      </c>
      <c r="P525" t="n">
        <v>0</v>
      </c>
      <c r="Q525" t="n">
        <v>0</v>
      </c>
      <c r="R525" s="2" t="inlineStr"/>
    </row>
    <row r="526" ht="15" customHeight="1">
      <c r="A526" t="inlineStr">
        <is>
          <t>A 5193-2026</t>
        </is>
      </c>
      <c r="B526" s="1" t="n">
        <v>46049</v>
      </c>
      <c r="C526" s="1" t="n">
        <v>46191</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33146-2025</t>
        </is>
      </c>
      <c r="B527" s="1" t="n">
        <v>45840</v>
      </c>
      <c r="C527" s="1" t="n">
        <v>46191</v>
      </c>
      <c r="D527" t="inlineStr">
        <is>
          <t>VÄRMLANDS LÄN</t>
        </is>
      </c>
      <c r="E527" t="inlineStr">
        <is>
          <t>TORSBY</t>
        </is>
      </c>
      <c r="G527" t="n">
        <v>4.8</v>
      </c>
      <c r="H527" t="n">
        <v>0</v>
      </c>
      <c r="I527" t="n">
        <v>0</v>
      </c>
      <c r="J527" t="n">
        <v>0</v>
      </c>
      <c r="K527" t="n">
        <v>0</v>
      </c>
      <c r="L527" t="n">
        <v>0</v>
      </c>
      <c r="M527" t="n">
        <v>0</v>
      </c>
      <c r="N527" t="n">
        <v>0</v>
      </c>
      <c r="O527" t="n">
        <v>0</v>
      </c>
      <c r="P527" t="n">
        <v>0</v>
      </c>
      <c r="Q527" t="n">
        <v>0</v>
      </c>
      <c r="R527" s="2" t="inlineStr"/>
    </row>
    <row r="528" ht="15" customHeight="1">
      <c r="A528" t="inlineStr">
        <is>
          <t>A 49814-2022</t>
        </is>
      </c>
      <c r="B528" s="1" t="n">
        <v>44859</v>
      </c>
      <c r="C528" s="1" t="n">
        <v>46191</v>
      </c>
      <c r="D528" t="inlineStr">
        <is>
          <t>VÄRMLANDS LÄN</t>
        </is>
      </c>
      <c r="E528" t="inlineStr">
        <is>
          <t>TORSBY</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5562-2026</t>
        </is>
      </c>
      <c r="B529" s="1" t="n">
        <v>46050</v>
      </c>
      <c r="C529" s="1" t="n">
        <v>46191</v>
      </c>
      <c r="D529" t="inlineStr">
        <is>
          <t>VÄRMLANDS LÄN</t>
        </is>
      </c>
      <c r="E529" t="inlineStr">
        <is>
          <t>TORSBY</t>
        </is>
      </c>
      <c r="G529" t="n">
        <v>7.3</v>
      </c>
      <c r="H529" t="n">
        <v>0</v>
      </c>
      <c r="I529" t="n">
        <v>0</v>
      </c>
      <c r="J529" t="n">
        <v>0</v>
      </c>
      <c r="K529" t="n">
        <v>0</v>
      </c>
      <c r="L529" t="n">
        <v>0</v>
      </c>
      <c r="M529" t="n">
        <v>0</v>
      </c>
      <c r="N529" t="n">
        <v>0</v>
      </c>
      <c r="O529" t="n">
        <v>0</v>
      </c>
      <c r="P529" t="n">
        <v>0</v>
      </c>
      <c r="Q529" t="n">
        <v>0</v>
      </c>
      <c r="R529" s="2" t="inlineStr"/>
    </row>
    <row r="530" ht="15" customHeight="1">
      <c r="A530" t="inlineStr">
        <is>
          <t>A 60272-2024</t>
        </is>
      </c>
      <c r="B530" s="1" t="n">
        <v>45642</v>
      </c>
      <c r="C530" s="1" t="n">
        <v>46191</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43304-2025</t>
        </is>
      </c>
      <c r="B531" s="1" t="n">
        <v>45910</v>
      </c>
      <c r="C531" s="1" t="n">
        <v>46191</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39772-2024</t>
        </is>
      </c>
      <c r="B532" s="1" t="n">
        <v>45552</v>
      </c>
      <c r="C532" s="1" t="n">
        <v>46191</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43313-2025</t>
        </is>
      </c>
      <c r="B533" s="1" t="n">
        <v>45910</v>
      </c>
      <c r="C533" s="1" t="n">
        <v>46191</v>
      </c>
      <c r="D533" t="inlineStr">
        <is>
          <t>VÄRMLANDS LÄN</t>
        </is>
      </c>
      <c r="E533" t="inlineStr">
        <is>
          <t>TORSBY</t>
        </is>
      </c>
      <c r="F533" t="inlineStr">
        <is>
          <t>Övriga Aktiebolag</t>
        </is>
      </c>
      <c r="G533" t="n">
        <v>9.5</v>
      </c>
      <c r="H533" t="n">
        <v>0</v>
      </c>
      <c r="I533" t="n">
        <v>0</v>
      </c>
      <c r="J533" t="n">
        <v>0</v>
      </c>
      <c r="K533" t="n">
        <v>0</v>
      </c>
      <c r="L533" t="n">
        <v>0</v>
      </c>
      <c r="M533" t="n">
        <v>0</v>
      </c>
      <c r="N533" t="n">
        <v>0</v>
      </c>
      <c r="O533" t="n">
        <v>0</v>
      </c>
      <c r="P533" t="n">
        <v>0</v>
      </c>
      <c r="Q533" t="n">
        <v>0</v>
      </c>
      <c r="R533" s="2" t="inlineStr"/>
    </row>
    <row r="534" ht="15" customHeight="1">
      <c r="A534" t="inlineStr">
        <is>
          <t>A 5088-2026</t>
        </is>
      </c>
      <c r="B534" s="1" t="n">
        <v>46049</v>
      </c>
      <c r="C534" s="1" t="n">
        <v>46191</v>
      </c>
      <c r="D534" t="inlineStr">
        <is>
          <t>VÄRMLANDS LÄN</t>
        </is>
      </c>
      <c r="E534" t="inlineStr">
        <is>
          <t>TORSBY</t>
        </is>
      </c>
      <c r="F534" t="inlineStr">
        <is>
          <t>Bergvik skog väst AB</t>
        </is>
      </c>
      <c r="G534" t="n">
        <v>18.3</v>
      </c>
      <c r="H534" t="n">
        <v>0</v>
      </c>
      <c r="I534" t="n">
        <v>0</v>
      </c>
      <c r="J534" t="n">
        <v>0</v>
      </c>
      <c r="K534" t="n">
        <v>0</v>
      </c>
      <c r="L534" t="n">
        <v>0</v>
      </c>
      <c r="M534" t="n">
        <v>0</v>
      </c>
      <c r="N534" t="n">
        <v>0</v>
      </c>
      <c r="O534" t="n">
        <v>0</v>
      </c>
      <c r="P534" t="n">
        <v>0</v>
      </c>
      <c r="Q534" t="n">
        <v>0</v>
      </c>
      <c r="R534" s="2" t="inlineStr"/>
    </row>
    <row r="535" ht="15" customHeight="1">
      <c r="A535" t="inlineStr">
        <is>
          <t>A 45134-2024</t>
        </is>
      </c>
      <c r="B535" s="1" t="n">
        <v>45575</v>
      </c>
      <c r="C535" s="1" t="n">
        <v>46191</v>
      </c>
      <c r="D535" t="inlineStr">
        <is>
          <t>VÄRMLANDS LÄN</t>
        </is>
      </c>
      <c r="E535" t="inlineStr">
        <is>
          <t>TORSBY</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5084-2026</t>
        </is>
      </c>
      <c r="B536" s="1" t="n">
        <v>46049</v>
      </c>
      <c r="C536" s="1" t="n">
        <v>46191</v>
      </c>
      <c r="D536" t="inlineStr">
        <is>
          <t>VÄRMLANDS LÄN</t>
        </is>
      </c>
      <c r="E536" t="inlineStr">
        <is>
          <t>TORSBY</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73553-2021</t>
        </is>
      </c>
      <c r="B537" s="1" t="n">
        <v>44551</v>
      </c>
      <c r="C537" s="1" t="n">
        <v>46191</v>
      </c>
      <c r="D537" t="inlineStr">
        <is>
          <t>VÄRMLANDS LÄN</t>
        </is>
      </c>
      <c r="E537" t="inlineStr">
        <is>
          <t>TORSBY</t>
        </is>
      </c>
      <c r="G537" t="n">
        <v>5.1</v>
      </c>
      <c r="H537" t="n">
        <v>0</v>
      </c>
      <c r="I537" t="n">
        <v>0</v>
      </c>
      <c r="J537" t="n">
        <v>0</v>
      </c>
      <c r="K537" t="n">
        <v>0</v>
      </c>
      <c r="L537" t="n">
        <v>0</v>
      </c>
      <c r="M537" t="n">
        <v>0</v>
      </c>
      <c r="N537" t="n">
        <v>0</v>
      </c>
      <c r="O537" t="n">
        <v>0</v>
      </c>
      <c r="P537" t="n">
        <v>0</v>
      </c>
      <c r="Q537" t="n">
        <v>0</v>
      </c>
      <c r="R537" s="2" t="inlineStr"/>
    </row>
    <row r="538" ht="15" customHeight="1">
      <c r="A538" t="inlineStr">
        <is>
          <t>A 44342-2024</t>
        </is>
      </c>
      <c r="B538" s="1" t="n">
        <v>45573</v>
      </c>
      <c r="C538" s="1" t="n">
        <v>46191</v>
      </c>
      <c r="D538" t="inlineStr">
        <is>
          <t>VÄRMLANDS LÄN</t>
        </is>
      </c>
      <c r="E538" t="inlineStr">
        <is>
          <t>TORSBY</t>
        </is>
      </c>
      <c r="G538" t="n">
        <v>0.9</v>
      </c>
      <c r="H538" t="n">
        <v>0</v>
      </c>
      <c r="I538" t="n">
        <v>0</v>
      </c>
      <c r="J538" t="n">
        <v>0</v>
      </c>
      <c r="K538" t="n">
        <v>0</v>
      </c>
      <c r="L538" t="n">
        <v>0</v>
      </c>
      <c r="M538" t="n">
        <v>0</v>
      </c>
      <c r="N538" t="n">
        <v>0</v>
      </c>
      <c r="O538" t="n">
        <v>0</v>
      </c>
      <c r="P538" t="n">
        <v>0</v>
      </c>
      <c r="Q538" t="n">
        <v>0</v>
      </c>
      <c r="R538" s="2" t="inlineStr"/>
    </row>
    <row r="539" ht="15" customHeight="1">
      <c r="A539" t="inlineStr">
        <is>
          <t>A 42966-2025</t>
        </is>
      </c>
      <c r="B539" s="1" t="n">
        <v>45909</v>
      </c>
      <c r="C539" s="1" t="n">
        <v>46191</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5493-2026</t>
        </is>
      </c>
      <c r="B540" s="1" t="n">
        <v>46050</v>
      </c>
      <c r="C540" s="1" t="n">
        <v>46191</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7214-2025</t>
        </is>
      </c>
      <c r="B541" s="1" t="n">
        <v>45702</v>
      </c>
      <c r="C541" s="1" t="n">
        <v>46191</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56509-2024</t>
        </is>
      </c>
      <c r="B542" s="1" t="n">
        <v>45625</v>
      </c>
      <c r="C542" s="1" t="n">
        <v>46191</v>
      </c>
      <c r="D542" t="inlineStr">
        <is>
          <t>VÄRMLANDS LÄN</t>
        </is>
      </c>
      <c r="E542" t="inlineStr">
        <is>
          <t>TORSBY</t>
        </is>
      </c>
      <c r="G542" t="n">
        <v>2.6</v>
      </c>
      <c r="H542" t="n">
        <v>0</v>
      </c>
      <c r="I542" t="n">
        <v>0</v>
      </c>
      <c r="J542" t="n">
        <v>0</v>
      </c>
      <c r="K542" t="n">
        <v>0</v>
      </c>
      <c r="L542" t="n">
        <v>0</v>
      </c>
      <c r="M542" t="n">
        <v>0</v>
      </c>
      <c r="N542" t="n">
        <v>0</v>
      </c>
      <c r="O542" t="n">
        <v>0</v>
      </c>
      <c r="P542" t="n">
        <v>0</v>
      </c>
      <c r="Q542" t="n">
        <v>0</v>
      </c>
      <c r="R542" s="2" t="inlineStr"/>
    </row>
    <row r="543" ht="15" customHeight="1">
      <c r="A543" t="inlineStr">
        <is>
          <t>A 42965-2025</t>
        </is>
      </c>
      <c r="B543" s="1" t="n">
        <v>45909</v>
      </c>
      <c r="C543" s="1" t="n">
        <v>46191</v>
      </c>
      <c r="D543" t="inlineStr">
        <is>
          <t>VÄRMLANDS LÄN</t>
        </is>
      </c>
      <c r="E543" t="inlineStr">
        <is>
          <t>TORSBY</t>
        </is>
      </c>
      <c r="G543" t="n">
        <v>2</v>
      </c>
      <c r="H543" t="n">
        <v>0</v>
      </c>
      <c r="I543" t="n">
        <v>0</v>
      </c>
      <c r="J543" t="n">
        <v>0</v>
      </c>
      <c r="K543" t="n">
        <v>0</v>
      </c>
      <c r="L543" t="n">
        <v>0</v>
      </c>
      <c r="M543" t="n">
        <v>0</v>
      </c>
      <c r="N543" t="n">
        <v>0</v>
      </c>
      <c r="O543" t="n">
        <v>0</v>
      </c>
      <c r="P543" t="n">
        <v>0</v>
      </c>
      <c r="Q543" t="n">
        <v>0</v>
      </c>
      <c r="R543" s="2" t="inlineStr"/>
    </row>
    <row r="544" ht="15" customHeight="1">
      <c r="A544" t="inlineStr">
        <is>
          <t>A 5554-2026</t>
        </is>
      </c>
      <c r="B544" s="1" t="n">
        <v>46050</v>
      </c>
      <c r="C544" s="1" t="n">
        <v>46191</v>
      </c>
      <c r="D544" t="inlineStr">
        <is>
          <t>VÄRMLANDS LÄN</t>
        </is>
      </c>
      <c r="E544" t="inlineStr">
        <is>
          <t>TORSBY</t>
        </is>
      </c>
      <c r="G544" t="n">
        <v>0.4</v>
      </c>
      <c r="H544" t="n">
        <v>0</v>
      </c>
      <c r="I544" t="n">
        <v>0</v>
      </c>
      <c r="J544" t="n">
        <v>0</v>
      </c>
      <c r="K544" t="n">
        <v>0</v>
      </c>
      <c r="L544" t="n">
        <v>0</v>
      </c>
      <c r="M544" t="n">
        <v>0</v>
      </c>
      <c r="N544" t="n">
        <v>0</v>
      </c>
      <c r="O544" t="n">
        <v>0</v>
      </c>
      <c r="P544" t="n">
        <v>0</v>
      </c>
      <c r="Q544" t="n">
        <v>0</v>
      </c>
      <c r="R544" s="2" t="inlineStr"/>
    </row>
    <row r="545" ht="15" customHeight="1">
      <c r="A545" t="inlineStr">
        <is>
          <t>A 5553-2026</t>
        </is>
      </c>
      <c r="B545" s="1" t="n">
        <v>46050</v>
      </c>
      <c r="C545" s="1" t="n">
        <v>46191</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5976-2026</t>
        </is>
      </c>
      <c r="B546" s="1" t="n">
        <v>46052</v>
      </c>
      <c r="C546" s="1" t="n">
        <v>46191</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22634-2023</t>
        </is>
      </c>
      <c r="B547" s="1" t="n">
        <v>45071</v>
      </c>
      <c r="C547" s="1" t="n">
        <v>46191</v>
      </c>
      <c r="D547" t="inlineStr">
        <is>
          <t>VÄRMLANDS LÄN</t>
        </is>
      </c>
      <c r="E547" t="inlineStr">
        <is>
          <t>TORSBY</t>
        </is>
      </c>
      <c r="F547" t="inlineStr">
        <is>
          <t>Bergvik skog väst AB</t>
        </is>
      </c>
      <c r="G547" t="n">
        <v>0.2</v>
      </c>
      <c r="H547" t="n">
        <v>0</v>
      </c>
      <c r="I547" t="n">
        <v>0</v>
      </c>
      <c r="J547" t="n">
        <v>0</v>
      </c>
      <c r="K547" t="n">
        <v>0</v>
      </c>
      <c r="L547" t="n">
        <v>0</v>
      </c>
      <c r="M547" t="n">
        <v>0</v>
      </c>
      <c r="N547" t="n">
        <v>0</v>
      </c>
      <c r="O547" t="n">
        <v>0</v>
      </c>
      <c r="P547" t="n">
        <v>0</v>
      </c>
      <c r="Q547" t="n">
        <v>0</v>
      </c>
      <c r="R547" s="2" t="inlineStr"/>
    </row>
    <row r="548" ht="15" customHeight="1">
      <c r="A548" t="inlineStr">
        <is>
          <t>A 5720-2026</t>
        </is>
      </c>
      <c r="B548" s="1" t="n">
        <v>46051</v>
      </c>
      <c r="C548" s="1" t="n">
        <v>46191</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57469-2024</t>
        </is>
      </c>
      <c r="B549" s="1" t="n">
        <v>45630</v>
      </c>
      <c r="C549" s="1" t="n">
        <v>46191</v>
      </c>
      <c r="D549" t="inlineStr">
        <is>
          <t>VÄRMLANDS LÄN</t>
        </is>
      </c>
      <c r="E549" t="inlineStr">
        <is>
          <t>TORSBY</t>
        </is>
      </c>
      <c r="F549" t="inlineStr">
        <is>
          <t>Bergvik skog väst AB</t>
        </is>
      </c>
      <c r="G549" t="n">
        <v>12.8</v>
      </c>
      <c r="H549" t="n">
        <v>0</v>
      </c>
      <c r="I549" t="n">
        <v>0</v>
      </c>
      <c r="J549" t="n">
        <v>0</v>
      </c>
      <c r="K549" t="n">
        <v>0</v>
      </c>
      <c r="L549" t="n">
        <v>0</v>
      </c>
      <c r="M549" t="n">
        <v>0</v>
      </c>
      <c r="N549" t="n">
        <v>0</v>
      </c>
      <c r="O549" t="n">
        <v>0</v>
      </c>
      <c r="P549" t="n">
        <v>0</v>
      </c>
      <c r="Q549" t="n">
        <v>0</v>
      </c>
      <c r="R549" s="2" t="inlineStr"/>
    </row>
    <row r="550" ht="15" customHeight="1">
      <c r="A550" t="inlineStr">
        <is>
          <t>A 2699-2022</t>
        </is>
      </c>
      <c r="B550" s="1" t="n">
        <v>44580</v>
      </c>
      <c r="C550" s="1" t="n">
        <v>46191</v>
      </c>
      <c r="D550" t="inlineStr">
        <is>
          <t>VÄRMLANDS LÄN</t>
        </is>
      </c>
      <c r="E550" t="inlineStr">
        <is>
          <t>TORSBY</t>
        </is>
      </c>
      <c r="G550" t="n">
        <v>0.4</v>
      </c>
      <c r="H550" t="n">
        <v>0</v>
      </c>
      <c r="I550" t="n">
        <v>0</v>
      </c>
      <c r="J550" t="n">
        <v>0</v>
      </c>
      <c r="K550" t="n">
        <v>0</v>
      </c>
      <c r="L550" t="n">
        <v>0</v>
      </c>
      <c r="M550" t="n">
        <v>0</v>
      </c>
      <c r="N550" t="n">
        <v>0</v>
      </c>
      <c r="O550" t="n">
        <v>0</v>
      </c>
      <c r="P550" t="n">
        <v>0</v>
      </c>
      <c r="Q550" t="n">
        <v>0</v>
      </c>
      <c r="R550" s="2" t="inlineStr"/>
    </row>
    <row r="551" ht="15" customHeight="1">
      <c r="A551" t="inlineStr">
        <is>
          <t>A 43614-2025</t>
        </is>
      </c>
      <c r="B551" s="1" t="n">
        <v>45911</v>
      </c>
      <c r="C551" s="1" t="n">
        <v>46191</v>
      </c>
      <c r="D551" t="inlineStr">
        <is>
          <t>VÄRMLANDS LÄN</t>
        </is>
      </c>
      <c r="E551" t="inlineStr">
        <is>
          <t>TORSBY</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43787-2025</t>
        </is>
      </c>
      <c r="B552" s="1" t="n">
        <v>45912</v>
      </c>
      <c r="C552" s="1" t="n">
        <v>46191</v>
      </c>
      <c r="D552" t="inlineStr">
        <is>
          <t>VÄRMLANDS LÄN</t>
        </is>
      </c>
      <c r="E552" t="inlineStr">
        <is>
          <t>TORSBY</t>
        </is>
      </c>
      <c r="G552" t="n">
        <v>13.1</v>
      </c>
      <c r="H552" t="n">
        <v>0</v>
      </c>
      <c r="I552" t="n">
        <v>0</v>
      </c>
      <c r="J552" t="n">
        <v>0</v>
      </c>
      <c r="K552" t="n">
        <v>0</v>
      </c>
      <c r="L552" t="n">
        <v>0</v>
      </c>
      <c r="M552" t="n">
        <v>0</v>
      </c>
      <c r="N552" t="n">
        <v>0</v>
      </c>
      <c r="O552" t="n">
        <v>0</v>
      </c>
      <c r="P552" t="n">
        <v>0</v>
      </c>
      <c r="Q552" t="n">
        <v>0</v>
      </c>
      <c r="R552" s="2" t="inlineStr"/>
    </row>
    <row r="553" ht="15" customHeight="1">
      <c r="A553" t="inlineStr">
        <is>
          <t>A 17931-2024</t>
        </is>
      </c>
      <c r="B553" s="1" t="n">
        <v>45419</v>
      </c>
      <c r="C553" s="1" t="n">
        <v>46191</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38497-2024</t>
        </is>
      </c>
      <c r="B554" s="1" t="n">
        <v>45546</v>
      </c>
      <c r="C554" s="1" t="n">
        <v>46191</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51505-2021</t>
        </is>
      </c>
      <c r="B555" s="1" t="n">
        <v>44460</v>
      </c>
      <c r="C555" s="1" t="n">
        <v>46191</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27458-2023</t>
        </is>
      </c>
      <c r="B556" s="1" t="n">
        <v>45097</v>
      </c>
      <c r="C556" s="1" t="n">
        <v>46191</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6084-2026</t>
        </is>
      </c>
      <c r="B557" s="1" t="n">
        <v>46052</v>
      </c>
      <c r="C557" s="1" t="n">
        <v>46191</v>
      </c>
      <c r="D557" t="inlineStr">
        <is>
          <t>VÄRMLANDS LÄN</t>
        </is>
      </c>
      <c r="E557" t="inlineStr">
        <is>
          <t>TORSBY</t>
        </is>
      </c>
      <c r="G557" t="n">
        <v>19.5</v>
      </c>
      <c r="H557" t="n">
        <v>0</v>
      </c>
      <c r="I557" t="n">
        <v>0</v>
      </c>
      <c r="J557" t="n">
        <v>0</v>
      </c>
      <c r="K557" t="n">
        <v>0</v>
      </c>
      <c r="L557" t="n">
        <v>0</v>
      </c>
      <c r="M557" t="n">
        <v>0</v>
      </c>
      <c r="N557" t="n">
        <v>0</v>
      </c>
      <c r="O557" t="n">
        <v>0</v>
      </c>
      <c r="P557" t="n">
        <v>0</v>
      </c>
      <c r="Q557" t="n">
        <v>0</v>
      </c>
      <c r="R557" s="2" t="inlineStr"/>
    </row>
    <row r="558" ht="15" customHeight="1">
      <c r="A558" t="inlineStr">
        <is>
          <t>A 43608-2025</t>
        </is>
      </c>
      <c r="B558" s="1" t="n">
        <v>45911</v>
      </c>
      <c r="C558" s="1" t="n">
        <v>46191</v>
      </c>
      <c r="D558" t="inlineStr">
        <is>
          <t>VÄRMLANDS LÄN</t>
        </is>
      </c>
      <c r="E558" t="inlineStr">
        <is>
          <t>TORSBY</t>
        </is>
      </c>
      <c r="F558" t="inlineStr">
        <is>
          <t>Bergvik skog väst AB</t>
        </is>
      </c>
      <c r="G558" t="n">
        <v>6</v>
      </c>
      <c r="H558" t="n">
        <v>0</v>
      </c>
      <c r="I558" t="n">
        <v>0</v>
      </c>
      <c r="J558" t="n">
        <v>0</v>
      </c>
      <c r="K558" t="n">
        <v>0</v>
      </c>
      <c r="L558" t="n">
        <v>0</v>
      </c>
      <c r="M558" t="n">
        <v>0</v>
      </c>
      <c r="N558" t="n">
        <v>0</v>
      </c>
      <c r="O558" t="n">
        <v>0</v>
      </c>
      <c r="P558" t="n">
        <v>0</v>
      </c>
      <c r="Q558" t="n">
        <v>0</v>
      </c>
      <c r="R558" s="2" t="inlineStr"/>
    </row>
    <row r="559" ht="15" customHeight="1">
      <c r="A559" t="inlineStr">
        <is>
          <t>A 5979-2026</t>
        </is>
      </c>
      <c r="B559" s="1" t="n">
        <v>46052</v>
      </c>
      <c r="C559" s="1" t="n">
        <v>46191</v>
      </c>
      <c r="D559" t="inlineStr">
        <is>
          <t>VÄRMLANDS LÄN</t>
        </is>
      </c>
      <c r="E559" t="inlineStr">
        <is>
          <t>TORSBY</t>
        </is>
      </c>
      <c r="G559" t="n">
        <v>1.5</v>
      </c>
      <c r="H559" t="n">
        <v>0</v>
      </c>
      <c r="I559" t="n">
        <v>0</v>
      </c>
      <c r="J559" t="n">
        <v>0</v>
      </c>
      <c r="K559" t="n">
        <v>0</v>
      </c>
      <c r="L559" t="n">
        <v>0</v>
      </c>
      <c r="M559" t="n">
        <v>0</v>
      </c>
      <c r="N559" t="n">
        <v>0</v>
      </c>
      <c r="O559" t="n">
        <v>0</v>
      </c>
      <c r="P559" t="n">
        <v>0</v>
      </c>
      <c r="Q559" t="n">
        <v>0</v>
      </c>
      <c r="R559" s="2" t="inlineStr"/>
    </row>
    <row r="560" ht="15" customHeight="1">
      <c r="A560" t="inlineStr">
        <is>
          <t>A 5289-2022</t>
        </is>
      </c>
      <c r="B560" s="1" t="n">
        <v>44594</v>
      </c>
      <c r="C560" s="1" t="n">
        <v>46191</v>
      </c>
      <c r="D560" t="inlineStr">
        <is>
          <t>VÄRMLANDS LÄN</t>
        </is>
      </c>
      <c r="E560" t="inlineStr">
        <is>
          <t>TORSBY</t>
        </is>
      </c>
      <c r="G560" t="n">
        <v>0.8</v>
      </c>
      <c r="H560" t="n">
        <v>0</v>
      </c>
      <c r="I560" t="n">
        <v>0</v>
      </c>
      <c r="J560" t="n">
        <v>0</v>
      </c>
      <c r="K560" t="n">
        <v>0</v>
      </c>
      <c r="L560" t="n">
        <v>0</v>
      </c>
      <c r="M560" t="n">
        <v>0</v>
      </c>
      <c r="N560" t="n">
        <v>0</v>
      </c>
      <c r="O560" t="n">
        <v>0</v>
      </c>
      <c r="P560" t="n">
        <v>0</v>
      </c>
      <c r="Q560" t="n">
        <v>0</v>
      </c>
      <c r="R560" s="2" t="inlineStr"/>
    </row>
    <row r="561" ht="15" customHeight="1">
      <c r="A561" t="inlineStr">
        <is>
          <t>A 38979-2023</t>
        </is>
      </c>
      <c r="B561" s="1" t="n">
        <v>45163</v>
      </c>
      <c r="C561" s="1" t="n">
        <v>46191</v>
      </c>
      <c r="D561" t="inlineStr">
        <is>
          <t>VÄRMLANDS LÄN</t>
        </is>
      </c>
      <c r="E561" t="inlineStr">
        <is>
          <t>TORSBY</t>
        </is>
      </c>
      <c r="G561" t="n">
        <v>2.3</v>
      </c>
      <c r="H561" t="n">
        <v>0</v>
      </c>
      <c r="I561" t="n">
        <v>0</v>
      </c>
      <c r="J561" t="n">
        <v>0</v>
      </c>
      <c r="K561" t="n">
        <v>0</v>
      </c>
      <c r="L561" t="n">
        <v>0</v>
      </c>
      <c r="M561" t="n">
        <v>0</v>
      </c>
      <c r="N561" t="n">
        <v>0</v>
      </c>
      <c r="O561" t="n">
        <v>0</v>
      </c>
      <c r="P561" t="n">
        <v>0</v>
      </c>
      <c r="Q561" t="n">
        <v>0</v>
      </c>
      <c r="R561" s="2" t="inlineStr"/>
    </row>
    <row r="562" ht="15" customHeight="1">
      <c r="A562" t="inlineStr">
        <is>
          <t>A 5639-2026</t>
        </is>
      </c>
      <c r="B562" s="1" t="n">
        <v>46051</v>
      </c>
      <c r="C562" s="1" t="n">
        <v>46191</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5714-2026</t>
        </is>
      </c>
      <c r="B563" s="1" t="n">
        <v>46051</v>
      </c>
      <c r="C563" s="1" t="n">
        <v>46191</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64641-2023</t>
        </is>
      </c>
      <c r="B564" s="1" t="n">
        <v>45281</v>
      </c>
      <c r="C564" s="1" t="n">
        <v>46191</v>
      </c>
      <c r="D564" t="inlineStr">
        <is>
          <t>VÄRMLANDS LÄN</t>
        </is>
      </c>
      <c r="E564" t="inlineStr">
        <is>
          <t>TORSBY</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5983-2026</t>
        </is>
      </c>
      <c r="B565" s="1" t="n">
        <v>46052</v>
      </c>
      <c r="C565" s="1" t="n">
        <v>46191</v>
      </c>
      <c r="D565" t="inlineStr">
        <is>
          <t>VÄRMLANDS LÄN</t>
        </is>
      </c>
      <c r="E565" t="inlineStr">
        <is>
          <t>TORSBY</t>
        </is>
      </c>
      <c r="G565" t="n">
        <v>0.5</v>
      </c>
      <c r="H565" t="n">
        <v>0</v>
      </c>
      <c r="I565" t="n">
        <v>0</v>
      </c>
      <c r="J565" t="n">
        <v>0</v>
      </c>
      <c r="K565" t="n">
        <v>0</v>
      </c>
      <c r="L565" t="n">
        <v>0</v>
      </c>
      <c r="M565" t="n">
        <v>0</v>
      </c>
      <c r="N565" t="n">
        <v>0</v>
      </c>
      <c r="O565" t="n">
        <v>0</v>
      </c>
      <c r="P565" t="n">
        <v>0</v>
      </c>
      <c r="Q565" t="n">
        <v>0</v>
      </c>
      <c r="R565" s="2" t="inlineStr"/>
    </row>
    <row r="566" ht="15" customHeight="1">
      <c r="A566" t="inlineStr">
        <is>
          <t>A 53492-2022</t>
        </is>
      </c>
      <c r="B566" s="1" t="n">
        <v>44879</v>
      </c>
      <c r="C566" s="1" t="n">
        <v>46191</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44141-2025</t>
        </is>
      </c>
      <c r="B567" s="1" t="n">
        <v>45915</v>
      </c>
      <c r="C567" s="1" t="n">
        <v>46191</v>
      </c>
      <c r="D567" t="inlineStr">
        <is>
          <t>VÄRMLANDS LÄN</t>
        </is>
      </c>
      <c r="E567" t="inlineStr">
        <is>
          <t>TORSBY</t>
        </is>
      </c>
      <c r="F567" t="inlineStr">
        <is>
          <t>Kyrkan</t>
        </is>
      </c>
      <c r="G567" t="n">
        <v>2.4</v>
      </c>
      <c r="H567" t="n">
        <v>0</v>
      </c>
      <c r="I567" t="n">
        <v>0</v>
      </c>
      <c r="J567" t="n">
        <v>0</v>
      </c>
      <c r="K567" t="n">
        <v>0</v>
      </c>
      <c r="L567" t="n">
        <v>0</v>
      </c>
      <c r="M567" t="n">
        <v>0</v>
      </c>
      <c r="N567" t="n">
        <v>0</v>
      </c>
      <c r="O567" t="n">
        <v>0</v>
      </c>
      <c r="P567" t="n">
        <v>0</v>
      </c>
      <c r="Q567" t="n">
        <v>0</v>
      </c>
      <c r="R567" s="2" t="inlineStr"/>
    </row>
    <row r="568" ht="15" customHeight="1">
      <c r="A568" t="inlineStr">
        <is>
          <t>A 7069-2022</t>
        </is>
      </c>
      <c r="B568" s="1" t="n">
        <v>44603</v>
      </c>
      <c r="C568" s="1" t="n">
        <v>46191</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9902-2024</t>
        </is>
      </c>
      <c r="B569" s="1" t="n">
        <v>45363</v>
      </c>
      <c r="C569" s="1" t="n">
        <v>46191</v>
      </c>
      <c r="D569" t="inlineStr">
        <is>
          <t>VÄRMLANDS LÄN</t>
        </is>
      </c>
      <c r="E569" t="inlineStr">
        <is>
          <t>TORSBY</t>
        </is>
      </c>
      <c r="G569" t="n">
        <v>4.4</v>
      </c>
      <c r="H569" t="n">
        <v>0</v>
      </c>
      <c r="I569" t="n">
        <v>0</v>
      </c>
      <c r="J569" t="n">
        <v>0</v>
      </c>
      <c r="K569" t="n">
        <v>0</v>
      </c>
      <c r="L569" t="n">
        <v>0</v>
      </c>
      <c r="M569" t="n">
        <v>0</v>
      </c>
      <c r="N569" t="n">
        <v>0</v>
      </c>
      <c r="O569" t="n">
        <v>0</v>
      </c>
      <c r="P569" t="n">
        <v>0</v>
      </c>
      <c r="Q569" t="n">
        <v>0</v>
      </c>
      <c r="R569" s="2" t="inlineStr"/>
    </row>
    <row r="570" ht="15" customHeight="1">
      <c r="A570" t="inlineStr">
        <is>
          <t>A 44507-2025</t>
        </is>
      </c>
      <c r="B570" s="1" t="n">
        <v>45916</v>
      </c>
      <c r="C570" s="1" t="n">
        <v>46191</v>
      </c>
      <c r="D570" t="inlineStr">
        <is>
          <t>VÄRMLANDS LÄN</t>
        </is>
      </c>
      <c r="E570" t="inlineStr">
        <is>
          <t>TORSBY</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44497-2023</t>
        </is>
      </c>
      <c r="B571" s="1" t="n">
        <v>45189</v>
      </c>
      <c r="C571" s="1" t="n">
        <v>46191</v>
      </c>
      <c r="D571" t="inlineStr">
        <is>
          <t>VÄRMLANDS LÄN</t>
        </is>
      </c>
      <c r="E571" t="inlineStr">
        <is>
          <t>TORSBY</t>
        </is>
      </c>
      <c r="G571" t="n">
        <v>7.6</v>
      </c>
      <c r="H571" t="n">
        <v>0</v>
      </c>
      <c r="I571" t="n">
        <v>0</v>
      </c>
      <c r="J571" t="n">
        <v>0</v>
      </c>
      <c r="K571" t="n">
        <v>0</v>
      </c>
      <c r="L571" t="n">
        <v>0</v>
      </c>
      <c r="M571" t="n">
        <v>0</v>
      </c>
      <c r="N571" t="n">
        <v>0</v>
      </c>
      <c r="O571" t="n">
        <v>0</v>
      </c>
      <c r="P571" t="n">
        <v>0</v>
      </c>
      <c r="Q571" t="n">
        <v>0</v>
      </c>
      <c r="R571" s="2" t="inlineStr"/>
    </row>
    <row r="572" ht="15" customHeight="1">
      <c r="A572" t="inlineStr">
        <is>
          <t>A 6322-2026</t>
        </is>
      </c>
      <c r="B572" s="1" t="n">
        <v>46055</v>
      </c>
      <c r="C572" s="1" t="n">
        <v>46191</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18330-2024</t>
        </is>
      </c>
      <c r="B573" s="1" t="n">
        <v>45422</v>
      </c>
      <c r="C573" s="1" t="n">
        <v>46191</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1528-2025</t>
        </is>
      </c>
      <c r="B574" s="1" t="n">
        <v>45670</v>
      </c>
      <c r="C574" s="1" t="n">
        <v>46191</v>
      </c>
      <c r="D574" t="inlineStr">
        <is>
          <t>VÄRMLANDS LÄN</t>
        </is>
      </c>
      <c r="E574" t="inlineStr">
        <is>
          <t>TORSBY</t>
        </is>
      </c>
      <c r="G574" t="n">
        <v>7.4</v>
      </c>
      <c r="H574" t="n">
        <v>0</v>
      </c>
      <c r="I574" t="n">
        <v>0</v>
      </c>
      <c r="J574" t="n">
        <v>0</v>
      </c>
      <c r="K574" t="n">
        <v>0</v>
      </c>
      <c r="L574" t="n">
        <v>0</v>
      </c>
      <c r="M574" t="n">
        <v>0</v>
      </c>
      <c r="N574" t="n">
        <v>0</v>
      </c>
      <c r="O574" t="n">
        <v>0</v>
      </c>
      <c r="P574" t="n">
        <v>0</v>
      </c>
      <c r="Q574" t="n">
        <v>0</v>
      </c>
      <c r="R574" s="2" t="inlineStr"/>
    </row>
    <row r="575" ht="15" customHeight="1">
      <c r="A575" t="inlineStr">
        <is>
          <t>A 43732-2022</t>
        </is>
      </c>
      <c r="B575" s="1" t="n">
        <v>44837</v>
      </c>
      <c r="C575" s="1" t="n">
        <v>46191</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18339-2024</t>
        </is>
      </c>
      <c r="B576" s="1" t="n">
        <v>45422</v>
      </c>
      <c r="C576" s="1" t="n">
        <v>46191</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44055-2025</t>
        </is>
      </c>
      <c r="B577" s="1" t="n">
        <v>45915</v>
      </c>
      <c r="C577" s="1" t="n">
        <v>46191</v>
      </c>
      <c r="D577" t="inlineStr">
        <is>
          <t>VÄRMLANDS LÄN</t>
        </is>
      </c>
      <c r="E577" t="inlineStr">
        <is>
          <t>TORSBY</t>
        </is>
      </c>
      <c r="F577" t="inlineStr">
        <is>
          <t>Kyrkan</t>
        </is>
      </c>
      <c r="G577" t="n">
        <v>5.4</v>
      </c>
      <c r="H577" t="n">
        <v>0</v>
      </c>
      <c r="I577" t="n">
        <v>0</v>
      </c>
      <c r="J577" t="n">
        <v>0</v>
      </c>
      <c r="K577" t="n">
        <v>0</v>
      </c>
      <c r="L577" t="n">
        <v>0</v>
      </c>
      <c r="M577" t="n">
        <v>0</v>
      </c>
      <c r="N577" t="n">
        <v>0</v>
      </c>
      <c r="O577" t="n">
        <v>0</v>
      </c>
      <c r="P577" t="n">
        <v>0</v>
      </c>
      <c r="Q577" t="n">
        <v>0</v>
      </c>
      <c r="R577" s="2" t="inlineStr"/>
    </row>
    <row r="578" ht="15" customHeight="1">
      <c r="A578" t="inlineStr">
        <is>
          <t>A 44156-2025</t>
        </is>
      </c>
      <c r="B578" s="1" t="n">
        <v>45915</v>
      </c>
      <c r="C578" s="1" t="n">
        <v>46191</v>
      </c>
      <c r="D578" t="inlineStr">
        <is>
          <t>VÄRMLANDS LÄN</t>
        </is>
      </c>
      <c r="E578" t="inlineStr">
        <is>
          <t>TORSBY</t>
        </is>
      </c>
      <c r="F578" t="inlineStr">
        <is>
          <t>Kyrkan</t>
        </is>
      </c>
      <c r="G578" t="n">
        <v>3.2</v>
      </c>
      <c r="H578" t="n">
        <v>0</v>
      </c>
      <c r="I578" t="n">
        <v>0</v>
      </c>
      <c r="J578" t="n">
        <v>0</v>
      </c>
      <c r="K578" t="n">
        <v>0</v>
      </c>
      <c r="L578" t="n">
        <v>0</v>
      </c>
      <c r="M578" t="n">
        <v>0</v>
      </c>
      <c r="N578" t="n">
        <v>0</v>
      </c>
      <c r="O578" t="n">
        <v>0</v>
      </c>
      <c r="P578" t="n">
        <v>0</v>
      </c>
      <c r="Q578" t="n">
        <v>0</v>
      </c>
      <c r="R578" s="2" t="inlineStr"/>
    </row>
    <row r="579" ht="15" customHeight="1">
      <c r="A579" t="inlineStr">
        <is>
          <t>A 44133-2025</t>
        </is>
      </c>
      <c r="B579" s="1" t="n">
        <v>45915</v>
      </c>
      <c r="C579" s="1" t="n">
        <v>46191</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15101-2024</t>
        </is>
      </c>
      <c r="B580" s="1" t="n">
        <v>45399</v>
      </c>
      <c r="C580" s="1" t="n">
        <v>46191</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44901-2025</t>
        </is>
      </c>
      <c r="B581" s="1" t="n">
        <v>45918</v>
      </c>
      <c r="C581" s="1" t="n">
        <v>46191</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44808-2025</t>
        </is>
      </c>
      <c r="B582" s="1" t="n">
        <v>45918</v>
      </c>
      <c r="C582" s="1" t="n">
        <v>46191</v>
      </c>
      <c r="D582" t="inlineStr">
        <is>
          <t>VÄRMLANDS LÄN</t>
        </is>
      </c>
      <c r="E582" t="inlineStr">
        <is>
          <t>TORSBY</t>
        </is>
      </c>
      <c r="G582" t="n">
        <v>7.2</v>
      </c>
      <c r="H582" t="n">
        <v>0</v>
      </c>
      <c r="I582" t="n">
        <v>0</v>
      </c>
      <c r="J582" t="n">
        <v>0</v>
      </c>
      <c r="K582" t="n">
        <v>0</v>
      </c>
      <c r="L582" t="n">
        <v>0</v>
      </c>
      <c r="M582" t="n">
        <v>0</v>
      </c>
      <c r="N582" t="n">
        <v>0</v>
      </c>
      <c r="O582" t="n">
        <v>0</v>
      </c>
      <c r="P582" t="n">
        <v>0</v>
      </c>
      <c r="Q582" t="n">
        <v>0</v>
      </c>
      <c r="R582" s="2" t="inlineStr"/>
    </row>
    <row r="583" ht="15" customHeight="1">
      <c r="A583" t="inlineStr">
        <is>
          <t>A 62090-2024</t>
        </is>
      </c>
      <c r="B583" s="1" t="n">
        <v>45656</v>
      </c>
      <c r="C583" s="1" t="n">
        <v>46191</v>
      </c>
      <c r="D583" t="inlineStr">
        <is>
          <t>VÄRMLANDS LÄN</t>
        </is>
      </c>
      <c r="E583" t="inlineStr">
        <is>
          <t>TORSBY</t>
        </is>
      </c>
      <c r="G583" t="n">
        <v>2.8</v>
      </c>
      <c r="H583" t="n">
        <v>0</v>
      </c>
      <c r="I583" t="n">
        <v>0</v>
      </c>
      <c r="J583" t="n">
        <v>0</v>
      </c>
      <c r="K583" t="n">
        <v>0</v>
      </c>
      <c r="L583" t="n">
        <v>0</v>
      </c>
      <c r="M583" t="n">
        <v>0</v>
      </c>
      <c r="N583" t="n">
        <v>0</v>
      </c>
      <c r="O583" t="n">
        <v>0</v>
      </c>
      <c r="P583" t="n">
        <v>0</v>
      </c>
      <c r="Q583" t="n">
        <v>0</v>
      </c>
      <c r="R583" s="2" t="inlineStr"/>
    </row>
    <row r="584" ht="15" customHeight="1">
      <c r="A584" t="inlineStr">
        <is>
          <t>A 62092-2024</t>
        </is>
      </c>
      <c r="B584" s="1" t="n">
        <v>45656</v>
      </c>
      <c r="C584" s="1" t="n">
        <v>46191</v>
      </c>
      <c r="D584" t="inlineStr">
        <is>
          <t>VÄRMLANDS LÄN</t>
        </is>
      </c>
      <c r="E584" t="inlineStr">
        <is>
          <t>TORSBY</t>
        </is>
      </c>
      <c r="G584" t="n">
        <v>3.7</v>
      </c>
      <c r="H584" t="n">
        <v>0</v>
      </c>
      <c r="I584" t="n">
        <v>0</v>
      </c>
      <c r="J584" t="n">
        <v>0</v>
      </c>
      <c r="K584" t="n">
        <v>0</v>
      </c>
      <c r="L584" t="n">
        <v>0</v>
      </c>
      <c r="M584" t="n">
        <v>0</v>
      </c>
      <c r="N584" t="n">
        <v>0</v>
      </c>
      <c r="O584" t="n">
        <v>0</v>
      </c>
      <c r="P584" t="n">
        <v>0</v>
      </c>
      <c r="Q584" t="n">
        <v>0</v>
      </c>
      <c r="R584" s="2" t="inlineStr"/>
    </row>
    <row r="585" ht="15" customHeight="1">
      <c r="A585" t="inlineStr">
        <is>
          <t>A 52940-2024</t>
        </is>
      </c>
      <c r="B585" s="1" t="n">
        <v>45610</v>
      </c>
      <c r="C585" s="1" t="n">
        <v>46191</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16192-2025</t>
        </is>
      </c>
      <c r="B586" s="1" t="n">
        <v>45750</v>
      </c>
      <c r="C586" s="1" t="n">
        <v>46191</v>
      </c>
      <c r="D586" t="inlineStr">
        <is>
          <t>VÄRMLANDS LÄN</t>
        </is>
      </c>
      <c r="E586" t="inlineStr">
        <is>
          <t>TORSBY</t>
        </is>
      </c>
      <c r="G586" t="n">
        <v>1.8</v>
      </c>
      <c r="H586" t="n">
        <v>0</v>
      </c>
      <c r="I586" t="n">
        <v>0</v>
      </c>
      <c r="J586" t="n">
        <v>0</v>
      </c>
      <c r="K586" t="n">
        <v>0</v>
      </c>
      <c r="L586" t="n">
        <v>0</v>
      </c>
      <c r="M586" t="n">
        <v>0</v>
      </c>
      <c r="N586" t="n">
        <v>0</v>
      </c>
      <c r="O586" t="n">
        <v>0</v>
      </c>
      <c r="P586" t="n">
        <v>0</v>
      </c>
      <c r="Q586" t="n">
        <v>0</v>
      </c>
      <c r="R586" s="2" t="inlineStr"/>
    </row>
    <row r="587" ht="15" customHeight="1">
      <c r="A587" t="inlineStr">
        <is>
          <t>A 44794-2025</t>
        </is>
      </c>
      <c r="B587" s="1" t="n">
        <v>45918</v>
      </c>
      <c r="C587" s="1" t="n">
        <v>46191</v>
      </c>
      <c r="D587" t="inlineStr">
        <is>
          <t>VÄRMLANDS LÄN</t>
        </is>
      </c>
      <c r="E587" t="inlineStr">
        <is>
          <t>TORSBY</t>
        </is>
      </c>
      <c r="G587" t="n">
        <v>3.4</v>
      </c>
      <c r="H587" t="n">
        <v>0</v>
      </c>
      <c r="I587" t="n">
        <v>0</v>
      </c>
      <c r="J587" t="n">
        <v>0</v>
      </c>
      <c r="K587" t="n">
        <v>0</v>
      </c>
      <c r="L587" t="n">
        <v>0</v>
      </c>
      <c r="M587" t="n">
        <v>0</v>
      </c>
      <c r="N587" t="n">
        <v>0</v>
      </c>
      <c r="O587" t="n">
        <v>0</v>
      </c>
      <c r="P587" t="n">
        <v>0</v>
      </c>
      <c r="Q587" t="n">
        <v>0</v>
      </c>
      <c r="R587" s="2" t="inlineStr"/>
    </row>
    <row r="588" ht="15" customHeight="1">
      <c r="A588" t="inlineStr">
        <is>
          <t>A 44817-2025</t>
        </is>
      </c>
      <c r="B588" s="1" t="n">
        <v>45918</v>
      </c>
      <c r="C588" s="1" t="n">
        <v>46191</v>
      </c>
      <c r="D588" t="inlineStr">
        <is>
          <t>VÄRMLANDS LÄN</t>
        </is>
      </c>
      <c r="E588" t="inlineStr">
        <is>
          <t>TORSBY</t>
        </is>
      </c>
      <c r="F588" t="inlineStr">
        <is>
          <t>Bergvik skog väst AB</t>
        </is>
      </c>
      <c r="G588" t="n">
        <v>6.2</v>
      </c>
      <c r="H588" t="n">
        <v>0</v>
      </c>
      <c r="I588" t="n">
        <v>0</v>
      </c>
      <c r="J588" t="n">
        <v>0</v>
      </c>
      <c r="K588" t="n">
        <v>0</v>
      </c>
      <c r="L588" t="n">
        <v>0</v>
      </c>
      <c r="M588" t="n">
        <v>0</v>
      </c>
      <c r="N588" t="n">
        <v>0</v>
      </c>
      <c r="O588" t="n">
        <v>0</v>
      </c>
      <c r="P588" t="n">
        <v>0</v>
      </c>
      <c r="Q588" t="n">
        <v>0</v>
      </c>
      <c r="R588" s="2" t="inlineStr"/>
    </row>
    <row r="589" ht="15" customHeight="1">
      <c r="A589" t="inlineStr">
        <is>
          <t>A 44976-2025</t>
        </is>
      </c>
      <c r="B589" s="1" t="n">
        <v>45918</v>
      </c>
      <c r="C589" s="1" t="n">
        <v>46191</v>
      </c>
      <c r="D589" t="inlineStr">
        <is>
          <t>VÄRMLANDS LÄN</t>
        </is>
      </c>
      <c r="E589" t="inlineStr">
        <is>
          <t>TORSBY</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7322-2026</t>
        </is>
      </c>
      <c r="B590" s="1" t="n">
        <v>46058</v>
      </c>
      <c r="C590" s="1" t="n">
        <v>46191</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43137-2024</t>
        </is>
      </c>
      <c r="B591" s="1" t="n">
        <v>45567</v>
      </c>
      <c r="C591" s="1" t="n">
        <v>46191</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42632-2023</t>
        </is>
      </c>
      <c r="B592" s="1" t="n">
        <v>45181</v>
      </c>
      <c r="C592" s="1" t="n">
        <v>46191</v>
      </c>
      <c r="D592" t="inlineStr">
        <is>
          <t>VÄRMLANDS LÄN</t>
        </is>
      </c>
      <c r="E592" t="inlineStr">
        <is>
          <t>TORSBY</t>
        </is>
      </c>
      <c r="G592" t="n">
        <v>5.8</v>
      </c>
      <c r="H592" t="n">
        <v>0</v>
      </c>
      <c r="I592" t="n">
        <v>0</v>
      </c>
      <c r="J592" t="n">
        <v>0</v>
      </c>
      <c r="K592" t="n">
        <v>0</v>
      </c>
      <c r="L592" t="n">
        <v>0</v>
      </c>
      <c r="M592" t="n">
        <v>0</v>
      </c>
      <c r="N592" t="n">
        <v>0</v>
      </c>
      <c r="O592" t="n">
        <v>0</v>
      </c>
      <c r="P592" t="n">
        <v>0</v>
      </c>
      <c r="Q592" t="n">
        <v>0</v>
      </c>
      <c r="R592" s="2" t="inlineStr"/>
    </row>
    <row r="593" ht="15" customHeight="1">
      <c r="A593" t="inlineStr">
        <is>
          <t>A 42635-2023</t>
        </is>
      </c>
      <c r="B593" s="1" t="n">
        <v>45181</v>
      </c>
      <c r="C593" s="1" t="n">
        <v>46191</v>
      </c>
      <c r="D593" t="inlineStr">
        <is>
          <t>VÄRMLANDS LÄN</t>
        </is>
      </c>
      <c r="E593" t="inlineStr">
        <is>
          <t>TORSBY</t>
        </is>
      </c>
      <c r="G593" t="n">
        <v>16.1</v>
      </c>
      <c r="H593" t="n">
        <v>0</v>
      </c>
      <c r="I593" t="n">
        <v>0</v>
      </c>
      <c r="J593" t="n">
        <v>0</v>
      </c>
      <c r="K593" t="n">
        <v>0</v>
      </c>
      <c r="L593" t="n">
        <v>0</v>
      </c>
      <c r="M593" t="n">
        <v>0</v>
      </c>
      <c r="N593" t="n">
        <v>0</v>
      </c>
      <c r="O593" t="n">
        <v>0</v>
      </c>
      <c r="P593" t="n">
        <v>0</v>
      </c>
      <c r="Q593" t="n">
        <v>0</v>
      </c>
      <c r="R593" s="2" t="inlineStr"/>
    </row>
    <row r="594" ht="15" customHeight="1">
      <c r="A594" t="inlineStr">
        <is>
          <t>A 7311-2026</t>
        </is>
      </c>
      <c r="B594" s="1" t="n">
        <v>46058</v>
      </c>
      <c r="C594" s="1" t="n">
        <v>46191</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7190-2026</t>
        </is>
      </c>
      <c r="B595" s="1" t="n">
        <v>46058</v>
      </c>
      <c r="C595" s="1" t="n">
        <v>46191</v>
      </c>
      <c r="D595" t="inlineStr">
        <is>
          <t>VÄRMLANDS LÄN</t>
        </is>
      </c>
      <c r="E595" t="inlineStr">
        <is>
          <t>TORSBY</t>
        </is>
      </c>
      <c r="F595" t="inlineStr">
        <is>
          <t>Bergvik skog väst AB</t>
        </is>
      </c>
      <c r="G595" t="n">
        <v>18.2</v>
      </c>
      <c r="H595" t="n">
        <v>0</v>
      </c>
      <c r="I595" t="n">
        <v>0</v>
      </c>
      <c r="J595" t="n">
        <v>0</v>
      </c>
      <c r="K595" t="n">
        <v>0</v>
      </c>
      <c r="L595" t="n">
        <v>0</v>
      </c>
      <c r="M595" t="n">
        <v>0</v>
      </c>
      <c r="N595" t="n">
        <v>0</v>
      </c>
      <c r="O595" t="n">
        <v>0</v>
      </c>
      <c r="P595" t="n">
        <v>0</v>
      </c>
      <c r="Q595" t="n">
        <v>0</v>
      </c>
      <c r="R595" s="2" t="inlineStr"/>
    </row>
    <row r="596" ht="15" customHeight="1">
      <c r="A596" t="inlineStr">
        <is>
          <t>A 45380-2025</t>
        </is>
      </c>
      <c r="B596" s="1" t="n">
        <v>45922</v>
      </c>
      <c r="C596" s="1" t="n">
        <v>46191</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45108-2025</t>
        </is>
      </c>
      <c r="B597" s="1" t="n">
        <v>45919</v>
      </c>
      <c r="C597" s="1" t="n">
        <v>46191</v>
      </c>
      <c r="D597" t="inlineStr">
        <is>
          <t>VÄRMLANDS LÄN</t>
        </is>
      </c>
      <c r="E597" t="inlineStr">
        <is>
          <t>TORSBY</t>
        </is>
      </c>
      <c r="F597" t="inlineStr">
        <is>
          <t>Bergvik skog väst AB</t>
        </is>
      </c>
      <c r="G597" t="n">
        <v>24.4</v>
      </c>
      <c r="H597" t="n">
        <v>0</v>
      </c>
      <c r="I597" t="n">
        <v>0</v>
      </c>
      <c r="J597" t="n">
        <v>0</v>
      </c>
      <c r="K597" t="n">
        <v>0</v>
      </c>
      <c r="L597" t="n">
        <v>0</v>
      </c>
      <c r="M597" t="n">
        <v>0</v>
      </c>
      <c r="N597" t="n">
        <v>0</v>
      </c>
      <c r="O597" t="n">
        <v>0</v>
      </c>
      <c r="P597" t="n">
        <v>0</v>
      </c>
      <c r="Q597" t="n">
        <v>0</v>
      </c>
      <c r="R597" s="2" t="inlineStr"/>
    </row>
    <row r="598" ht="15" customHeight="1">
      <c r="A598" t="inlineStr">
        <is>
          <t>A 12701-2024</t>
        </is>
      </c>
      <c r="B598" s="1" t="n">
        <v>45384</v>
      </c>
      <c r="C598" s="1" t="n">
        <v>46191</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56902-2023</t>
        </is>
      </c>
      <c r="B599" s="1" t="n">
        <v>45244</v>
      </c>
      <c r="C599" s="1" t="n">
        <v>46191</v>
      </c>
      <c r="D599" t="inlineStr">
        <is>
          <t>VÄRMLANDS LÄN</t>
        </is>
      </c>
      <c r="E599" t="inlineStr">
        <is>
          <t>TORSBY</t>
        </is>
      </c>
      <c r="G599" t="n">
        <v>17.4</v>
      </c>
      <c r="H599" t="n">
        <v>0</v>
      </c>
      <c r="I599" t="n">
        <v>0</v>
      </c>
      <c r="J599" t="n">
        <v>0</v>
      </c>
      <c r="K599" t="n">
        <v>0</v>
      </c>
      <c r="L599" t="n">
        <v>0</v>
      </c>
      <c r="M599" t="n">
        <v>0</v>
      </c>
      <c r="N599" t="n">
        <v>0</v>
      </c>
      <c r="O599" t="n">
        <v>0</v>
      </c>
      <c r="P599" t="n">
        <v>0</v>
      </c>
      <c r="Q599" t="n">
        <v>0</v>
      </c>
      <c r="R599" s="2" t="inlineStr"/>
    </row>
    <row r="600" ht="15" customHeight="1">
      <c r="A600" t="inlineStr">
        <is>
          <t>A 45245-2025</t>
        </is>
      </c>
      <c r="B600" s="1" t="n">
        <v>45919</v>
      </c>
      <c r="C600" s="1" t="n">
        <v>46191</v>
      </c>
      <c r="D600" t="inlineStr">
        <is>
          <t>VÄRMLANDS LÄN</t>
        </is>
      </c>
      <c r="E600" t="inlineStr">
        <is>
          <t>TORSBY</t>
        </is>
      </c>
      <c r="F600" t="inlineStr">
        <is>
          <t>Kyrkan</t>
        </is>
      </c>
      <c r="G600" t="n">
        <v>2.8</v>
      </c>
      <c r="H600" t="n">
        <v>0</v>
      </c>
      <c r="I600" t="n">
        <v>0</v>
      </c>
      <c r="J600" t="n">
        <v>0</v>
      </c>
      <c r="K600" t="n">
        <v>0</v>
      </c>
      <c r="L600" t="n">
        <v>0</v>
      </c>
      <c r="M600" t="n">
        <v>0</v>
      </c>
      <c r="N600" t="n">
        <v>0</v>
      </c>
      <c r="O600" t="n">
        <v>0</v>
      </c>
      <c r="P600" t="n">
        <v>0</v>
      </c>
      <c r="Q600" t="n">
        <v>0</v>
      </c>
      <c r="R600" s="2" t="inlineStr"/>
    </row>
    <row r="601" ht="15" customHeight="1">
      <c r="A601" t="inlineStr">
        <is>
          <t>A 45043-2025</t>
        </is>
      </c>
      <c r="B601" s="1" t="n">
        <v>45918</v>
      </c>
      <c r="C601" s="1" t="n">
        <v>46191</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21828-2024</t>
        </is>
      </c>
      <c r="B602" s="1" t="n">
        <v>45442</v>
      </c>
      <c r="C602" s="1" t="n">
        <v>46191</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45399-2023</t>
        </is>
      </c>
      <c r="B603" s="1" t="n">
        <v>45194</v>
      </c>
      <c r="C603" s="1" t="n">
        <v>46191</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3397-2022</t>
        </is>
      </c>
      <c r="B604" s="1" t="n">
        <v>44585</v>
      </c>
      <c r="C604" s="1" t="n">
        <v>46191</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45508-2025</t>
        </is>
      </c>
      <c r="B605" s="1" t="n">
        <v>45922</v>
      </c>
      <c r="C605" s="1" t="n">
        <v>46191</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46166-2024</t>
        </is>
      </c>
      <c r="B606" s="1" t="n">
        <v>45581</v>
      </c>
      <c r="C606" s="1" t="n">
        <v>46191</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45357-2025</t>
        </is>
      </c>
      <c r="B607" s="1" t="n">
        <v>45922</v>
      </c>
      <c r="C607" s="1" t="n">
        <v>46191</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44292-2025</t>
        </is>
      </c>
      <c r="B608" s="1" t="n">
        <v>45915</v>
      </c>
      <c r="C608" s="1" t="n">
        <v>46191</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45360-2025</t>
        </is>
      </c>
      <c r="B609" s="1" t="n">
        <v>45922</v>
      </c>
      <c r="C609" s="1" t="n">
        <v>46191</v>
      </c>
      <c r="D609" t="inlineStr">
        <is>
          <t>VÄRMLANDS LÄN</t>
        </is>
      </c>
      <c r="E609" t="inlineStr">
        <is>
          <t>TORSBY</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45967-2025</t>
        </is>
      </c>
      <c r="B610" s="1" t="n">
        <v>45924</v>
      </c>
      <c r="C610" s="1" t="n">
        <v>46191</v>
      </c>
      <c r="D610" t="inlineStr">
        <is>
          <t>VÄRMLANDS LÄN</t>
        </is>
      </c>
      <c r="E610" t="inlineStr">
        <is>
          <t>TORSBY</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45825-2025</t>
        </is>
      </c>
      <c r="B611" s="1" t="n">
        <v>45923</v>
      </c>
      <c r="C611" s="1" t="n">
        <v>46191</v>
      </c>
      <c r="D611" t="inlineStr">
        <is>
          <t>VÄRMLANDS LÄN</t>
        </is>
      </c>
      <c r="E611" t="inlineStr">
        <is>
          <t>TORSBY</t>
        </is>
      </c>
      <c r="G611" t="n">
        <v>11.4</v>
      </c>
      <c r="H611" t="n">
        <v>0</v>
      </c>
      <c r="I611" t="n">
        <v>0</v>
      </c>
      <c r="J611" t="n">
        <v>0</v>
      </c>
      <c r="K611" t="n">
        <v>0</v>
      </c>
      <c r="L611" t="n">
        <v>0</v>
      </c>
      <c r="M611" t="n">
        <v>0</v>
      </c>
      <c r="N611" t="n">
        <v>0</v>
      </c>
      <c r="O611" t="n">
        <v>0</v>
      </c>
      <c r="P611" t="n">
        <v>0</v>
      </c>
      <c r="Q611" t="n">
        <v>0</v>
      </c>
      <c r="R611" s="2" t="inlineStr"/>
    </row>
    <row r="612" ht="15" customHeight="1">
      <c r="A612" t="inlineStr">
        <is>
          <t>A 45966-2025</t>
        </is>
      </c>
      <c r="B612" s="1" t="n">
        <v>45924</v>
      </c>
      <c r="C612" s="1" t="n">
        <v>46191</v>
      </c>
      <c r="D612" t="inlineStr">
        <is>
          <t>VÄRMLANDS LÄN</t>
        </is>
      </c>
      <c r="E612" t="inlineStr">
        <is>
          <t>TORSBY</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45679-2025</t>
        </is>
      </c>
      <c r="B613" s="1" t="n">
        <v>45923</v>
      </c>
      <c r="C613" s="1" t="n">
        <v>46191</v>
      </c>
      <c r="D613" t="inlineStr">
        <is>
          <t>VÄRMLANDS LÄN</t>
        </is>
      </c>
      <c r="E613" t="inlineStr">
        <is>
          <t>TORSBY</t>
        </is>
      </c>
      <c r="F613" t="inlineStr">
        <is>
          <t>Bergvik skog väst AB</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7623-2026</t>
        </is>
      </c>
      <c r="B614" s="1" t="n">
        <v>46062</v>
      </c>
      <c r="C614" s="1" t="n">
        <v>46191</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20847-2023</t>
        </is>
      </c>
      <c r="B615" s="1" t="n">
        <v>45056</v>
      </c>
      <c r="C615" s="1" t="n">
        <v>46191</v>
      </c>
      <c r="D615" t="inlineStr">
        <is>
          <t>VÄRMLANDS LÄN</t>
        </is>
      </c>
      <c r="E615" t="inlineStr">
        <is>
          <t>TORSBY</t>
        </is>
      </c>
      <c r="G615" t="n">
        <v>13.9</v>
      </c>
      <c r="H615" t="n">
        <v>0</v>
      </c>
      <c r="I615" t="n">
        <v>0</v>
      </c>
      <c r="J615" t="n">
        <v>0</v>
      </c>
      <c r="K615" t="n">
        <v>0</v>
      </c>
      <c r="L615" t="n">
        <v>0</v>
      </c>
      <c r="M615" t="n">
        <v>0</v>
      </c>
      <c r="N615" t="n">
        <v>0</v>
      </c>
      <c r="O615" t="n">
        <v>0</v>
      </c>
      <c r="P615" t="n">
        <v>0</v>
      </c>
      <c r="Q615" t="n">
        <v>0</v>
      </c>
      <c r="R615" s="2" t="inlineStr"/>
    </row>
    <row r="616" ht="15" customHeight="1">
      <c r="A616" t="inlineStr">
        <is>
          <t>A 7766-2026</t>
        </is>
      </c>
      <c r="B616" s="1" t="n">
        <v>46059</v>
      </c>
      <c r="C616" s="1" t="n">
        <v>46191</v>
      </c>
      <c r="D616" t="inlineStr">
        <is>
          <t>VÄRMLANDS LÄN</t>
        </is>
      </c>
      <c r="E616" t="inlineStr">
        <is>
          <t>TORSBY</t>
        </is>
      </c>
      <c r="G616" t="n">
        <v>6.9</v>
      </c>
      <c r="H616" t="n">
        <v>0</v>
      </c>
      <c r="I616" t="n">
        <v>0</v>
      </c>
      <c r="J616" t="n">
        <v>0</v>
      </c>
      <c r="K616" t="n">
        <v>0</v>
      </c>
      <c r="L616" t="n">
        <v>0</v>
      </c>
      <c r="M616" t="n">
        <v>0</v>
      </c>
      <c r="N616" t="n">
        <v>0</v>
      </c>
      <c r="O616" t="n">
        <v>0</v>
      </c>
      <c r="P616" t="n">
        <v>0</v>
      </c>
      <c r="Q616" t="n">
        <v>0</v>
      </c>
      <c r="R616" s="2" t="inlineStr"/>
    </row>
    <row r="617" ht="15" customHeight="1">
      <c r="A617" t="inlineStr">
        <is>
          <t>A 8297-2026</t>
        </is>
      </c>
      <c r="B617" s="1" t="n">
        <v>46064</v>
      </c>
      <c r="C617" s="1" t="n">
        <v>46191</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38699-2022</t>
        </is>
      </c>
      <c r="B618" s="1" t="n">
        <v>44814</v>
      </c>
      <c r="C618" s="1" t="n">
        <v>46191</v>
      </c>
      <c r="D618" t="inlineStr">
        <is>
          <t>VÄRMLANDS LÄN</t>
        </is>
      </c>
      <c r="E618" t="inlineStr">
        <is>
          <t>TORSBY</t>
        </is>
      </c>
      <c r="F618" t="inlineStr">
        <is>
          <t>Bergvik skog väst AB</t>
        </is>
      </c>
      <c r="G618" t="n">
        <v>22.6</v>
      </c>
      <c r="H618" t="n">
        <v>0</v>
      </c>
      <c r="I618" t="n">
        <v>0</v>
      </c>
      <c r="J618" t="n">
        <v>0</v>
      </c>
      <c r="K618" t="n">
        <v>0</v>
      </c>
      <c r="L618" t="n">
        <v>0</v>
      </c>
      <c r="M618" t="n">
        <v>0</v>
      </c>
      <c r="N618" t="n">
        <v>0</v>
      </c>
      <c r="O618" t="n">
        <v>0</v>
      </c>
      <c r="P618" t="n">
        <v>0</v>
      </c>
      <c r="Q618" t="n">
        <v>0</v>
      </c>
      <c r="R618" s="2" t="inlineStr"/>
    </row>
    <row r="619" ht="15" customHeight="1">
      <c r="A619" t="inlineStr">
        <is>
          <t>A 8263-2026</t>
        </is>
      </c>
      <c r="B619" s="1" t="n">
        <v>46064</v>
      </c>
      <c r="C619" s="1" t="n">
        <v>46191</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8147-2026</t>
        </is>
      </c>
      <c r="B620" s="1" t="n">
        <v>46064</v>
      </c>
      <c r="C620" s="1" t="n">
        <v>46191</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8165-2026</t>
        </is>
      </c>
      <c r="B621" s="1" t="n">
        <v>46064</v>
      </c>
      <c r="C621" s="1" t="n">
        <v>46191</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8224-2026</t>
        </is>
      </c>
      <c r="B622" s="1" t="n">
        <v>46064</v>
      </c>
      <c r="C622" s="1" t="n">
        <v>46191</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29042-2023</t>
        </is>
      </c>
      <c r="B623" s="1" t="n">
        <v>45104</v>
      </c>
      <c r="C623" s="1" t="n">
        <v>46191</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8038-2026</t>
        </is>
      </c>
      <c r="B624" s="1" t="n">
        <v>46063</v>
      </c>
      <c r="C624" s="1" t="n">
        <v>46191</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8164-2026</t>
        </is>
      </c>
      <c r="B625" s="1" t="n">
        <v>46064</v>
      </c>
      <c r="C625" s="1" t="n">
        <v>46191</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8222-2026</t>
        </is>
      </c>
      <c r="B626" s="1" t="n">
        <v>46064</v>
      </c>
      <c r="C626" s="1" t="n">
        <v>46191</v>
      </c>
      <c r="D626" t="inlineStr">
        <is>
          <t>VÄRMLANDS LÄN</t>
        </is>
      </c>
      <c r="E626" t="inlineStr">
        <is>
          <t>TORSBY</t>
        </is>
      </c>
      <c r="G626" t="n">
        <v>9.1</v>
      </c>
      <c r="H626" t="n">
        <v>0</v>
      </c>
      <c r="I626" t="n">
        <v>0</v>
      </c>
      <c r="J626" t="n">
        <v>0</v>
      </c>
      <c r="K626" t="n">
        <v>0</v>
      </c>
      <c r="L626" t="n">
        <v>0</v>
      </c>
      <c r="M626" t="n">
        <v>0</v>
      </c>
      <c r="N626" t="n">
        <v>0</v>
      </c>
      <c r="O626" t="n">
        <v>0</v>
      </c>
      <c r="P626" t="n">
        <v>0</v>
      </c>
      <c r="Q626" t="n">
        <v>0</v>
      </c>
      <c r="R626" s="2" t="inlineStr"/>
    </row>
    <row r="627" ht="15" customHeight="1">
      <c r="A627" t="inlineStr">
        <is>
          <t>A 14998-2026</t>
        </is>
      </c>
      <c r="B627" s="1" t="n">
        <v>46104</v>
      </c>
      <c r="C627" s="1" t="n">
        <v>46191</v>
      </c>
      <c r="D627" t="inlineStr">
        <is>
          <t>VÄRMLANDS LÄN</t>
        </is>
      </c>
      <c r="E627" t="inlineStr">
        <is>
          <t>TORSBY</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17062-2025</t>
        </is>
      </c>
      <c r="B628" s="1" t="n">
        <v>45754</v>
      </c>
      <c r="C628" s="1" t="n">
        <v>46191</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54223-2023</t>
        </is>
      </c>
      <c r="B629" s="1" t="n">
        <v>45232</v>
      </c>
      <c r="C629" s="1" t="n">
        <v>46191</v>
      </c>
      <c r="D629" t="inlineStr">
        <is>
          <t>VÄRMLANDS LÄN</t>
        </is>
      </c>
      <c r="E629" t="inlineStr">
        <is>
          <t>TORSBY</t>
        </is>
      </c>
      <c r="F629" t="inlineStr">
        <is>
          <t>Bergvik skog väst AB</t>
        </is>
      </c>
      <c r="G629" t="n">
        <v>8.6</v>
      </c>
      <c r="H629" t="n">
        <v>0</v>
      </c>
      <c r="I629" t="n">
        <v>0</v>
      </c>
      <c r="J629" t="n">
        <v>0</v>
      </c>
      <c r="K629" t="n">
        <v>0</v>
      </c>
      <c r="L629" t="n">
        <v>0</v>
      </c>
      <c r="M629" t="n">
        <v>0</v>
      </c>
      <c r="N629" t="n">
        <v>0</v>
      </c>
      <c r="O629" t="n">
        <v>0</v>
      </c>
      <c r="P629" t="n">
        <v>0</v>
      </c>
      <c r="Q629" t="n">
        <v>0</v>
      </c>
      <c r="R629" s="2" t="inlineStr"/>
    </row>
    <row r="630" ht="15" customHeight="1">
      <c r="A630" t="inlineStr">
        <is>
          <t>A 8149-2026</t>
        </is>
      </c>
      <c r="B630" s="1" t="n">
        <v>46064</v>
      </c>
      <c r="C630" s="1" t="n">
        <v>46191</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8317-2026</t>
        </is>
      </c>
      <c r="B631" s="1" t="n">
        <v>46064</v>
      </c>
      <c r="C631" s="1" t="n">
        <v>46191</v>
      </c>
      <c r="D631" t="inlineStr">
        <is>
          <t>VÄRMLANDS LÄN</t>
        </is>
      </c>
      <c r="E631" t="inlineStr">
        <is>
          <t>TORSBY</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46493-2025</t>
        </is>
      </c>
      <c r="B632" s="1" t="n">
        <v>45925</v>
      </c>
      <c r="C632" s="1" t="n">
        <v>46191</v>
      </c>
      <c r="D632" t="inlineStr">
        <is>
          <t>VÄRMLANDS LÄN</t>
        </is>
      </c>
      <c r="E632" t="inlineStr">
        <is>
          <t>TORSBY</t>
        </is>
      </c>
      <c r="G632" t="n">
        <v>0.3</v>
      </c>
      <c r="H632" t="n">
        <v>0</v>
      </c>
      <c r="I632" t="n">
        <v>0</v>
      </c>
      <c r="J632" t="n">
        <v>0</v>
      </c>
      <c r="K632" t="n">
        <v>0</v>
      </c>
      <c r="L632" t="n">
        <v>0</v>
      </c>
      <c r="M632" t="n">
        <v>0</v>
      </c>
      <c r="N632" t="n">
        <v>0</v>
      </c>
      <c r="O632" t="n">
        <v>0</v>
      </c>
      <c r="P632" t="n">
        <v>0</v>
      </c>
      <c r="Q632" t="n">
        <v>0</v>
      </c>
      <c r="R632" s="2" t="inlineStr"/>
    </row>
    <row r="633" ht="15" customHeight="1">
      <c r="A633" t="inlineStr">
        <is>
          <t>A 46550-2025</t>
        </is>
      </c>
      <c r="B633" s="1" t="n">
        <v>45926</v>
      </c>
      <c r="C633" s="1" t="n">
        <v>46191</v>
      </c>
      <c r="D633" t="inlineStr">
        <is>
          <t>VÄRMLANDS LÄN</t>
        </is>
      </c>
      <c r="E633" t="inlineStr">
        <is>
          <t>TORSBY</t>
        </is>
      </c>
      <c r="G633" t="n">
        <v>2.8</v>
      </c>
      <c r="H633" t="n">
        <v>0</v>
      </c>
      <c r="I633" t="n">
        <v>0</v>
      </c>
      <c r="J633" t="n">
        <v>0</v>
      </c>
      <c r="K633" t="n">
        <v>0</v>
      </c>
      <c r="L633" t="n">
        <v>0</v>
      </c>
      <c r="M633" t="n">
        <v>0</v>
      </c>
      <c r="N633" t="n">
        <v>0</v>
      </c>
      <c r="O633" t="n">
        <v>0</v>
      </c>
      <c r="P633" t="n">
        <v>0</v>
      </c>
      <c r="Q633" t="n">
        <v>0</v>
      </c>
      <c r="R633" s="2" t="inlineStr"/>
    </row>
    <row r="634" ht="15" customHeight="1">
      <c r="A634" t="inlineStr">
        <is>
          <t>A 37752-2022</t>
        </is>
      </c>
      <c r="B634" s="1" t="n">
        <v>44810</v>
      </c>
      <c r="C634" s="1" t="n">
        <v>46191</v>
      </c>
      <c r="D634" t="inlineStr">
        <is>
          <t>VÄRMLANDS LÄN</t>
        </is>
      </c>
      <c r="E634" t="inlineStr">
        <is>
          <t>TORSBY</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2203-2025</t>
        </is>
      </c>
      <c r="B635" s="1" t="n">
        <v>45672</v>
      </c>
      <c r="C635" s="1" t="n">
        <v>46191</v>
      </c>
      <c r="D635" t="inlineStr">
        <is>
          <t>VÄRMLANDS LÄN</t>
        </is>
      </c>
      <c r="E635" t="inlineStr">
        <is>
          <t>TORSBY</t>
        </is>
      </c>
      <c r="G635" t="n">
        <v>11.3</v>
      </c>
      <c r="H635" t="n">
        <v>0</v>
      </c>
      <c r="I635" t="n">
        <v>0</v>
      </c>
      <c r="J635" t="n">
        <v>0</v>
      </c>
      <c r="K635" t="n">
        <v>0</v>
      </c>
      <c r="L635" t="n">
        <v>0</v>
      </c>
      <c r="M635" t="n">
        <v>0</v>
      </c>
      <c r="N635" t="n">
        <v>0</v>
      </c>
      <c r="O635" t="n">
        <v>0</v>
      </c>
      <c r="P635" t="n">
        <v>0</v>
      </c>
      <c r="Q635" t="n">
        <v>0</v>
      </c>
      <c r="R635" s="2" t="inlineStr"/>
    </row>
    <row r="636" ht="15" customHeight="1">
      <c r="A636" t="inlineStr">
        <is>
          <t>A 10608-2022</t>
        </is>
      </c>
      <c r="B636" s="1" t="n">
        <v>44624</v>
      </c>
      <c r="C636" s="1" t="n">
        <v>46191</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41504-2024</t>
        </is>
      </c>
      <c r="B637" s="1" t="n">
        <v>45560</v>
      </c>
      <c r="C637" s="1" t="n">
        <v>46191</v>
      </c>
      <c r="D637" t="inlineStr">
        <is>
          <t>VÄRMLANDS LÄN</t>
        </is>
      </c>
      <c r="E637" t="inlineStr">
        <is>
          <t>TORSBY</t>
        </is>
      </c>
      <c r="G637" t="n">
        <v>4.7</v>
      </c>
      <c r="H637" t="n">
        <v>0</v>
      </c>
      <c r="I637" t="n">
        <v>0</v>
      </c>
      <c r="J637" t="n">
        <v>0</v>
      </c>
      <c r="K637" t="n">
        <v>0</v>
      </c>
      <c r="L637" t="n">
        <v>0</v>
      </c>
      <c r="M637" t="n">
        <v>0</v>
      </c>
      <c r="N637" t="n">
        <v>0</v>
      </c>
      <c r="O637" t="n">
        <v>0</v>
      </c>
      <c r="P637" t="n">
        <v>0</v>
      </c>
      <c r="Q637" t="n">
        <v>0</v>
      </c>
      <c r="R637" s="2" t="inlineStr"/>
    </row>
    <row r="638" ht="15" customHeight="1">
      <c r="A638" t="inlineStr">
        <is>
          <t>A 44083-2023</t>
        </is>
      </c>
      <c r="B638" s="1" t="n">
        <v>45182</v>
      </c>
      <c r="C638" s="1" t="n">
        <v>46191</v>
      </c>
      <c r="D638" t="inlineStr">
        <is>
          <t>VÄRMLANDS LÄN</t>
        </is>
      </c>
      <c r="E638" t="inlineStr">
        <is>
          <t>TORSBY</t>
        </is>
      </c>
      <c r="G638" t="n">
        <v>1.9</v>
      </c>
      <c r="H638" t="n">
        <v>0</v>
      </c>
      <c r="I638" t="n">
        <v>0</v>
      </c>
      <c r="J638" t="n">
        <v>0</v>
      </c>
      <c r="K638" t="n">
        <v>0</v>
      </c>
      <c r="L638" t="n">
        <v>0</v>
      </c>
      <c r="M638" t="n">
        <v>0</v>
      </c>
      <c r="N638" t="n">
        <v>0</v>
      </c>
      <c r="O638" t="n">
        <v>0</v>
      </c>
      <c r="P638" t="n">
        <v>0</v>
      </c>
      <c r="Q638" t="n">
        <v>0</v>
      </c>
      <c r="R638" s="2" t="inlineStr"/>
    </row>
    <row r="639" ht="15" customHeight="1">
      <c r="A639" t="inlineStr">
        <is>
          <t>A 8705-2026</t>
        </is>
      </c>
      <c r="B639" s="1" t="n">
        <v>46066</v>
      </c>
      <c r="C639" s="1" t="n">
        <v>46191</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58540-2025</t>
        </is>
      </c>
      <c r="B640" s="1" t="n">
        <v>45985</v>
      </c>
      <c r="C640" s="1" t="n">
        <v>46191</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47366-2025</t>
        </is>
      </c>
      <c r="B641" s="1" t="n">
        <v>45930</v>
      </c>
      <c r="C641" s="1" t="n">
        <v>46191</v>
      </c>
      <c r="D641" t="inlineStr">
        <is>
          <t>VÄRMLANDS LÄN</t>
        </is>
      </c>
      <c r="E641" t="inlineStr">
        <is>
          <t>TORSBY</t>
        </is>
      </c>
      <c r="G641" t="n">
        <v>5.9</v>
      </c>
      <c r="H641" t="n">
        <v>0</v>
      </c>
      <c r="I641" t="n">
        <v>0</v>
      </c>
      <c r="J641" t="n">
        <v>0</v>
      </c>
      <c r="K641" t="n">
        <v>0</v>
      </c>
      <c r="L641" t="n">
        <v>0</v>
      </c>
      <c r="M641" t="n">
        <v>0</v>
      </c>
      <c r="N641" t="n">
        <v>0</v>
      </c>
      <c r="O641" t="n">
        <v>0</v>
      </c>
      <c r="P641" t="n">
        <v>0</v>
      </c>
      <c r="Q641" t="n">
        <v>0</v>
      </c>
      <c r="R641" s="2" t="inlineStr"/>
    </row>
    <row r="642" ht="15" customHeight="1">
      <c r="A642" t="inlineStr">
        <is>
          <t>A 47047-2025</t>
        </is>
      </c>
      <c r="B642" s="1" t="n">
        <v>45929</v>
      </c>
      <c r="C642" s="1" t="n">
        <v>46191</v>
      </c>
      <c r="D642" t="inlineStr">
        <is>
          <t>VÄRMLANDS LÄN</t>
        </is>
      </c>
      <c r="E642" t="inlineStr">
        <is>
          <t>TORSBY</t>
        </is>
      </c>
      <c r="F642" t="inlineStr">
        <is>
          <t>Kyrkan</t>
        </is>
      </c>
      <c r="G642" t="n">
        <v>6.6</v>
      </c>
      <c r="H642" t="n">
        <v>0</v>
      </c>
      <c r="I642" t="n">
        <v>0</v>
      </c>
      <c r="J642" t="n">
        <v>0</v>
      </c>
      <c r="K642" t="n">
        <v>0</v>
      </c>
      <c r="L642" t="n">
        <v>0</v>
      </c>
      <c r="M642" t="n">
        <v>0</v>
      </c>
      <c r="N642" t="n">
        <v>0</v>
      </c>
      <c r="O642" t="n">
        <v>0</v>
      </c>
      <c r="P642" t="n">
        <v>0</v>
      </c>
      <c r="Q642" t="n">
        <v>0</v>
      </c>
      <c r="R642" s="2" t="inlineStr"/>
    </row>
    <row r="643" ht="15" customHeight="1">
      <c r="A643" t="inlineStr">
        <is>
          <t>A 44879-2022</t>
        </is>
      </c>
      <c r="B643" s="1" t="n">
        <v>44839</v>
      </c>
      <c r="C643" s="1" t="n">
        <v>46191</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8958-2026</t>
        </is>
      </c>
      <c r="B644" s="1" t="n">
        <v>46069</v>
      </c>
      <c r="C644" s="1" t="n">
        <v>46191</v>
      </c>
      <c r="D644" t="inlineStr">
        <is>
          <t>VÄRMLANDS LÄN</t>
        </is>
      </c>
      <c r="E644" t="inlineStr">
        <is>
          <t>TORSBY</t>
        </is>
      </c>
      <c r="F644" t="inlineStr">
        <is>
          <t>Bergvik skog väst AB</t>
        </is>
      </c>
      <c r="G644" t="n">
        <v>11.9</v>
      </c>
      <c r="H644" t="n">
        <v>0</v>
      </c>
      <c r="I644" t="n">
        <v>0</v>
      </c>
      <c r="J644" t="n">
        <v>0</v>
      </c>
      <c r="K644" t="n">
        <v>0</v>
      </c>
      <c r="L644" t="n">
        <v>0</v>
      </c>
      <c r="M644" t="n">
        <v>0</v>
      </c>
      <c r="N644" t="n">
        <v>0</v>
      </c>
      <c r="O644" t="n">
        <v>0</v>
      </c>
      <c r="P644" t="n">
        <v>0</v>
      </c>
      <c r="Q644" t="n">
        <v>0</v>
      </c>
      <c r="R644" s="2" t="inlineStr"/>
    </row>
    <row r="645" ht="15" customHeight="1">
      <c r="A645" t="inlineStr">
        <is>
          <t>A 9871-2024</t>
        </is>
      </c>
      <c r="B645" s="1" t="n">
        <v>45363</v>
      </c>
      <c r="C645" s="1" t="n">
        <v>46191</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46865-2025</t>
        </is>
      </c>
      <c r="B646" s="1" t="n">
        <v>45929</v>
      </c>
      <c r="C646" s="1" t="n">
        <v>46191</v>
      </c>
      <c r="D646" t="inlineStr">
        <is>
          <t>VÄRMLANDS LÄN</t>
        </is>
      </c>
      <c r="E646" t="inlineStr">
        <is>
          <t>TORSBY</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48903-2024</t>
        </is>
      </c>
      <c r="B647" s="1" t="n">
        <v>45594</v>
      </c>
      <c r="C647" s="1" t="n">
        <v>46191</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59256-2023</t>
        </is>
      </c>
      <c r="B648" s="1" t="n">
        <v>45251</v>
      </c>
      <c r="C648" s="1" t="n">
        <v>46191</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9240-2026</t>
        </is>
      </c>
      <c r="B649" s="1" t="n">
        <v>46070</v>
      </c>
      <c r="C649" s="1" t="n">
        <v>46191</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46921-2025</t>
        </is>
      </c>
      <c r="B650" s="1" t="n">
        <v>45929</v>
      </c>
      <c r="C650" s="1" t="n">
        <v>46191</v>
      </c>
      <c r="D650" t="inlineStr">
        <is>
          <t>VÄRMLANDS LÄN</t>
        </is>
      </c>
      <c r="E650" t="inlineStr">
        <is>
          <t>TORSBY</t>
        </is>
      </c>
      <c r="G650" t="n">
        <v>7</v>
      </c>
      <c r="H650" t="n">
        <v>0</v>
      </c>
      <c r="I650" t="n">
        <v>0</v>
      </c>
      <c r="J650" t="n">
        <v>0</v>
      </c>
      <c r="K650" t="n">
        <v>0</v>
      </c>
      <c r="L650" t="n">
        <v>0</v>
      </c>
      <c r="M650" t="n">
        <v>0</v>
      </c>
      <c r="N650" t="n">
        <v>0</v>
      </c>
      <c r="O650" t="n">
        <v>0</v>
      </c>
      <c r="P650" t="n">
        <v>0</v>
      </c>
      <c r="Q650" t="n">
        <v>0</v>
      </c>
      <c r="R650" s="2" t="inlineStr"/>
    </row>
    <row r="651" ht="15" customHeight="1">
      <c r="A651" t="inlineStr">
        <is>
          <t>A 47049-2025</t>
        </is>
      </c>
      <c r="B651" s="1" t="n">
        <v>45929</v>
      </c>
      <c r="C651" s="1" t="n">
        <v>46191</v>
      </c>
      <c r="D651" t="inlineStr">
        <is>
          <t>VÄRMLANDS LÄN</t>
        </is>
      </c>
      <c r="E651" t="inlineStr">
        <is>
          <t>TORSBY</t>
        </is>
      </c>
      <c r="G651" t="n">
        <v>3.1</v>
      </c>
      <c r="H651" t="n">
        <v>0</v>
      </c>
      <c r="I651" t="n">
        <v>0</v>
      </c>
      <c r="J651" t="n">
        <v>0</v>
      </c>
      <c r="K651" t="n">
        <v>0</v>
      </c>
      <c r="L651" t="n">
        <v>0</v>
      </c>
      <c r="M651" t="n">
        <v>0</v>
      </c>
      <c r="N651" t="n">
        <v>0</v>
      </c>
      <c r="O651" t="n">
        <v>0</v>
      </c>
      <c r="P651" t="n">
        <v>0</v>
      </c>
      <c r="Q651" t="n">
        <v>0</v>
      </c>
      <c r="R651" s="2" t="inlineStr"/>
    </row>
    <row r="652" ht="15" customHeight="1">
      <c r="A652" t="inlineStr">
        <is>
          <t>A 8967-2026</t>
        </is>
      </c>
      <c r="B652" s="1" t="n">
        <v>46069</v>
      </c>
      <c r="C652" s="1" t="n">
        <v>46191</v>
      </c>
      <c r="D652" t="inlineStr">
        <is>
          <t>VÄRMLANDS LÄN</t>
        </is>
      </c>
      <c r="E652" t="inlineStr">
        <is>
          <t>TORSBY</t>
        </is>
      </c>
      <c r="F652" t="inlineStr">
        <is>
          <t>Bergvik skog väst AB</t>
        </is>
      </c>
      <c r="G652" t="n">
        <v>22.5</v>
      </c>
      <c r="H652" t="n">
        <v>0</v>
      </c>
      <c r="I652" t="n">
        <v>0</v>
      </c>
      <c r="J652" t="n">
        <v>0</v>
      </c>
      <c r="K652" t="n">
        <v>0</v>
      </c>
      <c r="L652" t="n">
        <v>0</v>
      </c>
      <c r="M652" t="n">
        <v>0</v>
      </c>
      <c r="N652" t="n">
        <v>0</v>
      </c>
      <c r="O652" t="n">
        <v>0</v>
      </c>
      <c r="P652" t="n">
        <v>0</v>
      </c>
      <c r="Q652" t="n">
        <v>0</v>
      </c>
      <c r="R652" s="2" t="inlineStr"/>
    </row>
    <row r="653" ht="15" customHeight="1">
      <c r="A653" t="inlineStr">
        <is>
          <t>A 27363-2024</t>
        </is>
      </c>
      <c r="B653" s="1" t="n">
        <v>45473</v>
      </c>
      <c r="C653" s="1" t="n">
        <v>46191</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9245-2026</t>
        </is>
      </c>
      <c r="B654" s="1" t="n">
        <v>46070</v>
      </c>
      <c r="C654" s="1" t="n">
        <v>46191</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9248-2026</t>
        </is>
      </c>
      <c r="B655" s="1" t="n">
        <v>46070</v>
      </c>
      <c r="C655" s="1" t="n">
        <v>46191</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47621-2025</t>
        </is>
      </c>
      <c r="B656" s="1" t="n">
        <v>45931</v>
      </c>
      <c r="C656" s="1" t="n">
        <v>46191</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48020-2025</t>
        </is>
      </c>
      <c r="B657" s="1" t="n">
        <v>45932</v>
      </c>
      <c r="C657" s="1" t="n">
        <v>46191</v>
      </c>
      <c r="D657" t="inlineStr">
        <is>
          <t>VÄRMLANDS LÄN</t>
        </is>
      </c>
      <c r="E657" t="inlineStr">
        <is>
          <t>TORSBY</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49982-2023</t>
        </is>
      </c>
      <c r="B658" s="1" t="n">
        <v>45215</v>
      </c>
      <c r="C658" s="1" t="n">
        <v>46191</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35629-2023</t>
        </is>
      </c>
      <c r="B659" s="1" t="n">
        <v>45147</v>
      </c>
      <c r="C659" s="1" t="n">
        <v>46191</v>
      </c>
      <c r="D659" t="inlineStr">
        <is>
          <t>VÄRMLANDS LÄN</t>
        </is>
      </c>
      <c r="E659" t="inlineStr">
        <is>
          <t>TORSBY</t>
        </is>
      </c>
      <c r="G659" t="n">
        <v>10.3</v>
      </c>
      <c r="H659" t="n">
        <v>0</v>
      </c>
      <c r="I659" t="n">
        <v>0</v>
      </c>
      <c r="J659" t="n">
        <v>0</v>
      </c>
      <c r="K659" t="n">
        <v>0</v>
      </c>
      <c r="L659" t="n">
        <v>0</v>
      </c>
      <c r="M659" t="n">
        <v>0</v>
      </c>
      <c r="N659" t="n">
        <v>0</v>
      </c>
      <c r="O659" t="n">
        <v>0</v>
      </c>
      <c r="P659" t="n">
        <v>0</v>
      </c>
      <c r="Q659" t="n">
        <v>0</v>
      </c>
      <c r="R659" s="2" t="inlineStr"/>
    </row>
    <row r="660" ht="15" customHeight="1">
      <c r="A660" t="inlineStr">
        <is>
          <t>A 47545-2025</t>
        </is>
      </c>
      <c r="B660" s="1" t="n">
        <v>45931</v>
      </c>
      <c r="C660" s="1" t="n">
        <v>46191</v>
      </c>
      <c r="D660" t="inlineStr">
        <is>
          <t>VÄRMLANDS LÄN</t>
        </is>
      </c>
      <c r="E660" t="inlineStr">
        <is>
          <t>TORSBY</t>
        </is>
      </c>
      <c r="F660" t="inlineStr">
        <is>
          <t>Bergvik skog väst AB</t>
        </is>
      </c>
      <c r="G660" t="n">
        <v>6.8</v>
      </c>
      <c r="H660" t="n">
        <v>0</v>
      </c>
      <c r="I660" t="n">
        <v>0</v>
      </c>
      <c r="J660" t="n">
        <v>0</v>
      </c>
      <c r="K660" t="n">
        <v>0</v>
      </c>
      <c r="L660" t="n">
        <v>0</v>
      </c>
      <c r="M660" t="n">
        <v>0</v>
      </c>
      <c r="N660" t="n">
        <v>0</v>
      </c>
      <c r="O660" t="n">
        <v>0</v>
      </c>
      <c r="P660" t="n">
        <v>0</v>
      </c>
      <c r="Q660" t="n">
        <v>0</v>
      </c>
      <c r="R660" s="2" t="inlineStr"/>
    </row>
    <row r="661" ht="15" customHeight="1">
      <c r="A661" t="inlineStr">
        <is>
          <t>A 18099-2022</t>
        </is>
      </c>
      <c r="B661" s="1" t="n">
        <v>44684</v>
      </c>
      <c r="C661" s="1" t="n">
        <v>46191</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39003-2021</t>
        </is>
      </c>
      <c r="B662" s="1" t="n">
        <v>44412</v>
      </c>
      <c r="C662" s="1" t="n">
        <v>46191</v>
      </c>
      <c r="D662" t="inlineStr">
        <is>
          <t>VÄRMLANDS LÄN</t>
        </is>
      </c>
      <c r="E662" t="inlineStr">
        <is>
          <t>TORSBY</t>
        </is>
      </c>
      <c r="F662" t="inlineStr">
        <is>
          <t>Bergvik skog väst AB</t>
        </is>
      </c>
      <c r="G662" t="n">
        <v>3.1</v>
      </c>
      <c r="H662" t="n">
        <v>0</v>
      </c>
      <c r="I662" t="n">
        <v>0</v>
      </c>
      <c r="J662" t="n">
        <v>0</v>
      </c>
      <c r="K662" t="n">
        <v>0</v>
      </c>
      <c r="L662" t="n">
        <v>0</v>
      </c>
      <c r="M662" t="n">
        <v>0</v>
      </c>
      <c r="N662" t="n">
        <v>0</v>
      </c>
      <c r="O662" t="n">
        <v>0</v>
      </c>
      <c r="P662" t="n">
        <v>0</v>
      </c>
      <c r="Q662" t="n">
        <v>0</v>
      </c>
      <c r="R662" s="2" t="inlineStr"/>
    </row>
    <row r="663" ht="15" customHeight="1">
      <c r="A663" t="inlineStr">
        <is>
          <t>A 39260-2021</t>
        </is>
      </c>
      <c r="B663" s="1" t="n">
        <v>44413</v>
      </c>
      <c r="C663" s="1" t="n">
        <v>46191</v>
      </c>
      <c r="D663" t="inlineStr">
        <is>
          <t>VÄRMLANDS LÄN</t>
        </is>
      </c>
      <c r="E663" t="inlineStr">
        <is>
          <t>TORSBY</t>
        </is>
      </c>
      <c r="G663" t="n">
        <v>4.7</v>
      </c>
      <c r="H663" t="n">
        <v>0</v>
      </c>
      <c r="I663" t="n">
        <v>0</v>
      </c>
      <c r="J663" t="n">
        <v>0</v>
      </c>
      <c r="K663" t="n">
        <v>0</v>
      </c>
      <c r="L663" t="n">
        <v>0</v>
      </c>
      <c r="M663" t="n">
        <v>0</v>
      </c>
      <c r="N663" t="n">
        <v>0</v>
      </c>
      <c r="O663" t="n">
        <v>0</v>
      </c>
      <c r="P663" t="n">
        <v>0</v>
      </c>
      <c r="Q663" t="n">
        <v>0</v>
      </c>
      <c r="R663" s="2" t="inlineStr"/>
    </row>
    <row r="664" ht="15" customHeight="1">
      <c r="A664" t="inlineStr">
        <is>
          <t>A 47927-2025</t>
        </is>
      </c>
      <c r="B664" s="1" t="n">
        <v>45932</v>
      </c>
      <c r="C664" s="1" t="n">
        <v>46191</v>
      </c>
      <c r="D664" t="inlineStr">
        <is>
          <t>VÄRMLANDS LÄN</t>
        </is>
      </c>
      <c r="E664" t="inlineStr">
        <is>
          <t>TORSBY</t>
        </is>
      </c>
      <c r="G664" t="n">
        <v>0.6</v>
      </c>
      <c r="H664" t="n">
        <v>0</v>
      </c>
      <c r="I664" t="n">
        <v>0</v>
      </c>
      <c r="J664" t="n">
        <v>0</v>
      </c>
      <c r="K664" t="n">
        <v>0</v>
      </c>
      <c r="L664" t="n">
        <v>0</v>
      </c>
      <c r="M664" t="n">
        <v>0</v>
      </c>
      <c r="N664" t="n">
        <v>0</v>
      </c>
      <c r="O664" t="n">
        <v>0</v>
      </c>
      <c r="P664" t="n">
        <v>0</v>
      </c>
      <c r="Q664" t="n">
        <v>0</v>
      </c>
      <c r="R664" s="2" t="inlineStr"/>
    </row>
    <row r="665" ht="15" customHeight="1">
      <c r="A665" t="inlineStr">
        <is>
          <t>A 47736-2025</t>
        </is>
      </c>
      <c r="B665" s="1" t="n">
        <v>45931</v>
      </c>
      <c r="C665" s="1" t="n">
        <v>46191</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48499-2025</t>
        </is>
      </c>
      <c r="B666" s="1" t="n">
        <v>45936</v>
      </c>
      <c r="C666" s="1" t="n">
        <v>46191</v>
      </c>
      <c r="D666" t="inlineStr">
        <is>
          <t>VÄRMLANDS LÄN</t>
        </is>
      </c>
      <c r="E666" t="inlineStr">
        <is>
          <t>TORSBY</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19489-2022</t>
        </is>
      </c>
      <c r="B667" s="1" t="n">
        <v>44693</v>
      </c>
      <c r="C667" s="1" t="n">
        <v>46191</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20168-2022</t>
        </is>
      </c>
      <c r="B668" s="1" t="n">
        <v>44698</v>
      </c>
      <c r="C668" s="1" t="n">
        <v>46191</v>
      </c>
      <c r="D668" t="inlineStr">
        <is>
          <t>VÄRMLANDS LÄN</t>
        </is>
      </c>
      <c r="E668" t="inlineStr">
        <is>
          <t>TORSBY</t>
        </is>
      </c>
      <c r="G668" t="n">
        <v>6.6</v>
      </c>
      <c r="H668" t="n">
        <v>0</v>
      </c>
      <c r="I668" t="n">
        <v>0</v>
      </c>
      <c r="J668" t="n">
        <v>0</v>
      </c>
      <c r="K668" t="n">
        <v>0</v>
      </c>
      <c r="L668" t="n">
        <v>0</v>
      </c>
      <c r="M668" t="n">
        <v>0</v>
      </c>
      <c r="N668" t="n">
        <v>0</v>
      </c>
      <c r="O668" t="n">
        <v>0</v>
      </c>
      <c r="P668" t="n">
        <v>0</v>
      </c>
      <c r="Q668" t="n">
        <v>0</v>
      </c>
      <c r="R668" s="2" t="inlineStr"/>
    </row>
    <row r="669" ht="15" customHeight="1">
      <c r="A669" t="inlineStr">
        <is>
          <t>A 48375-2025</t>
        </is>
      </c>
      <c r="B669" s="1" t="n">
        <v>45933</v>
      </c>
      <c r="C669" s="1" t="n">
        <v>46191</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10295-2026</t>
        </is>
      </c>
      <c r="B670" s="1" t="n">
        <v>46076</v>
      </c>
      <c r="C670" s="1" t="n">
        <v>46191</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1095-2025</t>
        </is>
      </c>
      <c r="B671" s="1" t="n">
        <v>45666</v>
      </c>
      <c r="C671" s="1" t="n">
        <v>46191</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56815-2023</t>
        </is>
      </c>
      <c r="B672" s="1" t="n">
        <v>45244</v>
      </c>
      <c r="C672" s="1" t="n">
        <v>46191</v>
      </c>
      <c r="D672" t="inlineStr">
        <is>
          <t>VÄRMLANDS LÄN</t>
        </is>
      </c>
      <c r="E672" t="inlineStr">
        <is>
          <t>TORSBY</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55839-2024</t>
        </is>
      </c>
      <c r="B673" s="1" t="n">
        <v>45623</v>
      </c>
      <c r="C673" s="1" t="n">
        <v>46191</v>
      </c>
      <c r="D673" t="inlineStr">
        <is>
          <t>VÄRMLANDS LÄN</t>
        </is>
      </c>
      <c r="E673" t="inlineStr">
        <is>
          <t>TORSBY</t>
        </is>
      </c>
      <c r="F673" t="inlineStr">
        <is>
          <t>Kommuner</t>
        </is>
      </c>
      <c r="G673" t="n">
        <v>0.5</v>
      </c>
      <c r="H673" t="n">
        <v>0</v>
      </c>
      <c r="I673" t="n">
        <v>0</v>
      </c>
      <c r="J673" t="n">
        <v>0</v>
      </c>
      <c r="K673" t="n">
        <v>0</v>
      </c>
      <c r="L673" t="n">
        <v>0</v>
      </c>
      <c r="M673" t="n">
        <v>0</v>
      </c>
      <c r="N673" t="n">
        <v>0</v>
      </c>
      <c r="O673" t="n">
        <v>0</v>
      </c>
      <c r="P673" t="n">
        <v>0</v>
      </c>
      <c r="Q673" t="n">
        <v>0</v>
      </c>
      <c r="R673" s="2" t="inlineStr"/>
    </row>
    <row r="674" ht="15" customHeight="1">
      <c r="A674" t="inlineStr">
        <is>
          <t>A 50445-2023</t>
        </is>
      </c>
      <c r="B674" s="1" t="n">
        <v>45216</v>
      </c>
      <c r="C674" s="1" t="n">
        <v>46191</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10332-2026</t>
        </is>
      </c>
      <c r="B675" s="1" t="n">
        <v>46076</v>
      </c>
      <c r="C675" s="1" t="n">
        <v>46191</v>
      </c>
      <c r="D675" t="inlineStr">
        <is>
          <t>VÄRMLANDS LÄN</t>
        </is>
      </c>
      <c r="E675" t="inlineStr">
        <is>
          <t>TORSBY</t>
        </is>
      </c>
      <c r="G675" t="n">
        <v>5.7</v>
      </c>
      <c r="H675" t="n">
        <v>0</v>
      </c>
      <c r="I675" t="n">
        <v>0</v>
      </c>
      <c r="J675" t="n">
        <v>0</v>
      </c>
      <c r="K675" t="n">
        <v>0</v>
      </c>
      <c r="L675" t="n">
        <v>0</v>
      </c>
      <c r="M675" t="n">
        <v>0</v>
      </c>
      <c r="N675" t="n">
        <v>0</v>
      </c>
      <c r="O675" t="n">
        <v>0</v>
      </c>
      <c r="P675" t="n">
        <v>0</v>
      </c>
      <c r="Q675" t="n">
        <v>0</v>
      </c>
      <c r="R675" s="2" t="inlineStr"/>
    </row>
    <row r="676" ht="15" customHeight="1">
      <c r="A676" t="inlineStr">
        <is>
          <t>A 10536-2026</t>
        </is>
      </c>
      <c r="B676" s="1" t="n">
        <v>46077</v>
      </c>
      <c r="C676" s="1" t="n">
        <v>46191</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48214-2025</t>
        </is>
      </c>
      <c r="B677" s="1" t="n">
        <v>45933</v>
      </c>
      <c r="C677" s="1" t="n">
        <v>46191</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10515-2026</t>
        </is>
      </c>
      <c r="B678" s="1" t="n">
        <v>46077</v>
      </c>
      <c r="C678" s="1" t="n">
        <v>46191</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54014-2024</t>
        </is>
      </c>
      <c r="B679" s="1" t="n">
        <v>45616</v>
      </c>
      <c r="C679" s="1" t="n">
        <v>46191</v>
      </c>
      <c r="D679" t="inlineStr">
        <is>
          <t>VÄRMLANDS LÄN</t>
        </is>
      </c>
      <c r="E679" t="inlineStr">
        <is>
          <t>TORSBY</t>
        </is>
      </c>
      <c r="F679" t="inlineStr">
        <is>
          <t>Kommuner</t>
        </is>
      </c>
      <c r="G679" t="n">
        <v>2.3</v>
      </c>
      <c r="H679" t="n">
        <v>0</v>
      </c>
      <c r="I679" t="n">
        <v>0</v>
      </c>
      <c r="J679" t="n">
        <v>0</v>
      </c>
      <c r="K679" t="n">
        <v>0</v>
      </c>
      <c r="L679" t="n">
        <v>0</v>
      </c>
      <c r="M679" t="n">
        <v>0</v>
      </c>
      <c r="N679" t="n">
        <v>0</v>
      </c>
      <c r="O679" t="n">
        <v>0</v>
      </c>
      <c r="P679" t="n">
        <v>0</v>
      </c>
      <c r="Q679" t="n">
        <v>0</v>
      </c>
      <c r="R679" s="2" t="inlineStr"/>
    </row>
    <row r="680" ht="15" customHeight="1">
      <c r="A680" t="inlineStr">
        <is>
          <t>A 15175-2024</t>
        </is>
      </c>
      <c r="B680" s="1" t="n">
        <v>45400</v>
      </c>
      <c r="C680" s="1" t="n">
        <v>46191</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21308-2024</t>
        </is>
      </c>
      <c r="B681" s="1" t="n">
        <v>45440</v>
      </c>
      <c r="C681" s="1" t="n">
        <v>46191</v>
      </c>
      <c r="D681" t="inlineStr">
        <is>
          <t>VÄRMLANDS LÄN</t>
        </is>
      </c>
      <c r="E681" t="inlineStr">
        <is>
          <t>TORSBY</t>
        </is>
      </c>
      <c r="G681" t="n">
        <v>18.9</v>
      </c>
      <c r="H681" t="n">
        <v>0</v>
      </c>
      <c r="I681" t="n">
        <v>0</v>
      </c>
      <c r="J681" t="n">
        <v>0</v>
      </c>
      <c r="K681" t="n">
        <v>0</v>
      </c>
      <c r="L681" t="n">
        <v>0</v>
      </c>
      <c r="M681" t="n">
        <v>0</v>
      </c>
      <c r="N681" t="n">
        <v>0</v>
      </c>
      <c r="O681" t="n">
        <v>0</v>
      </c>
      <c r="P681" t="n">
        <v>0</v>
      </c>
      <c r="Q681" t="n">
        <v>0</v>
      </c>
      <c r="R681" s="2" t="inlineStr"/>
    </row>
    <row r="682" ht="15" customHeight="1">
      <c r="A682" t="inlineStr">
        <is>
          <t>A 19614-2022</t>
        </is>
      </c>
      <c r="B682" s="1" t="n">
        <v>44694</v>
      </c>
      <c r="C682" s="1" t="n">
        <v>46191</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22687-2023</t>
        </is>
      </c>
      <c r="B683" s="1" t="n">
        <v>45071</v>
      </c>
      <c r="C683" s="1" t="n">
        <v>46191</v>
      </c>
      <c r="D683" t="inlineStr">
        <is>
          <t>VÄRMLANDS LÄN</t>
        </is>
      </c>
      <c r="E683" t="inlineStr">
        <is>
          <t>TORSBY</t>
        </is>
      </c>
      <c r="F683" t="inlineStr">
        <is>
          <t>Bergvik skog väst AB</t>
        </is>
      </c>
      <c r="G683" t="n">
        <v>5.8</v>
      </c>
      <c r="H683" t="n">
        <v>0</v>
      </c>
      <c r="I683" t="n">
        <v>0</v>
      </c>
      <c r="J683" t="n">
        <v>0</v>
      </c>
      <c r="K683" t="n">
        <v>0</v>
      </c>
      <c r="L683" t="n">
        <v>0</v>
      </c>
      <c r="M683" t="n">
        <v>0</v>
      </c>
      <c r="N683" t="n">
        <v>0</v>
      </c>
      <c r="O683" t="n">
        <v>0</v>
      </c>
      <c r="P683" t="n">
        <v>0</v>
      </c>
      <c r="Q683" t="n">
        <v>0</v>
      </c>
      <c r="R683" s="2" t="inlineStr"/>
    </row>
    <row r="684" ht="15" customHeight="1">
      <c r="A684" t="inlineStr">
        <is>
          <t>A 10277-2026</t>
        </is>
      </c>
      <c r="B684" s="1" t="n">
        <v>46076</v>
      </c>
      <c r="C684" s="1" t="n">
        <v>46191</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49159-2025</t>
        </is>
      </c>
      <c r="B685" s="1" t="n">
        <v>45938</v>
      </c>
      <c r="C685" s="1" t="n">
        <v>46191</v>
      </c>
      <c r="D685" t="inlineStr">
        <is>
          <t>VÄRMLANDS LÄN</t>
        </is>
      </c>
      <c r="E685" t="inlineStr">
        <is>
          <t>TORSBY</t>
        </is>
      </c>
      <c r="F685" t="inlineStr">
        <is>
          <t>Bergvik skog väst AB</t>
        </is>
      </c>
      <c r="G685" t="n">
        <v>1.3</v>
      </c>
      <c r="H685" t="n">
        <v>0</v>
      </c>
      <c r="I685" t="n">
        <v>0</v>
      </c>
      <c r="J685" t="n">
        <v>0</v>
      </c>
      <c r="K685" t="n">
        <v>0</v>
      </c>
      <c r="L685" t="n">
        <v>0</v>
      </c>
      <c r="M685" t="n">
        <v>0</v>
      </c>
      <c r="N685" t="n">
        <v>0</v>
      </c>
      <c r="O685" t="n">
        <v>0</v>
      </c>
      <c r="P685" t="n">
        <v>0</v>
      </c>
      <c r="Q685" t="n">
        <v>0</v>
      </c>
      <c r="R685" s="2" t="inlineStr"/>
    </row>
    <row r="686" ht="15" customHeight="1">
      <c r="A686" t="inlineStr">
        <is>
          <t>A 22565-2024</t>
        </is>
      </c>
      <c r="B686" s="1" t="n">
        <v>45447</v>
      </c>
      <c r="C686" s="1" t="n">
        <v>46191</v>
      </c>
      <c r="D686" t="inlineStr">
        <is>
          <t>VÄRMLANDS LÄN</t>
        </is>
      </c>
      <c r="E686" t="inlineStr">
        <is>
          <t>TORSBY</t>
        </is>
      </c>
      <c r="G686" t="n">
        <v>3</v>
      </c>
      <c r="H686" t="n">
        <v>0</v>
      </c>
      <c r="I686" t="n">
        <v>0</v>
      </c>
      <c r="J686" t="n">
        <v>0</v>
      </c>
      <c r="K686" t="n">
        <v>0</v>
      </c>
      <c r="L686" t="n">
        <v>0</v>
      </c>
      <c r="M686" t="n">
        <v>0</v>
      </c>
      <c r="N686" t="n">
        <v>0</v>
      </c>
      <c r="O686" t="n">
        <v>0</v>
      </c>
      <c r="P686" t="n">
        <v>0</v>
      </c>
      <c r="Q686" t="n">
        <v>0</v>
      </c>
      <c r="R686" s="2" t="inlineStr"/>
    </row>
    <row r="687" ht="15" customHeight="1">
      <c r="A687" t="inlineStr">
        <is>
          <t>A 48762-2023</t>
        </is>
      </c>
      <c r="B687" s="1" t="n">
        <v>45208</v>
      </c>
      <c r="C687" s="1" t="n">
        <v>46191</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48991-2025</t>
        </is>
      </c>
      <c r="B688" s="1" t="n">
        <v>45937</v>
      </c>
      <c r="C688" s="1" t="n">
        <v>46191</v>
      </c>
      <c r="D688" t="inlineStr">
        <is>
          <t>VÄRMLANDS LÄN</t>
        </is>
      </c>
      <c r="E688" t="inlineStr">
        <is>
          <t>TORSBY</t>
        </is>
      </c>
      <c r="G688" t="n">
        <v>10.1</v>
      </c>
      <c r="H688" t="n">
        <v>0</v>
      </c>
      <c r="I688" t="n">
        <v>0</v>
      </c>
      <c r="J688" t="n">
        <v>0</v>
      </c>
      <c r="K688" t="n">
        <v>0</v>
      </c>
      <c r="L688" t="n">
        <v>0</v>
      </c>
      <c r="M688" t="n">
        <v>0</v>
      </c>
      <c r="N688" t="n">
        <v>0</v>
      </c>
      <c r="O688" t="n">
        <v>0</v>
      </c>
      <c r="P688" t="n">
        <v>0</v>
      </c>
      <c r="Q688" t="n">
        <v>0</v>
      </c>
      <c r="R688" s="2" t="inlineStr"/>
    </row>
    <row r="689" ht="15" customHeight="1">
      <c r="A689" t="inlineStr">
        <is>
          <t>A 10533-2026</t>
        </is>
      </c>
      <c r="B689" s="1" t="n">
        <v>46077</v>
      </c>
      <c r="C689" s="1" t="n">
        <v>46191</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4302-2025</t>
        </is>
      </c>
      <c r="B690" s="1" t="n">
        <v>45685</v>
      </c>
      <c r="C690" s="1" t="n">
        <v>46191</v>
      </c>
      <c r="D690" t="inlineStr">
        <is>
          <t>VÄRMLANDS LÄN</t>
        </is>
      </c>
      <c r="E690" t="inlineStr">
        <is>
          <t>TORSBY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49203-2025</t>
        </is>
      </c>
      <c r="B691" s="1" t="n">
        <v>45938</v>
      </c>
      <c r="C691" s="1" t="n">
        <v>46191</v>
      </c>
      <c r="D691" t="inlineStr">
        <is>
          <t>VÄRMLANDS LÄN</t>
        </is>
      </c>
      <c r="E691" t="inlineStr">
        <is>
          <t>TORSBY</t>
        </is>
      </c>
      <c r="F691" t="inlineStr">
        <is>
          <t>Bergvik skog väst AB</t>
        </is>
      </c>
      <c r="G691" t="n">
        <v>10</v>
      </c>
      <c r="H691" t="n">
        <v>0</v>
      </c>
      <c r="I691" t="n">
        <v>0</v>
      </c>
      <c r="J691" t="n">
        <v>0</v>
      </c>
      <c r="K691" t="n">
        <v>0</v>
      </c>
      <c r="L691" t="n">
        <v>0</v>
      </c>
      <c r="M691" t="n">
        <v>0</v>
      </c>
      <c r="N691" t="n">
        <v>0</v>
      </c>
      <c r="O691" t="n">
        <v>0</v>
      </c>
      <c r="P691" t="n">
        <v>0</v>
      </c>
      <c r="Q691" t="n">
        <v>0</v>
      </c>
      <c r="R691" s="2" t="inlineStr"/>
    </row>
    <row r="692" ht="15" customHeight="1">
      <c r="A692" t="inlineStr">
        <is>
          <t>A 10288-2025</t>
        </is>
      </c>
      <c r="B692" s="1" t="n">
        <v>45720</v>
      </c>
      <c r="C692" s="1" t="n">
        <v>46191</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10684-2026</t>
        </is>
      </c>
      <c r="B693" s="1" t="n">
        <v>46078</v>
      </c>
      <c r="C693" s="1" t="n">
        <v>46191</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49344-2025</t>
        </is>
      </c>
      <c r="B694" s="1" t="n">
        <v>45938</v>
      </c>
      <c r="C694" s="1" t="n">
        <v>46191</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10976-2026</t>
        </is>
      </c>
      <c r="B695" s="1" t="n">
        <v>46079</v>
      </c>
      <c r="C695" s="1" t="n">
        <v>46191</v>
      </c>
      <c r="D695" t="inlineStr">
        <is>
          <t>VÄRMLANDS LÄN</t>
        </is>
      </c>
      <c r="E695" t="inlineStr">
        <is>
          <t>TORSBY</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27920-2023</t>
        </is>
      </c>
      <c r="B696" s="1" t="n">
        <v>45098</v>
      </c>
      <c r="C696" s="1" t="n">
        <v>46191</v>
      </c>
      <c r="D696" t="inlineStr">
        <is>
          <t>VÄRMLANDS LÄN</t>
        </is>
      </c>
      <c r="E696" t="inlineStr">
        <is>
          <t>TORSBY</t>
        </is>
      </c>
      <c r="F696" t="inlineStr">
        <is>
          <t>Kyrkan</t>
        </is>
      </c>
      <c r="G696" t="n">
        <v>14.7</v>
      </c>
      <c r="H696" t="n">
        <v>0</v>
      </c>
      <c r="I696" t="n">
        <v>0</v>
      </c>
      <c r="J696" t="n">
        <v>0</v>
      </c>
      <c r="K696" t="n">
        <v>0</v>
      </c>
      <c r="L696" t="n">
        <v>0</v>
      </c>
      <c r="M696" t="n">
        <v>0</v>
      </c>
      <c r="N696" t="n">
        <v>0</v>
      </c>
      <c r="O696" t="n">
        <v>0</v>
      </c>
      <c r="P696" t="n">
        <v>0</v>
      </c>
      <c r="Q696" t="n">
        <v>0</v>
      </c>
      <c r="R696" s="2" t="inlineStr"/>
    </row>
    <row r="697" ht="15" customHeight="1">
      <c r="A697" t="inlineStr">
        <is>
          <t>A 10871-2026</t>
        </is>
      </c>
      <c r="B697" s="1" t="n">
        <v>46078</v>
      </c>
      <c r="C697" s="1" t="n">
        <v>46191</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49107-2025</t>
        </is>
      </c>
      <c r="B698" s="1" t="n">
        <v>45937</v>
      </c>
      <c r="C698" s="1" t="n">
        <v>46191</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49311-2025</t>
        </is>
      </c>
      <c r="B699" s="1" t="n">
        <v>45938</v>
      </c>
      <c r="C699" s="1" t="n">
        <v>46191</v>
      </c>
      <c r="D699" t="inlineStr">
        <is>
          <t>VÄRMLANDS LÄN</t>
        </is>
      </c>
      <c r="E699" t="inlineStr">
        <is>
          <t>TORSBY</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24876-2023</t>
        </is>
      </c>
      <c r="B700" s="1" t="n">
        <v>45085</v>
      </c>
      <c r="C700" s="1" t="n">
        <v>46191</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49313-2025</t>
        </is>
      </c>
      <c r="B701" s="1" t="n">
        <v>45938</v>
      </c>
      <c r="C701" s="1" t="n">
        <v>46191</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49167-2025</t>
        </is>
      </c>
      <c r="B702" s="1" t="n">
        <v>45938</v>
      </c>
      <c r="C702" s="1" t="n">
        <v>46191</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24657-2024</t>
        </is>
      </c>
      <c r="B703" s="1" t="n">
        <v>45460</v>
      </c>
      <c r="C703" s="1" t="n">
        <v>46191</v>
      </c>
      <c r="D703" t="inlineStr">
        <is>
          <t>VÄRMLANDS LÄN</t>
        </is>
      </c>
      <c r="E703" t="inlineStr">
        <is>
          <t>TORSBY</t>
        </is>
      </c>
      <c r="G703" t="n">
        <v>1.6</v>
      </c>
      <c r="H703" t="n">
        <v>0</v>
      </c>
      <c r="I703" t="n">
        <v>0</v>
      </c>
      <c r="J703" t="n">
        <v>0</v>
      </c>
      <c r="K703" t="n">
        <v>0</v>
      </c>
      <c r="L703" t="n">
        <v>0</v>
      </c>
      <c r="M703" t="n">
        <v>0</v>
      </c>
      <c r="N703" t="n">
        <v>0</v>
      </c>
      <c r="O703" t="n">
        <v>0</v>
      </c>
      <c r="P703" t="n">
        <v>0</v>
      </c>
      <c r="Q703" t="n">
        <v>0</v>
      </c>
      <c r="R703" s="2" t="inlineStr"/>
    </row>
    <row r="704" ht="15" customHeight="1">
      <c r="A704" t="inlineStr">
        <is>
          <t>A 9203-2024</t>
        </is>
      </c>
      <c r="B704" s="1" t="n">
        <v>45358</v>
      </c>
      <c r="C704" s="1" t="n">
        <v>46191</v>
      </c>
      <c r="D704" t="inlineStr">
        <is>
          <t>VÄRMLANDS LÄN</t>
        </is>
      </c>
      <c r="E704" t="inlineStr">
        <is>
          <t>TORSBY</t>
        </is>
      </c>
      <c r="G704" t="n">
        <v>5.7</v>
      </c>
      <c r="H704" t="n">
        <v>0</v>
      </c>
      <c r="I704" t="n">
        <v>0</v>
      </c>
      <c r="J704" t="n">
        <v>0</v>
      </c>
      <c r="K704" t="n">
        <v>0</v>
      </c>
      <c r="L704" t="n">
        <v>0</v>
      </c>
      <c r="M704" t="n">
        <v>0</v>
      </c>
      <c r="N704" t="n">
        <v>0</v>
      </c>
      <c r="O704" t="n">
        <v>0</v>
      </c>
      <c r="P704" t="n">
        <v>0</v>
      </c>
      <c r="Q704" t="n">
        <v>0</v>
      </c>
      <c r="R704" s="2" t="inlineStr"/>
    </row>
    <row r="705" ht="15" customHeight="1">
      <c r="A705" t="inlineStr">
        <is>
          <t>A 49237-2025</t>
        </is>
      </c>
      <c r="B705" s="1" t="n">
        <v>45938</v>
      </c>
      <c r="C705" s="1" t="n">
        <v>46191</v>
      </c>
      <c r="D705" t="inlineStr">
        <is>
          <t>VÄRMLANDS LÄN</t>
        </is>
      </c>
      <c r="E705" t="inlineStr">
        <is>
          <t>TORSBY</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49250-2025</t>
        </is>
      </c>
      <c r="B706" s="1" t="n">
        <v>45938</v>
      </c>
      <c r="C706" s="1" t="n">
        <v>46191</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49108-2025</t>
        </is>
      </c>
      <c r="B707" s="1" t="n">
        <v>45937</v>
      </c>
      <c r="C707" s="1" t="n">
        <v>46191</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49109-2025</t>
        </is>
      </c>
      <c r="B708" s="1" t="n">
        <v>45937</v>
      </c>
      <c r="C708" s="1" t="n">
        <v>46191</v>
      </c>
      <c r="D708" t="inlineStr">
        <is>
          <t>VÄRMLANDS LÄN</t>
        </is>
      </c>
      <c r="E708" t="inlineStr">
        <is>
          <t>TORSBY</t>
        </is>
      </c>
      <c r="G708" t="n">
        <v>0.1</v>
      </c>
      <c r="H708" t="n">
        <v>0</v>
      </c>
      <c r="I708" t="n">
        <v>0</v>
      </c>
      <c r="J708" t="n">
        <v>0</v>
      </c>
      <c r="K708" t="n">
        <v>0</v>
      </c>
      <c r="L708" t="n">
        <v>0</v>
      </c>
      <c r="M708" t="n">
        <v>0</v>
      </c>
      <c r="N708" t="n">
        <v>0</v>
      </c>
      <c r="O708" t="n">
        <v>0</v>
      </c>
      <c r="P708" t="n">
        <v>0</v>
      </c>
      <c r="Q708" t="n">
        <v>0</v>
      </c>
      <c r="R708" s="2" t="inlineStr"/>
    </row>
    <row r="709" ht="15" customHeight="1">
      <c r="A709" t="inlineStr">
        <is>
          <t>A 23996-2024</t>
        </is>
      </c>
      <c r="B709" s="1" t="n">
        <v>45456</v>
      </c>
      <c r="C709" s="1" t="n">
        <v>46191</v>
      </c>
      <c r="D709" t="inlineStr">
        <is>
          <t>VÄRMLANDS LÄN</t>
        </is>
      </c>
      <c r="E709" t="inlineStr">
        <is>
          <t>TORSBY</t>
        </is>
      </c>
      <c r="F709" t="inlineStr">
        <is>
          <t>Bergvik skog väst AB</t>
        </is>
      </c>
      <c r="G709" t="n">
        <v>0.8</v>
      </c>
      <c r="H709" t="n">
        <v>0</v>
      </c>
      <c r="I709" t="n">
        <v>0</v>
      </c>
      <c r="J709" t="n">
        <v>0</v>
      </c>
      <c r="K709" t="n">
        <v>0</v>
      </c>
      <c r="L709" t="n">
        <v>0</v>
      </c>
      <c r="M709" t="n">
        <v>0</v>
      </c>
      <c r="N709" t="n">
        <v>0</v>
      </c>
      <c r="O709" t="n">
        <v>0</v>
      </c>
      <c r="P709" t="n">
        <v>0</v>
      </c>
      <c r="Q709" t="n">
        <v>0</v>
      </c>
      <c r="R709" s="2" t="inlineStr"/>
    </row>
    <row r="710" ht="15" customHeight="1">
      <c r="A710" t="inlineStr">
        <is>
          <t>A 49272-2025</t>
        </is>
      </c>
      <c r="B710" s="1" t="n">
        <v>45938</v>
      </c>
      <c r="C710" s="1" t="n">
        <v>46191</v>
      </c>
      <c r="D710" t="inlineStr">
        <is>
          <t>VÄRMLANDS LÄN</t>
        </is>
      </c>
      <c r="E710" t="inlineStr">
        <is>
          <t>TORSBY</t>
        </is>
      </c>
      <c r="G710" t="n">
        <v>0.2</v>
      </c>
      <c r="H710" t="n">
        <v>0</v>
      </c>
      <c r="I710" t="n">
        <v>0</v>
      </c>
      <c r="J710" t="n">
        <v>0</v>
      </c>
      <c r="K710" t="n">
        <v>0</v>
      </c>
      <c r="L710" t="n">
        <v>0</v>
      </c>
      <c r="M710" t="n">
        <v>0</v>
      </c>
      <c r="N710" t="n">
        <v>0</v>
      </c>
      <c r="O710" t="n">
        <v>0</v>
      </c>
      <c r="P710" t="n">
        <v>0</v>
      </c>
      <c r="Q710" t="n">
        <v>0</v>
      </c>
      <c r="R710" s="2" t="inlineStr"/>
    </row>
    <row r="711" ht="15" customHeight="1">
      <c r="A711" t="inlineStr">
        <is>
          <t>A 25163-2023</t>
        </is>
      </c>
      <c r="B711" s="1" t="n">
        <v>45086</v>
      </c>
      <c r="C711" s="1" t="n">
        <v>46191</v>
      </c>
      <c r="D711" t="inlineStr">
        <is>
          <t>VÄRMLANDS LÄN</t>
        </is>
      </c>
      <c r="E711" t="inlineStr">
        <is>
          <t>TORSBY</t>
        </is>
      </c>
      <c r="G711" t="n">
        <v>5.2</v>
      </c>
      <c r="H711" t="n">
        <v>0</v>
      </c>
      <c r="I711" t="n">
        <v>0</v>
      </c>
      <c r="J711" t="n">
        <v>0</v>
      </c>
      <c r="K711" t="n">
        <v>0</v>
      </c>
      <c r="L711" t="n">
        <v>0</v>
      </c>
      <c r="M711" t="n">
        <v>0</v>
      </c>
      <c r="N711" t="n">
        <v>0</v>
      </c>
      <c r="O711" t="n">
        <v>0</v>
      </c>
      <c r="P711" t="n">
        <v>0</v>
      </c>
      <c r="Q711" t="n">
        <v>0</v>
      </c>
      <c r="R711" s="2" t="inlineStr"/>
    </row>
    <row r="712" ht="15" customHeight="1">
      <c r="A712" t="inlineStr">
        <is>
          <t>A 22426-2024</t>
        </is>
      </c>
      <c r="B712" s="1" t="n">
        <v>45446</v>
      </c>
      <c r="C712" s="1" t="n">
        <v>46191</v>
      </c>
      <c r="D712" t="inlineStr">
        <is>
          <t>VÄRMLANDS LÄN</t>
        </is>
      </c>
      <c r="E712" t="inlineStr">
        <is>
          <t>TORSBY</t>
        </is>
      </c>
      <c r="G712" t="n">
        <v>3</v>
      </c>
      <c r="H712" t="n">
        <v>0</v>
      </c>
      <c r="I712" t="n">
        <v>0</v>
      </c>
      <c r="J712" t="n">
        <v>0</v>
      </c>
      <c r="K712" t="n">
        <v>0</v>
      </c>
      <c r="L712" t="n">
        <v>0</v>
      </c>
      <c r="M712" t="n">
        <v>0</v>
      </c>
      <c r="N712" t="n">
        <v>0</v>
      </c>
      <c r="O712" t="n">
        <v>0</v>
      </c>
      <c r="P712" t="n">
        <v>0</v>
      </c>
      <c r="Q712" t="n">
        <v>0</v>
      </c>
      <c r="R712" s="2" t="inlineStr"/>
    </row>
    <row r="713" ht="15" customHeight="1">
      <c r="A713" t="inlineStr">
        <is>
          <t>A 41264-2022</t>
        </is>
      </c>
      <c r="B713" s="1" t="n">
        <v>44823</v>
      </c>
      <c r="C713" s="1" t="n">
        <v>46191</v>
      </c>
      <c r="D713" t="inlineStr">
        <is>
          <t>VÄRMLANDS LÄN</t>
        </is>
      </c>
      <c r="E713" t="inlineStr">
        <is>
          <t>TORSBY</t>
        </is>
      </c>
      <c r="G713" t="n">
        <v>6.5</v>
      </c>
      <c r="H713" t="n">
        <v>0</v>
      </c>
      <c r="I713" t="n">
        <v>0</v>
      </c>
      <c r="J713" t="n">
        <v>0</v>
      </c>
      <c r="K713" t="n">
        <v>0</v>
      </c>
      <c r="L713" t="n">
        <v>0</v>
      </c>
      <c r="M713" t="n">
        <v>0</v>
      </c>
      <c r="N713" t="n">
        <v>0</v>
      </c>
      <c r="O713" t="n">
        <v>0</v>
      </c>
      <c r="P713" t="n">
        <v>0</v>
      </c>
      <c r="Q713" t="n">
        <v>0</v>
      </c>
      <c r="R713" s="2" t="inlineStr"/>
    </row>
    <row r="714" ht="15" customHeight="1">
      <c r="A714" t="inlineStr">
        <is>
          <t>A 24148-2024</t>
        </is>
      </c>
      <c r="B714" s="1" t="n">
        <v>45456</v>
      </c>
      <c r="C714" s="1" t="n">
        <v>46191</v>
      </c>
      <c r="D714" t="inlineStr">
        <is>
          <t>VÄRMLANDS LÄN</t>
        </is>
      </c>
      <c r="E714" t="inlineStr">
        <is>
          <t>TORSBY</t>
        </is>
      </c>
      <c r="G714" t="n">
        <v>2.7</v>
      </c>
      <c r="H714" t="n">
        <v>0</v>
      </c>
      <c r="I714" t="n">
        <v>0</v>
      </c>
      <c r="J714" t="n">
        <v>0</v>
      </c>
      <c r="K714" t="n">
        <v>0</v>
      </c>
      <c r="L714" t="n">
        <v>0</v>
      </c>
      <c r="M714" t="n">
        <v>0</v>
      </c>
      <c r="N714" t="n">
        <v>0</v>
      </c>
      <c r="O714" t="n">
        <v>0</v>
      </c>
      <c r="P714" t="n">
        <v>0</v>
      </c>
      <c r="Q714" t="n">
        <v>0</v>
      </c>
      <c r="R714" s="2" t="inlineStr"/>
    </row>
    <row r="715" ht="15" customHeight="1">
      <c r="A715" t="inlineStr">
        <is>
          <t>A 49681-2025</t>
        </is>
      </c>
      <c r="B715" s="1" t="n">
        <v>45939</v>
      </c>
      <c r="C715" s="1" t="n">
        <v>46191</v>
      </c>
      <c r="D715" t="inlineStr">
        <is>
          <t>VÄRMLANDS LÄN</t>
        </is>
      </c>
      <c r="E715" t="inlineStr">
        <is>
          <t>TORSBY</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40590-2021</t>
        </is>
      </c>
      <c r="B716" s="1" t="n">
        <v>44420</v>
      </c>
      <c r="C716" s="1" t="n">
        <v>46191</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49453-2025</t>
        </is>
      </c>
      <c r="B717" s="1" t="n">
        <v>45939</v>
      </c>
      <c r="C717" s="1" t="n">
        <v>46191</v>
      </c>
      <c r="D717" t="inlineStr">
        <is>
          <t>VÄRMLANDS LÄN</t>
        </is>
      </c>
      <c r="E717" t="inlineStr">
        <is>
          <t>TORSBY</t>
        </is>
      </c>
      <c r="F717" t="inlineStr">
        <is>
          <t>Bergvik skog väst AB</t>
        </is>
      </c>
      <c r="G717" t="n">
        <v>10</v>
      </c>
      <c r="H717" t="n">
        <v>0</v>
      </c>
      <c r="I717" t="n">
        <v>0</v>
      </c>
      <c r="J717" t="n">
        <v>0</v>
      </c>
      <c r="K717" t="n">
        <v>0</v>
      </c>
      <c r="L717" t="n">
        <v>0</v>
      </c>
      <c r="M717" t="n">
        <v>0</v>
      </c>
      <c r="N717" t="n">
        <v>0</v>
      </c>
      <c r="O717" t="n">
        <v>0</v>
      </c>
      <c r="P717" t="n">
        <v>0</v>
      </c>
      <c r="Q717" t="n">
        <v>0</v>
      </c>
      <c r="R717" s="2" t="inlineStr"/>
    </row>
    <row r="718" ht="15" customHeight="1">
      <c r="A718" t="inlineStr">
        <is>
          <t>A 42613-2023</t>
        </is>
      </c>
      <c r="B718" s="1" t="n">
        <v>45181</v>
      </c>
      <c r="C718" s="1" t="n">
        <v>46191</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11489-2026</t>
        </is>
      </c>
      <c r="B719" s="1" t="n">
        <v>46083</v>
      </c>
      <c r="C719" s="1" t="n">
        <v>46191</v>
      </c>
      <c r="D719" t="inlineStr">
        <is>
          <t>VÄRMLANDS LÄN</t>
        </is>
      </c>
      <c r="E719" t="inlineStr">
        <is>
          <t>TORSBY</t>
        </is>
      </c>
      <c r="F719" t="inlineStr">
        <is>
          <t>Bergvik skog väst AB</t>
        </is>
      </c>
      <c r="G719" t="n">
        <v>7.1</v>
      </c>
      <c r="H719" t="n">
        <v>0</v>
      </c>
      <c r="I719" t="n">
        <v>0</v>
      </c>
      <c r="J719" t="n">
        <v>0</v>
      </c>
      <c r="K719" t="n">
        <v>0</v>
      </c>
      <c r="L719" t="n">
        <v>0</v>
      </c>
      <c r="M719" t="n">
        <v>0</v>
      </c>
      <c r="N719" t="n">
        <v>0</v>
      </c>
      <c r="O719" t="n">
        <v>0</v>
      </c>
      <c r="P719" t="n">
        <v>0</v>
      </c>
      <c r="Q719" t="n">
        <v>0</v>
      </c>
      <c r="R719" s="2" t="inlineStr"/>
    </row>
    <row r="720" ht="15" customHeight="1">
      <c r="A720" t="inlineStr">
        <is>
          <t>A 49854-2025</t>
        </is>
      </c>
      <c r="B720" s="1" t="n">
        <v>45940</v>
      </c>
      <c r="C720" s="1" t="n">
        <v>46191</v>
      </c>
      <c r="D720" t="inlineStr">
        <is>
          <t>VÄRMLANDS LÄN</t>
        </is>
      </c>
      <c r="E720" t="inlineStr">
        <is>
          <t>TORSBY</t>
        </is>
      </c>
      <c r="G720" t="n">
        <v>0.3</v>
      </c>
      <c r="H720" t="n">
        <v>0</v>
      </c>
      <c r="I720" t="n">
        <v>0</v>
      </c>
      <c r="J720" t="n">
        <v>0</v>
      </c>
      <c r="K720" t="n">
        <v>0</v>
      </c>
      <c r="L720" t="n">
        <v>0</v>
      </c>
      <c r="M720" t="n">
        <v>0</v>
      </c>
      <c r="N720" t="n">
        <v>0</v>
      </c>
      <c r="O720" t="n">
        <v>0</v>
      </c>
      <c r="P720" t="n">
        <v>0</v>
      </c>
      <c r="Q720" t="n">
        <v>0</v>
      </c>
      <c r="R720" s="2" t="inlineStr"/>
    </row>
    <row r="721" ht="15" customHeight="1">
      <c r="A721" t="inlineStr">
        <is>
          <t>A 11274-2026</t>
        </is>
      </c>
      <c r="B721" s="1" t="n">
        <v>46080</v>
      </c>
      <c r="C721" s="1" t="n">
        <v>46191</v>
      </c>
      <c r="D721" t="inlineStr">
        <is>
          <t>VÄRMLANDS LÄN</t>
        </is>
      </c>
      <c r="E721" t="inlineStr">
        <is>
          <t>TORSBY</t>
        </is>
      </c>
      <c r="G721" t="n">
        <v>2.9</v>
      </c>
      <c r="H721" t="n">
        <v>0</v>
      </c>
      <c r="I721" t="n">
        <v>0</v>
      </c>
      <c r="J721" t="n">
        <v>0</v>
      </c>
      <c r="K721" t="n">
        <v>0</v>
      </c>
      <c r="L721" t="n">
        <v>0</v>
      </c>
      <c r="M721" t="n">
        <v>0</v>
      </c>
      <c r="N721" t="n">
        <v>0</v>
      </c>
      <c r="O721" t="n">
        <v>0</v>
      </c>
      <c r="P721" t="n">
        <v>0</v>
      </c>
      <c r="Q721" t="n">
        <v>0</v>
      </c>
      <c r="R721" s="2" t="inlineStr"/>
    </row>
    <row r="722" ht="15" customHeight="1">
      <c r="A722" t="inlineStr">
        <is>
          <t>A 59236-2023</t>
        </is>
      </c>
      <c r="B722" s="1" t="n">
        <v>45253</v>
      </c>
      <c r="C722" s="1" t="n">
        <v>46191</v>
      </c>
      <c r="D722" t="inlineStr">
        <is>
          <t>VÄRMLANDS LÄN</t>
        </is>
      </c>
      <c r="E722" t="inlineStr">
        <is>
          <t>TORSBY</t>
        </is>
      </c>
      <c r="G722" t="n">
        <v>2.2</v>
      </c>
      <c r="H722" t="n">
        <v>0</v>
      </c>
      <c r="I722" t="n">
        <v>0</v>
      </c>
      <c r="J722" t="n">
        <v>0</v>
      </c>
      <c r="K722" t="n">
        <v>0</v>
      </c>
      <c r="L722" t="n">
        <v>0</v>
      </c>
      <c r="M722" t="n">
        <v>0</v>
      </c>
      <c r="N722" t="n">
        <v>0</v>
      </c>
      <c r="O722" t="n">
        <v>0</v>
      </c>
      <c r="P722" t="n">
        <v>0</v>
      </c>
      <c r="Q722" t="n">
        <v>0</v>
      </c>
      <c r="R722" s="2" t="inlineStr"/>
    </row>
    <row r="723" ht="15" customHeight="1">
      <c r="A723" t="inlineStr">
        <is>
          <t>A 49622-2025</t>
        </is>
      </c>
      <c r="B723" s="1" t="n">
        <v>45939</v>
      </c>
      <c r="C723" s="1" t="n">
        <v>46191</v>
      </c>
      <c r="D723" t="inlineStr">
        <is>
          <t>VÄRMLANDS LÄN</t>
        </is>
      </c>
      <c r="E723" t="inlineStr">
        <is>
          <t>TORSBY</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49636-2025</t>
        </is>
      </c>
      <c r="B724" s="1" t="n">
        <v>45939</v>
      </c>
      <c r="C724" s="1" t="n">
        <v>46191</v>
      </c>
      <c r="D724" t="inlineStr">
        <is>
          <t>VÄRMLANDS LÄN</t>
        </is>
      </c>
      <c r="E724" t="inlineStr">
        <is>
          <t>TORSBY</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36184-2024</t>
        </is>
      </c>
      <c r="B725" s="1" t="n">
        <v>45534</v>
      </c>
      <c r="C725" s="1" t="n">
        <v>46191</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49638-2025</t>
        </is>
      </c>
      <c r="B726" s="1" t="n">
        <v>45939</v>
      </c>
      <c r="C726" s="1" t="n">
        <v>46191</v>
      </c>
      <c r="D726" t="inlineStr">
        <is>
          <t>VÄRMLANDS LÄN</t>
        </is>
      </c>
      <c r="E726" t="inlineStr">
        <is>
          <t>TORSBY</t>
        </is>
      </c>
      <c r="F726" t="inlineStr">
        <is>
          <t>Bergvik skog väst AB</t>
        </is>
      </c>
      <c r="G726" t="n">
        <v>7</v>
      </c>
      <c r="H726" t="n">
        <v>0</v>
      </c>
      <c r="I726" t="n">
        <v>0</v>
      </c>
      <c r="J726" t="n">
        <v>0</v>
      </c>
      <c r="K726" t="n">
        <v>0</v>
      </c>
      <c r="L726" t="n">
        <v>0</v>
      </c>
      <c r="M726" t="n">
        <v>0</v>
      </c>
      <c r="N726" t="n">
        <v>0</v>
      </c>
      <c r="O726" t="n">
        <v>0</v>
      </c>
      <c r="P726" t="n">
        <v>0</v>
      </c>
      <c r="Q726" t="n">
        <v>0</v>
      </c>
      <c r="R726" s="2" t="inlineStr"/>
    </row>
    <row r="727" ht="15" customHeight="1">
      <c r="A727" t="inlineStr">
        <is>
          <t>A 14120-2025</t>
        </is>
      </c>
      <c r="B727" s="1" t="n">
        <v>45740</v>
      </c>
      <c r="C727" s="1" t="n">
        <v>46191</v>
      </c>
      <c r="D727" t="inlineStr">
        <is>
          <t>VÄRMLANDS LÄN</t>
        </is>
      </c>
      <c r="E727" t="inlineStr">
        <is>
          <t>TORSBY</t>
        </is>
      </c>
      <c r="G727" t="n">
        <v>3.3</v>
      </c>
      <c r="H727" t="n">
        <v>0</v>
      </c>
      <c r="I727" t="n">
        <v>0</v>
      </c>
      <c r="J727" t="n">
        <v>0</v>
      </c>
      <c r="K727" t="n">
        <v>0</v>
      </c>
      <c r="L727" t="n">
        <v>0</v>
      </c>
      <c r="M727" t="n">
        <v>0</v>
      </c>
      <c r="N727" t="n">
        <v>0</v>
      </c>
      <c r="O727" t="n">
        <v>0</v>
      </c>
      <c r="P727" t="n">
        <v>0</v>
      </c>
      <c r="Q727" t="n">
        <v>0</v>
      </c>
      <c r="R727" s="2" t="inlineStr"/>
    </row>
    <row r="728" ht="15" customHeight="1">
      <c r="A728" t="inlineStr">
        <is>
          <t>A 50400-2025</t>
        </is>
      </c>
      <c r="B728" s="1" t="n">
        <v>45944</v>
      </c>
      <c r="C728" s="1" t="n">
        <v>46191</v>
      </c>
      <c r="D728" t="inlineStr">
        <is>
          <t>VÄRMLANDS LÄN</t>
        </is>
      </c>
      <c r="E728" t="inlineStr">
        <is>
          <t>TORSBY</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15768-2025</t>
        </is>
      </c>
      <c r="B729" s="1" t="n">
        <v>45748</v>
      </c>
      <c r="C729" s="1" t="n">
        <v>46191</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11362-2026</t>
        </is>
      </c>
      <c r="B730" s="1" t="n">
        <v>46083</v>
      </c>
      <c r="C730" s="1" t="n">
        <v>46191</v>
      </c>
      <c r="D730" t="inlineStr">
        <is>
          <t>VÄRMLANDS LÄN</t>
        </is>
      </c>
      <c r="E730" t="inlineStr">
        <is>
          <t>TORSBY</t>
        </is>
      </c>
      <c r="G730" t="n">
        <v>3.6</v>
      </c>
      <c r="H730" t="n">
        <v>0</v>
      </c>
      <c r="I730" t="n">
        <v>0</v>
      </c>
      <c r="J730" t="n">
        <v>0</v>
      </c>
      <c r="K730" t="n">
        <v>0</v>
      </c>
      <c r="L730" t="n">
        <v>0</v>
      </c>
      <c r="M730" t="n">
        <v>0</v>
      </c>
      <c r="N730" t="n">
        <v>0</v>
      </c>
      <c r="O730" t="n">
        <v>0</v>
      </c>
      <c r="P730" t="n">
        <v>0</v>
      </c>
      <c r="Q730" t="n">
        <v>0</v>
      </c>
      <c r="R730" s="2" t="inlineStr"/>
    </row>
    <row r="731" ht="15" customHeight="1">
      <c r="A731" t="inlineStr">
        <is>
          <t>A 50373-2025</t>
        </is>
      </c>
      <c r="B731" s="1" t="n">
        <v>45944</v>
      </c>
      <c r="C731" s="1" t="n">
        <v>46191</v>
      </c>
      <c r="D731" t="inlineStr">
        <is>
          <t>VÄRMLANDS LÄN</t>
        </is>
      </c>
      <c r="E731" t="inlineStr">
        <is>
          <t>TORSBY</t>
        </is>
      </c>
      <c r="F731" t="inlineStr">
        <is>
          <t>Bergvik skog väst AB</t>
        </is>
      </c>
      <c r="G731" t="n">
        <v>11.5</v>
      </c>
      <c r="H731" t="n">
        <v>0</v>
      </c>
      <c r="I731" t="n">
        <v>0</v>
      </c>
      <c r="J731" t="n">
        <v>0</v>
      </c>
      <c r="K731" t="n">
        <v>0</v>
      </c>
      <c r="L731" t="n">
        <v>0</v>
      </c>
      <c r="M731" t="n">
        <v>0</v>
      </c>
      <c r="N731" t="n">
        <v>0</v>
      </c>
      <c r="O731" t="n">
        <v>0</v>
      </c>
      <c r="P731" t="n">
        <v>0</v>
      </c>
      <c r="Q731" t="n">
        <v>0</v>
      </c>
      <c r="R731" s="2" t="inlineStr"/>
    </row>
    <row r="732" ht="15" customHeight="1">
      <c r="A732" t="inlineStr">
        <is>
          <t>A 44532-2022</t>
        </is>
      </c>
      <c r="B732" s="1" t="n">
        <v>44840</v>
      </c>
      <c r="C732" s="1" t="n">
        <v>46191</v>
      </c>
      <c r="D732" t="inlineStr">
        <is>
          <t>VÄRMLANDS LÄN</t>
        </is>
      </c>
      <c r="E732" t="inlineStr">
        <is>
          <t>TORSBY</t>
        </is>
      </c>
      <c r="G732" t="n">
        <v>12.3</v>
      </c>
      <c r="H732" t="n">
        <v>0</v>
      </c>
      <c r="I732" t="n">
        <v>0</v>
      </c>
      <c r="J732" t="n">
        <v>0</v>
      </c>
      <c r="K732" t="n">
        <v>0</v>
      </c>
      <c r="L732" t="n">
        <v>0</v>
      </c>
      <c r="M732" t="n">
        <v>0</v>
      </c>
      <c r="N732" t="n">
        <v>0</v>
      </c>
      <c r="O732" t="n">
        <v>0</v>
      </c>
      <c r="P732" t="n">
        <v>0</v>
      </c>
      <c r="Q732" t="n">
        <v>0</v>
      </c>
      <c r="R732" s="2" t="inlineStr"/>
    </row>
    <row r="733" ht="15" customHeight="1">
      <c r="A733" t="inlineStr">
        <is>
          <t>A 54766-2023</t>
        </is>
      </c>
      <c r="B733" s="1" t="n">
        <v>45236</v>
      </c>
      <c r="C733" s="1" t="n">
        <v>46191</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11901-2026</t>
        </is>
      </c>
      <c r="B734" s="1" t="n">
        <v>46085</v>
      </c>
      <c r="C734" s="1" t="n">
        <v>46191</v>
      </c>
      <c r="D734" t="inlineStr">
        <is>
          <t>VÄRMLANDS LÄN</t>
        </is>
      </c>
      <c r="E734" t="inlineStr">
        <is>
          <t>TORSBY</t>
        </is>
      </c>
      <c r="G734" t="n">
        <v>6.6</v>
      </c>
      <c r="H734" t="n">
        <v>0</v>
      </c>
      <c r="I734" t="n">
        <v>0</v>
      </c>
      <c r="J734" t="n">
        <v>0</v>
      </c>
      <c r="K734" t="n">
        <v>0</v>
      </c>
      <c r="L734" t="n">
        <v>0</v>
      </c>
      <c r="M734" t="n">
        <v>0</v>
      </c>
      <c r="N734" t="n">
        <v>0</v>
      </c>
      <c r="O734" t="n">
        <v>0</v>
      </c>
      <c r="P734" t="n">
        <v>0</v>
      </c>
      <c r="Q734" t="n">
        <v>0</v>
      </c>
      <c r="R734" s="2" t="inlineStr"/>
    </row>
    <row r="735" ht="15" customHeight="1">
      <c r="A735" t="inlineStr">
        <is>
          <t>A 11909-2026</t>
        </is>
      </c>
      <c r="B735" s="1" t="n">
        <v>46085</v>
      </c>
      <c r="C735" s="1" t="n">
        <v>46191</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11692-2026</t>
        </is>
      </c>
      <c r="B736" s="1" t="n">
        <v>46084</v>
      </c>
      <c r="C736" s="1" t="n">
        <v>46191</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11722-2026</t>
        </is>
      </c>
      <c r="B737" s="1" t="n">
        <v>46084</v>
      </c>
      <c r="C737" s="1" t="n">
        <v>46191</v>
      </c>
      <c r="D737" t="inlineStr">
        <is>
          <t>VÄRMLANDS LÄN</t>
        </is>
      </c>
      <c r="E737" t="inlineStr">
        <is>
          <t>TORSBY</t>
        </is>
      </c>
      <c r="F737" t="inlineStr">
        <is>
          <t>Bergvik skog väst AB</t>
        </is>
      </c>
      <c r="G737" t="n">
        <v>6.7</v>
      </c>
      <c r="H737" t="n">
        <v>0</v>
      </c>
      <c r="I737" t="n">
        <v>0</v>
      </c>
      <c r="J737" t="n">
        <v>0</v>
      </c>
      <c r="K737" t="n">
        <v>0</v>
      </c>
      <c r="L737" t="n">
        <v>0</v>
      </c>
      <c r="M737" t="n">
        <v>0</v>
      </c>
      <c r="N737" t="n">
        <v>0</v>
      </c>
      <c r="O737" t="n">
        <v>0</v>
      </c>
      <c r="P737" t="n">
        <v>0</v>
      </c>
      <c r="Q737" t="n">
        <v>0</v>
      </c>
      <c r="R737" s="2" t="inlineStr"/>
    </row>
    <row r="738" ht="15" customHeight="1">
      <c r="A738" t="inlineStr">
        <is>
          <t>A 15460-2022</t>
        </is>
      </c>
      <c r="B738" s="1" t="n">
        <v>44661</v>
      </c>
      <c r="C738" s="1" t="n">
        <v>46191</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11765-2026</t>
        </is>
      </c>
      <c r="B739" s="1" t="n">
        <v>46084</v>
      </c>
      <c r="C739" s="1" t="n">
        <v>46191</v>
      </c>
      <c r="D739" t="inlineStr">
        <is>
          <t>VÄRMLANDS LÄN</t>
        </is>
      </c>
      <c r="E739" t="inlineStr">
        <is>
          <t>TORSBY</t>
        </is>
      </c>
      <c r="G739" t="n">
        <v>5.2</v>
      </c>
      <c r="H739" t="n">
        <v>0</v>
      </c>
      <c r="I739" t="n">
        <v>0</v>
      </c>
      <c r="J739" t="n">
        <v>0</v>
      </c>
      <c r="K739" t="n">
        <v>0</v>
      </c>
      <c r="L739" t="n">
        <v>0</v>
      </c>
      <c r="M739" t="n">
        <v>0</v>
      </c>
      <c r="N739" t="n">
        <v>0</v>
      </c>
      <c r="O739" t="n">
        <v>0</v>
      </c>
      <c r="P739" t="n">
        <v>0</v>
      </c>
      <c r="Q739" t="n">
        <v>0</v>
      </c>
      <c r="R739" s="2" t="inlineStr"/>
    </row>
    <row r="740" ht="15" customHeight="1">
      <c r="A740" t="inlineStr">
        <is>
          <t>A 50750-2025</t>
        </is>
      </c>
      <c r="B740" s="1" t="n">
        <v>45946</v>
      </c>
      <c r="C740" s="1" t="n">
        <v>46191</v>
      </c>
      <c r="D740" t="inlineStr">
        <is>
          <t>VÄRMLANDS LÄN</t>
        </is>
      </c>
      <c r="E740" t="inlineStr">
        <is>
          <t>TORSBY</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44150-2023</t>
        </is>
      </c>
      <c r="B741" s="1" t="n">
        <v>45188</v>
      </c>
      <c r="C741" s="1" t="n">
        <v>46191</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50927-2025</t>
        </is>
      </c>
      <c r="B742" s="1" t="n">
        <v>45946</v>
      </c>
      <c r="C742" s="1" t="n">
        <v>46191</v>
      </c>
      <c r="D742" t="inlineStr">
        <is>
          <t>VÄRMLANDS LÄN</t>
        </is>
      </c>
      <c r="E742" t="inlineStr">
        <is>
          <t>TORSBY</t>
        </is>
      </c>
      <c r="F742" t="inlineStr">
        <is>
          <t>Kommuner</t>
        </is>
      </c>
      <c r="G742" t="n">
        <v>0.9</v>
      </c>
      <c r="H742" t="n">
        <v>0</v>
      </c>
      <c r="I742" t="n">
        <v>0</v>
      </c>
      <c r="J742" t="n">
        <v>0</v>
      </c>
      <c r="K742" t="n">
        <v>0</v>
      </c>
      <c r="L742" t="n">
        <v>0</v>
      </c>
      <c r="M742" t="n">
        <v>0</v>
      </c>
      <c r="N742" t="n">
        <v>0</v>
      </c>
      <c r="O742" t="n">
        <v>0</v>
      </c>
      <c r="P742" t="n">
        <v>0</v>
      </c>
      <c r="Q742" t="n">
        <v>0</v>
      </c>
      <c r="R742" s="2" t="inlineStr"/>
    </row>
    <row r="743" ht="15" customHeight="1">
      <c r="A743" t="inlineStr">
        <is>
          <t>A 53921-2023</t>
        </is>
      </c>
      <c r="B743" s="1" t="n">
        <v>45231</v>
      </c>
      <c r="C743" s="1" t="n">
        <v>46191</v>
      </c>
      <c r="D743" t="inlineStr">
        <is>
          <t>VÄRMLANDS LÄN</t>
        </is>
      </c>
      <c r="E743" t="inlineStr">
        <is>
          <t>TORSBY</t>
        </is>
      </c>
      <c r="G743" t="n">
        <v>4.8</v>
      </c>
      <c r="H743" t="n">
        <v>0</v>
      </c>
      <c r="I743" t="n">
        <v>0</v>
      </c>
      <c r="J743" t="n">
        <v>0</v>
      </c>
      <c r="K743" t="n">
        <v>0</v>
      </c>
      <c r="L743" t="n">
        <v>0</v>
      </c>
      <c r="M743" t="n">
        <v>0</v>
      </c>
      <c r="N743" t="n">
        <v>0</v>
      </c>
      <c r="O743" t="n">
        <v>0</v>
      </c>
      <c r="P743" t="n">
        <v>0</v>
      </c>
      <c r="Q743" t="n">
        <v>0</v>
      </c>
      <c r="R743" s="2" t="inlineStr"/>
    </row>
    <row r="744" ht="15" customHeight="1">
      <c r="A744" t="inlineStr">
        <is>
          <t>A 11711-2026</t>
        </is>
      </c>
      <c r="B744" s="1" t="n">
        <v>46084</v>
      </c>
      <c r="C744" s="1" t="n">
        <v>46191</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50921-2025</t>
        </is>
      </c>
      <c r="B745" s="1" t="n">
        <v>45946</v>
      </c>
      <c r="C745" s="1" t="n">
        <v>46191</v>
      </c>
      <c r="D745" t="inlineStr">
        <is>
          <t>VÄRMLANDS LÄN</t>
        </is>
      </c>
      <c r="E745" t="inlineStr">
        <is>
          <t>TORSBY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11583-2026</t>
        </is>
      </c>
      <c r="B746" s="1" t="n">
        <v>46084</v>
      </c>
      <c r="C746" s="1" t="n">
        <v>46191</v>
      </c>
      <c r="D746" t="inlineStr">
        <is>
          <t>VÄRMLANDS LÄN</t>
        </is>
      </c>
      <c r="E746" t="inlineStr">
        <is>
          <t>TORSBY</t>
        </is>
      </c>
      <c r="G746" t="n">
        <v>6.8</v>
      </c>
      <c r="H746" t="n">
        <v>0</v>
      </c>
      <c r="I746" t="n">
        <v>0</v>
      </c>
      <c r="J746" t="n">
        <v>0</v>
      </c>
      <c r="K746" t="n">
        <v>0</v>
      </c>
      <c r="L746" t="n">
        <v>0</v>
      </c>
      <c r="M746" t="n">
        <v>0</v>
      </c>
      <c r="N746" t="n">
        <v>0</v>
      </c>
      <c r="O746" t="n">
        <v>0</v>
      </c>
      <c r="P746" t="n">
        <v>0</v>
      </c>
      <c r="Q746" t="n">
        <v>0</v>
      </c>
      <c r="R746" s="2" t="inlineStr"/>
    </row>
    <row r="747" ht="15" customHeight="1">
      <c r="A747" t="inlineStr">
        <is>
          <t>A 18101-2022</t>
        </is>
      </c>
      <c r="B747" s="1" t="n">
        <v>44684</v>
      </c>
      <c r="C747" s="1" t="n">
        <v>46191</v>
      </c>
      <c r="D747" t="inlineStr">
        <is>
          <t>VÄRMLANDS LÄN</t>
        </is>
      </c>
      <c r="E747" t="inlineStr">
        <is>
          <t>TORSBY</t>
        </is>
      </c>
      <c r="G747" t="n">
        <v>1.7</v>
      </c>
      <c r="H747" t="n">
        <v>0</v>
      </c>
      <c r="I747" t="n">
        <v>0</v>
      </c>
      <c r="J747" t="n">
        <v>0</v>
      </c>
      <c r="K747" t="n">
        <v>0</v>
      </c>
      <c r="L747" t="n">
        <v>0</v>
      </c>
      <c r="M747" t="n">
        <v>0</v>
      </c>
      <c r="N747" t="n">
        <v>0</v>
      </c>
      <c r="O747" t="n">
        <v>0</v>
      </c>
      <c r="P747" t="n">
        <v>0</v>
      </c>
      <c r="Q747" t="n">
        <v>0</v>
      </c>
      <c r="R747" s="2" t="inlineStr"/>
    </row>
    <row r="748" ht="15" customHeight="1">
      <c r="A748" t="inlineStr">
        <is>
          <t>A 50906-2025</t>
        </is>
      </c>
      <c r="B748" s="1" t="n">
        <v>45946</v>
      </c>
      <c r="C748" s="1" t="n">
        <v>46191</v>
      </c>
      <c r="D748" t="inlineStr">
        <is>
          <t>VÄRMLANDS LÄN</t>
        </is>
      </c>
      <c r="E748" t="inlineStr">
        <is>
          <t>TORSBY</t>
        </is>
      </c>
      <c r="F748" t="inlineStr">
        <is>
          <t>Kommuner</t>
        </is>
      </c>
      <c r="G748" t="n">
        <v>4.7</v>
      </c>
      <c r="H748" t="n">
        <v>0</v>
      </c>
      <c r="I748" t="n">
        <v>0</v>
      </c>
      <c r="J748" t="n">
        <v>0</v>
      </c>
      <c r="K748" t="n">
        <v>0</v>
      </c>
      <c r="L748" t="n">
        <v>0</v>
      </c>
      <c r="M748" t="n">
        <v>0</v>
      </c>
      <c r="N748" t="n">
        <v>0</v>
      </c>
      <c r="O748" t="n">
        <v>0</v>
      </c>
      <c r="P748" t="n">
        <v>0</v>
      </c>
      <c r="Q748" t="n">
        <v>0</v>
      </c>
      <c r="R748" s="2" t="inlineStr"/>
    </row>
    <row r="749" ht="15" customHeight="1">
      <c r="A749" t="inlineStr">
        <is>
          <t>A 50892-2025</t>
        </is>
      </c>
      <c r="B749" s="1" t="n">
        <v>45946</v>
      </c>
      <c r="C749" s="1" t="n">
        <v>46191</v>
      </c>
      <c r="D749" t="inlineStr">
        <is>
          <t>VÄRMLANDS LÄN</t>
        </is>
      </c>
      <c r="E749" t="inlineStr">
        <is>
          <t>TORSBY</t>
        </is>
      </c>
      <c r="F749" t="inlineStr">
        <is>
          <t>Kommuner</t>
        </is>
      </c>
      <c r="G749" t="n">
        <v>2.2</v>
      </c>
      <c r="H749" t="n">
        <v>0</v>
      </c>
      <c r="I749" t="n">
        <v>0</v>
      </c>
      <c r="J749" t="n">
        <v>0</v>
      </c>
      <c r="K749" t="n">
        <v>0</v>
      </c>
      <c r="L749" t="n">
        <v>0</v>
      </c>
      <c r="M749" t="n">
        <v>0</v>
      </c>
      <c r="N749" t="n">
        <v>0</v>
      </c>
      <c r="O749" t="n">
        <v>0</v>
      </c>
      <c r="P749" t="n">
        <v>0</v>
      </c>
      <c r="Q749" t="n">
        <v>0</v>
      </c>
      <c r="R749" s="2" t="inlineStr"/>
    </row>
    <row r="750" ht="15" customHeight="1">
      <c r="A750" t="inlineStr">
        <is>
          <t>A 2155-2024</t>
        </is>
      </c>
      <c r="B750" s="1" t="n">
        <v>45309</v>
      </c>
      <c r="C750" s="1" t="n">
        <v>46191</v>
      </c>
      <c r="D750" t="inlineStr">
        <is>
          <t>VÄRMLANDS LÄN</t>
        </is>
      </c>
      <c r="E750" t="inlineStr">
        <is>
          <t>TORSBY</t>
        </is>
      </c>
      <c r="G750" t="n">
        <v>2.8</v>
      </c>
      <c r="H750" t="n">
        <v>0</v>
      </c>
      <c r="I750" t="n">
        <v>0</v>
      </c>
      <c r="J750" t="n">
        <v>0</v>
      </c>
      <c r="K750" t="n">
        <v>0</v>
      </c>
      <c r="L750" t="n">
        <v>0</v>
      </c>
      <c r="M750" t="n">
        <v>0</v>
      </c>
      <c r="N750" t="n">
        <v>0</v>
      </c>
      <c r="O750" t="n">
        <v>0</v>
      </c>
      <c r="P750" t="n">
        <v>0</v>
      </c>
      <c r="Q750" t="n">
        <v>0</v>
      </c>
      <c r="R750" s="2" t="inlineStr"/>
    </row>
    <row r="751" ht="15" customHeight="1">
      <c r="A751" t="inlineStr">
        <is>
          <t>A 12250-2026</t>
        </is>
      </c>
      <c r="B751" s="1" t="n">
        <v>46087</v>
      </c>
      <c r="C751" s="1" t="n">
        <v>46191</v>
      </c>
      <c r="D751" t="inlineStr">
        <is>
          <t>VÄRMLANDS LÄN</t>
        </is>
      </c>
      <c r="E751" t="inlineStr">
        <is>
          <t>TORSBY</t>
        </is>
      </c>
      <c r="F751" t="inlineStr">
        <is>
          <t>Bergvik skog väst AB</t>
        </is>
      </c>
      <c r="G751" t="n">
        <v>4.4</v>
      </c>
      <c r="H751" t="n">
        <v>0</v>
      </c>
      <c r="I751" t="n">
        <v>0</v>
      </c>
      <c r="J751" t="n">
        <v>0</v>
      </c>
      <c r="K751" t="n">
        <v>0</v>
      </c>
      <c r="L751" t="n">
        <v>0</v>
      </c>
      <c r="M751" t="n">
        <v>0</v>
      </c>
      <c r="N751" t="n">
        <v>0</v>
      </c>
      <c r="O751" t="n">
        <v>0</v>
      </c>
      <c r="P751" t="n">
        <v>0</v>
      </c>
      <c r="Q751" t="n">
        <v>0</v>
      </c>
      <c r="R751" s="2" t="inlineStr"/>
    </row>
    <row r="752" ht="15" customHeight="1">
      <c r="A752" t="inlineStr">
        <is>
          <t>A 12271-2026</t>
        </is>
      </c>
      <c r="B752" s="1" t="n">
        <v>46087</v>
      </c>
      <c r="C752" s="1" t="n">
        <v>46191</v>
      </c>
      <c r="D752" t="inlineStr">
        <is>
          <t>VÄRMLANDS LÄN</t>
        </is>
      </c>
      <c r="E752" t="inlineStr">
        <is>
          <t>TORSBY</t>
        </is>
      </c>
      <c r="F752" t="inlineStr">
        <is>
          <t>Bergvik skog väst AB</t>
        </is>
      </c>
      <c r="G752" t="n">
        <v>9.4</v>
      </c>
      <c r="H752" t="n">
        <v>0</v>
      </c>
      <c r="I752" t="n">
        <v>0</v>
      </c>
      <c r="J752" t="n">
        <v>0</v>
      </c>
      <c r="K752" t="n">
        <v>0</v>
      </c>
      <c r="L752" t="n">
        <v>0</v>
      </c>
      <c r="M752" t="n">
        <v>0</v>
      </c>
      <c r="N752" t="n">
        <v>0</v>
      </c>
      <c r="O752" t="n">
        <v>0</v>
      </c>
      <c r="P752" t="n">
        <v>0</v>
      </c>
      <c r="Q752" t="n">
        <v>0</v>
      </c>
      <c r="R752" s="2" t="inlineStr"/>
    </row>
    <row r="753" ht="15" customHeight="1">
      <c r="A753" t="inlineStr">
        <is>
          <t>A 59097-2022</t>
        </is>
      </c>
      <c r="B753" s="1" t="n">
        <v>44904</v>
      </c>
      <c r="C753" s="1" t="n">
        <v>46191</v>
      </c>
      <c r="D753" t="inlineStr">
        <is>
          <t>VÄRMLANDS LÄN</t>
        </is>
      </c>
      <c r="E753" t="inlineStr">
        <is>
          <t>TORSBY</t>
        </is>
      </c>
      <c r="G753" t="n">
        <v>6.6</v>
      </c>
      <c r="H753" t="n">
        <v>0</v>
      </c>
      <c r="I753" t="n">
        <v>0</v>
      </c>
      <c r="J753" t="n">
        <v>0</v>
      </c>
      <c r="K753" t="n">
        <v>0</v>
      </c>
      <c r="L753" t="n">
        <v>0</v>
      </c>
      <c r="M753" t="n">
        <v>0</v>
      </c>
      <c r="N753" t="n">
        <v>0</v>
      </c>
      <c r="O753" t="n">
        <v>0</v>
      </c>
      <c r="P753" t="n">
        <v>0</v>
      </c>
      <c r="Q753" t="n">
        <v>0</v>
      </c>
      <c r="R753" s="2" t="inlineStr"/>
    </row>
    <row r="754" ht="15" customHeight="1">
      <c r="A754" t="inlineStr">
        <is>
          <t>A 16498-2022</t>
        </is>
      </c>
      <c r="B754" s="1" t="n">
        <v>44671</v>
      </c>
      <c r="C754" s="1" t="n">
        <v>46191</v>
      </c>
      <c r="D754" t="inlineStr">
        <is>
          <t>VÄRMLANDS LÄN</t>
        </is>
      </c>
      <c r="E754" t="inlineStr">
        <is>
          <t>TORSBY</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9381-2024</t>
        </is>
      </c>
      <c r="B755" s="1" t="n">
        <v>45359</v>
      </c>
      <c r="C755" s="1" t="n">
        <v>46191</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9904-2024</t>
        </is>
      </c>
      <c r="B756" s="1" t="n">
        <v>45363</v>
      </c>
      <c r="C756" s="1" t="n">
        <v>46191</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61157-2023</t>
        </is>
      </c>
      <c r="B757" s="1" t="n">
        <v>45261</v>
      </c>
      <c r="C757" s="1" t="n">
        <v>46191</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44325-2024</t>
        </is>
      </c>
      <c r="B758" s="1" t="n">
        <v>45573</v>
      </c>
      <c r="C758" s="1" t="n">
        <v>46191</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12289-2026</t>
        </is>
      </c>
      <c r="B759" s="1" t="n">
        <v>46087</v>
      </c>
      <c r="C759" s="1" t="n">
        <v>46191</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55031-2023</t>
        </is>
      </c>
      <c r="B760" s="1" t="n">
        <v>45237</v>
      </c>
      <c r="C760" s="1" t="n">
        <v>46191</v>
      </c>
      <c r="D760" t="inlineStr">
        <is>
          <t>VÄRMLANDS LÄN</t>
        </is>
      </c>
      <c r="E760" t="inlineStr">
        <is>
          <t>TORSBY</t>
        </is>
      </c>
      <c r="G760" t="n">
        <v>0.6</v>
      </c>
      <c r="H760" t="n">
        <v>0</v>
      </c>
      <c r="I760" t="n">
        <v>0</v>
      </c>
      <c r="J760" t="n">
        <v>0</v>
      </c>
      <c r="K760" t="n">
        <v>0</v>
      </c>
      <c r="L760" t="n">
        <v>0</v>
      </c>
      <c r="M760" t="n">
        <v>0</v>
      </c>
      <c r="N760" t="n">
        <v>0</v>
      </c>
      <c r="O760" t="n">
        <v>0</v>
      </c>
      <c r="P760" t="n">
        <v>0</v>
      </c>
      <c r="Q760" t="n">
        <v>0</v>
      </c>
      <c r="R760" s="2" t="inlineStr"/>
    </row>
    <row r="761" ht="15" customHeight="1">
      <c r="A761" t="inlineStr">
        <is>
          <t>A 51113-2025</t>
        </is>
      </c>
      <c r="B761" s="1" t="n">
        <v>45947</v>
      </c>
      <c r="C761" s="1" t="n">
        <v>46191</v>
      </c>
      <c r="D761" t="inlineStr">
        <is>
          <t>VÄRMLANDS LÄN</t>
        </is>
      </c>
      <c r="E761" t="inlineStr">
        <is>
          <t>TORSBY</t>
        </is>
      </c>
      <c r="F761" t="inlineStr">
        <is>
          <t>Kommuner</t>
        </is>
      </c>
      <c r="G761" t="n">
        <v>1.8</v>
      </c>
      <c r="H761" t="n">
        <v>0</v>
      </c>
      <c r="I761" t="n">
        <v>0</v>
      </c>
      <c r="J761" t="n">
        <v>0</v>
      </c>
      <c r="K761" t="n">
        <v>0</v>
      </c>
      <c r="L761" t="n">
        <v>0</v>
      </c>
      <c r="M761" t="n">
        <v>0</v>
      </c>
      <c r="N761" t="n">
        <v>0</v>
      </c>
      <c r="O761" t="n">
        <v>0</v>
      </c>
      <c r="P761" t="n">
        <v>0</v>
      </c>
      <c r="Q761" t="n">
        <v>0</v>
      </c>
      <c r="R761" s="2" t="inlineStr"/>
    </row>
    <row r="762" ht="15" customHeight="1">
      <c r="A762" t="inlineStr">
        <is>
          <t>A 14730-2024</t>
        </is>
      </c>
      <c r="B762" s="1" t="n">
        <v>45397</v>
      </c>
      <c r="C762" s="1" t="n">
        <v>46191</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56970-2023</t>
        </is>
      </c>
      <c r="B763" s="1" t="n">
        <v>45244</v>
      </c>
      <c r="C763" s="1" t="n">
        <v>46191</v>
      </c>
      <c r="D763" t="inlineStr">
        <is>
          <t>VÄRMLANDS LÄN</t>
        </is>
      </c>
      <c r="E763" t="inlineStr">
        <is>
          <t>TORSBY</t>
        </is>
      </c>
      <c r="G763" t="n">
        <v>4.4</v>
      </c>
      <c r="H763" t="n">
        <v>0</v>
      </c>
      <c r="I763" t="n">
        <v>0</v>
      </c>
      <c r="J763" t="n">
        <v>0</v>
      </c>
      <c r="K763" t="n">
        <v>0</v>
      </c>
      <c r="L763" t="n">
        <v>0</v>
      </c>
      <c r="M763" t="n">
        <v>0</v>
      </c>
      <c r="N763" t="n">
        <v>0</v>
      </c>
      <c r="O763" t="n">
        <v>0</v>
      </c>
      <c r="P763" t="n">
        <v>0</v>
      </c>
      <c r="Q763" t="n">
        <v>0</v>
      </c>
      <c r="R763" s="2" t="inlineStr"/>
    </row>
    <row r="764" ht="15" customHeight="1">
      <c r="A764" t="inlineStr">
        <is>
          <t>A 57071-2022</t>
        </is>
      </c>
      <c r="B764" s="1" t="n">
        <v>44895</v>
      </c>
      <c r="C764" s="1" t="n">
        <v>46191</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51914-2025</t>
        </is>
      </c>
      <c r="B765" s="1" t="n">
        <v>45952</v>
      </c>
      <c r="C765" s="1" t="n">
        <v>46191</v>
      </c>
      <c r="D765" t="inlineStr">
        <is>
          <t>VÄRMLANDS LÄN</t>
        </is>
      </c>
      <c r="E765" t="inlineStr">
        <is>
          <t>TORSBY</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51927-2025</t>
        </is>
      </c>
      <c r="B766" s="1" t="n">
        <v>45952</v>
      </c>
      <c r="C766" s="1" t="n">
        <v>46191</v>
      </c>
      <c r="D766" t="inlineStr">
        <is>
          <t>VÄRMLANDS LÄN</t>
        </is>
      </c>
      <c r="E766" t="inlineStr">
        <is>
          <t>TORSBY</t>
        </is>
      </c>
      <c r="F766" t="inlineStr">
        <is>
          <t>Kyrkan</t>
        </is>
      </c>
      <c r="G766" t="n">
        <v>4.9</v>
      </c>
      <c r="H766" t="n">
        <v>0</v>
      </c>
      <c r="I766" t="n">
        <v>0</v>
      </c>
      <c r="J766" t="n">
        <v>0</v>
      </c>
      <c r="K766" t="n">
        <v>0</v>
      </c>
      <c r="L766" t="n">
        <v>0</v>
      </c>
      <c r="M766" t="n">
        <v>0</v>
      </c>
      <c r="N766" t="n">
        <v>0</v>
      </c>
      <c r="O766" t="n">
        <v>0</v>
      </c>
      <c r="P766" t="n">
        <v>0</v>
      </c>
      <c r="Q766" t="n">
        <v>0</v>
      </c>
      <c r="R766" s="2" t="inlineStr"/>
    </row>
    <row r="767" ht="15" customHeight="1">
      <c r="A767" t="inlineStr">
        <is>
          <t>A 52261-2025</t>
        </is>
      </c>
      <c r="B767" s="1" t="n">
        <v>45952</v>
      </c>
      <c r="C767" s="1" t="n">
        <v>46191</v>
      </c>
      <c r="D767" t="inlineStr">
        <is>
          <t>VÄRMLANDS LÄN</t>
        </is>
      </c>
      <c r="E767" t="inlineStr">
        <is>
          <t>TORSBY</t>
        </is>
      </c>
      <c r="G767" t="n">
        <v>11.7</v>
      </c>
      <c r="H767" t="n">
        <v>0</v>
      </c>
      <c r="I767" t="n">
        <v>0</v>
      </c>
      <c r="J767" t="n">
        <v>0</v>
      </c>
      <c r="K767" t="n">
        <v>0</v>
      </c>
      <c r="L767" t="n">
        <v>0</v>
      </c>
      <c r="M767" t="n">
        <v>0</v>
      </c>
      <c r="N767" t="n">
        <v>0</v>
      </c>
      <c r="O767" t="n">
        <v>0</v>
      </c>
      <c r="P767" t="n">
        <v>0</v>
      </c>
      <c r="Q767" t="n">
        <v>0</v>
      </c>
      <c r="R767" s="2" t="inlineStr"/>
    </row>
    <row r="768" ht="15" customHeight="1">
      <c r="A768" t="inlineStr">
        <is>
          <t>A 10728-2026</t>
        </is>
      </c>
      <c r="B768" s="1" t="n">
        <v>46078</v>
      </c>
      <c r="C768" s="1" t="n">
        <v>46191</v>
      </c>
      <c r="D768" t="inlineStr">
        <is>
          <t>VÄRMLANDS LÄN</t>
        </is>
      </c>
      <c r="E768" t="inlineStr">
        <is>
          <t>TORSBY</t>
        </is>
      </c>
      <c r="G768" t="n">
        <v>0.6</v>
      </c>
      <c r="H768" t="n">
        <v>0</v>
      </c>
      <c r="I768" t="n">
        <v>0</v>
      </c>
      <c r="J768" t="n">
        <v>0</v>
      </c>
      <c r="K768" t="n">
        <v>0</v>
      </c>
      <c r="L768" t="n">
        <v>0</v>
      </c>
      <c r="M768" t="n">
        <v>0</v>
      </c>
      <c r="N768" t="n">
        <v>0</v>
      </c>
      <c r="O768" t="n">
        <v>0</v>
      </c>
      <c r="P768" t="n">
        <v>0</v>
      </c>
      <c r="Q768" t="n">
        <v>0</v>
      </c>
      <c r="R768" s="2" t="inlineStr"/>
    </row>
    <row r="769" ht="15" customHeight="1">
      <c r="A769" t="inlineStr">
        <is>
          <t>A 51659-2025</t>
        </is>
      </c>
      <c r="B769" s="1" t="n">
        <v>45951</v>
      </c>
      <c r="C769" s="1" t="n">
        <v>46191</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51873-2025</t>
        </is>
      </c>
      <c r="B770" s="1" t="n">
        <v>45952</v>
      </c>
      <c r="C770" s="1" t="n">
        <v>46191</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52026-2025</t>
        </is>
      </c>
      <c r="B771" s="1" t="n">
        <v>45952</v>
      </c>
      <c r="C771" s="1" t="n">
        <v>46191</v>
      </c>
      <c r="D771" t="inlineStr">
        <is>
          <t>VÄRMLANDS LÄN</t>
        </is>
      </c>
      <c r="E771" t="inlineStr">
        <is>
          <t>TORSBY</t>
        </is>
      </c>
      <c r="F771" t="inlineStr">
        <is>
          <t>Bergvik skog väst AB</t>
        </is>
      </c>
      <c r="G771" t="n">
        <v>15.7</v>
      </c>
      <c r="H771" t="n">
        <v>0</v>
      </c>
      <c r="I771" t="n">
        <v>0</v>
      </c>
      <c r="J771" t="n">
        <v>0</v>
      </c>
      <c r="K771" t="n">
        <v>0</v>
      </c>
      <c r="L771" t="n">
        <v>0</v>
      </c>
      <c r="M771" t="n">
        <v>0</v>
      </c>
      <c r="N771" t="n">
        <v>0</v>
      </c>
      <c r="O771" t="n">
        <v>0</v>
      </c>
      <c r="P771" t="n">
        <v>0</v>
      </c>
      <c r="Q771" t="n">
        <v>0</v>
      </c>
      <c r="R771" s="2" t="inlineStr"/>
    </row>
    <row r="772" ht="15" customHeight="1">
      <c r="A772" t="inlineStr">
        <is>
          <t>A 12707-2026</t>
        </is>
      </c>
      <c r="B772" s="1" t="n">
        <v>46091</v>
      </c>
      <c r="C772" s="1" t="n">
        <v>46191</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1042-2024</t>
        </is>
      </c>
      <c r="B773" s="1" t="n">
        <v>45301</v>
      </c>
      <c r="C773" s="1" t="n">
        <v>46191</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36239-2023</t>
        </is>
      </c>
      <c r="B774" s="1" t="n">
        <v>45150</v>
      </c>
      <c r="C774" s="1" t="n">
        <v>46191</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12790-2026</t>
        </is>
      </c>
      <c r="B775" s="1" t="n">
        <v>46092</v>
      </c>
      <c r="C775" s="1" t="n">
        <v>46191</v>
      </c>
      <c r="D775" t="inlineStr">
        <is>
          <t>VÄRMLANDS LÄN</t>
        </is>
      </c>
      <c r="E775" t="inlineStr">
        <is>
          <t>TORSBY</t>
        </is>
      </c>
      <c r="G775" t="n">
        <v>0.6</v>
      </c>
      <c r="H775" t="n">
        <v>0</v>
      </c>
      <c r="I775" t="n">
        <v>0</v>
      </c>
      <c r="J775" t="n">
        <v>0</v>
      </c>
      <c r="K775" t="n">
        <v>0</v>
      </c>
      <c r="L775" t="n">
        <v>0</v>
      </c>
      <c r="M775" t="n">
        <v>0</v>
      </c>
      <c r="N775" t="n">
        <v>0</v>
      </c>
      <c r="O775" t="n">
        <v>0</v>
      </c>
      <c r="P775" t="n">
        <v>0</v>
      </c>
      <c r="Q775" t="n">
        <v>0</v>
      </c>
      <c r="R775" s="2" t="inlineStr"/>
    </row>
    <row r="776" ht="15" customHeight="1">
      <c r="A776" t="inlineStr">
        <is>
          <t>A 51637-2025</t>
        </is>
      </c>
      <c r="B776" s="1" t="n">
        <v>45951</v>
      </c>
      <c r="C776" s="1" t="n">
        <v>46191</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41781-2022</t>
        </is>
      </c>
      <c r="B777" s="1" t="n">
        <v>44827</v>
      </c>
      <c r="C777" s="1" t="n">
        <v>46191</v>
      </c>
      <c r="D777" t="inlineStr">
        <is>
          <t>VÄRMLANDS LÄN</t>
        </is>
      </c>
      <c r="E777" t="inlineStr">
        <is>
          <t>TORSBY</t>
        </is>
      </c>
      <c r="G777" t="n">
        <v>1</v>
      </c>
      <c r="H777" t="n">
        <v>0</v>
      </c>
      <c r="I777" t="n">
        <v>0</v>
      </c>
      <c r="J777" t="n">
        <v>0</v>
      </c>
      <c r="K777" t="n">
        <v>0</v>
      </c>
      <c r="L777" t="n">
        <v>0</v>
      </c>
      <c r="M777" t="n">
        <v>0</v>
      </c>
      <c r="N777" t="n">
        <v>0</v>
      </c>
      <c r="O777" t="n">
        <v>0</v>
      </c>
      <c r="P777" t="n">
        <v>0</v>
      </c>
      <c r="Q777" t="n">
        <v>0</v>
      </c>
      <c r="R777" s="2" t="inlineStr"/>
    </row>
    <row r="778" ht="15" customHeight="1">
      <c r="A778" t="inlineStr">
        <is>
          <t>A 12964-2026</t>
        </is>
      </c>
      <c r="B778" s="1" t="n">
        <v>46092</v>
      </c>
      <c r="C778" s="1" t="n">
        <v>46191</v>
      </c>
      <c r="D778" t="inlineStr">
        <is>
          <t>VÄRMLANDS LÄN</t>
        </is>
      </c>
      <c r="E778" t="inlineStr">
        <is>
          <t>TORSBY</t>
        </is>
      </c>
      <c r="G778" t="n">
        <v>10.6</v>
      </c>
      <c r="H778" t="n">
        <v>0</v>
      </c>
      <c r="I778" t="n">
        <v>0</v>
      </c>
      <c r="J778" t="n">
        <v>0</v>
      </c>
      <c r="K778" t="n">
        <v>0</v>
      </c>
      <c r="L778" t="n">
        <v>0</v>
      </c>
      <c r="M778" t="n">
        <v>0</v>
      </c>
      <c r="N778" t="n">
        <v>0</v>
      </c>
      <c r="O778" t="n">
        <v>0</v>
      </c>
      <c r="P778" t="n">
        <v>0</v>
      </c>
      <c r="Q778" t="n">
        <v>0</v>
      </c>
      <c r="R778" s="2" t="inlineStr"/>
    </row>
    <row r="779" ht="15" customHeight="1">
      <c r="A779" t="inlineStr">
        <is>
          <t>A 12972-2026</t>
        </is>
      </c>
      <c r="B779" s="1" t="n">
        <v>46092</v>
      </c>
      <c r="C779" s="1" t="n">
        <v>46191</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51819-2025</t>
        </is>
      </c>
      <c r="B780" s="1" t="n">
        <v>45951</v>
      </c>
      <c r="C780" s="1" t="n">
        <v>46191</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51694-2025</t>
        </is>
      </c>
      <c r="B781" s="1" t="n">
        <v>45951</v>
      </c>
      <c r="C781" s="1" t="n">
        <v>46191</v>
      </c>
      <c r="D781" t="inlineStr">
        <is>
          <t>VÄRMLANDS LÄN</t>
        </is>
      </c>
      <c r="E781" t="inlineStr">
        <is>
          <t>TORSBY</t>
        </is>
      </c>
      <c r="F781" t="inlineStr">
        <is>
          <t>Bergvik skog väst AB</t>
        </is>
      </c>
      <c r="G781" t="n">
        <v>7.5</v>
      </c>
      <c r="H781" t="n">
        <v>0</v>
      </c>
      <c r="I781" t="n">
        <v>0</v>
      </c>
      <c r="J781" t="n">
        <v>0</v>
      </c>
      <c r="K781" t="n">
        <v>0</v>
      </c>
      <c r="L781" t="n">
        <v>0</v>
      </c>
      <c r="M781" t="n">
        <v>0</v>
      </c>
      <c r="N781" t="n">
        <v>0</v>
      </c>
      <c r="O781" t="n">
        <v>0</v>
      </c>
      <c r="P781" t="n">
        <v>0</v>
      </c>
      <c r="Q781" t="n">
        <v>0</v>
      </c>
      <c r="R781" s="2" t="inlineStr"/>
    </row>
    <row r="782" ht="15" customHeight="1">
      <c r="A782" t="inlineStr">
        <is>
          <t>A 52067-2025</t>
        </is>
      </c>
      <c r="B782" s="1" t="n">
        <v>45952</v>
      </c>
      <c r="C782" s="1" t="n">
        <v>46191</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13050-2026</t>
        </is>
      </c>
      <c r="B783" s="1" t="n">
        <v>46093</v>
      </c>
      <c r="C783" s="1" t="n">
        <v>46191</v>
      </c>
      <c r="D783" t="inlineStr">
        <is>
          <t>VÄRMLANDS LÄN</t>
        </is>
      </c>
      <c r="E783" t="inlineStr">
        <is>
          <t>TORSBY</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52089-2025</t>
        </is>
      </c>
      <c r="B784" s="1" t="n">
        <v>45952</v>
      </c>
      <c r="C784" s="1" t="n">
        <v>46191</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15465-2024</t>
        </is>
      </c>
      <c r="B785" s="1" t="n">
        <v>45401</v>
      </c>
      <c r="C785" s="1" t="n">
        <v>46191</v>
      </c>
      <c r="D785" t="inlineStr">
        <is>
          <t>VÄRMLANDS LÄN</t>
        </is>
      </c>
      <c r="E785" t="inlineStr">
        <is>
          <t>TORSBY</t>
        </is>
      </c>
      <c r="F785" t="inlineStr">
        <is>
          <t>Bergvik skog väst AB</t>
        </is>
      </c>
      <c r="G785" t="n">
        <v>24.6</v>
      </c>
      <c r="H785" t="n">
        <v>0</v>
      </c>
      <c r="I785" t="n">
        <v>0</v>
      </c>
      <c r="J785" t="n">
        <v>0</v>
      </c>
      <c r="K785" t="n">
        <v>0</v>
      </c>
      <c r="L785" t="n">
        <v>0</v>
      </c>
      <c r="M785" t="n">
        <v>0</v>
      </c>
      <c r="N785" t="n">
        <v>0</v>
      </c>
      <c r="O785" t="n">
        <v>0</v>
      </c>
      <c r="P785" t="n">
        <v>0</v>
      </c>
      <c r="Q785" t="n">
        <v>0</v>
      </c>
      <c r="R785" s="2" t="inlineStr"/>
    </row>
    <row r="786" ht="15" customHeight="1">
      <c r="A786" t="inlineStr">
        <is>
          <t>A 52359-2025</t>
        </is>
      </c>
      <c r="B786" s="1" t="n">
        <v>45952</v>
      </c>
      <c r="C786" s="1" t="n">
        <v>46191</v>
      </c>
      <c r="D786" t="inlineStr">
        <is>
          <t>VÄRMLANDS LÄN</t>
        </is>
      </c>
      <c r="E786" t="inlineStr">
        <is>
          <t>TORSBY</t>
        </is>
      </c>
      <c r="G786" t="n">
        <v>3.8</v>
      </c>
      <c r="H786" t="n">
        <v>0</v>
      </c>
      <c r="I786" t="n">
        <v>0</v>
      </c>
      <c r="J786" t="n">
        <v>0</v>
      </c>
      <c r="K786" t="n">
        <v>0</v>
      </c>
      <c r="L786" t="n">
        <v>0</v>
      </c>
      <c r="M786" t="n">
        <v>0</v>
      </c>
      <c r="N786" t="n">
        <v>0</v>
      </c>
      <c r="O786" t="n">
        <v>0</v>
      </c>
      <c r="P786" t="n">
        <v>0</v>
      </c>
      <c r="Q786" t="n">
        <v>0</v>
      </c>
      <c r="R786" s="2" t="inlineStr"/>
    </row>
    <row r="787" ht="15" customHeight="1">
      <c r="A787" t="inlineStr">
        <is>
          <t>A 12890-2026</t>
        </is>
      </c>
      <c r="B787" s="1" t="n">
        <v>46092</v>
      </c>
      <c r="C787" s="1" t="n">
        <v>46191</v>
      </c>
      <c r="D787" t="inlineStr">
        <is>
          <t>VÄRMLANDS LÄN</t>
        </is>
      </c>
      <c r="E787" t="inlineStr">
        <is>
          <t>TORSBY</t>
        </is>
      </c>
      <c r="G787" t="n">
        <v>4.2</v>
      </c>
      <c r="H787" t="n">
        <v>0</v>
      </c>
      <c r="I787" t="n">
        <v>0</v>
      </c>
      <c r="J787" t="n">
        <v>0</v>
      </c>
      <c r="K787" t="n">
        <v>0</v>
      </c>
      <c r="L787" t="n">
        <v>0</v>
      </c>
      <c r="M787" t="n">
        <v>0</v>
      </c>
      <c r="N787" t="n">
        <v>0</v>
      </c>
      <c r="O787" t="n">
        <v>0</v>
      </c>
      <c r="P787" t="n">
        <v>0</v>
      </c>
      <c r="Q787" t="n">
        <v>0</v>
      </c>
      <c r="R787" s="2" t="inlineStr"/>
    </row>
    <row r="788" ht="15" customHeight="1">
      <c r="A788" t="inlineStr">
        <is>
          <t>A 51944-2025</t>
        </is>
      </c>
      <c r="B788" s="1" t="n">
        <v>45952</v>
      </c>
      <c r="C788" s="1" t="n">
        <v>46191</v>
      </c>
      <c r="D788" t="inlineStr">
        <is>
          <t>VÄRMLANDS LÄN</t>
        </is>
      </c>
      <c r="E788" t="inlineStr">
        <is>
          <t>TORSBY</t>
        </is>
      </c>
      <c r="G788" t="n">
        <v>8</v>
      </c>
      <c r="H788" t="n">
        <v>0</v>
      </c>
      <c r="I788" t="n">
        <v>0</v>
      </c>
      <c r="J788" t="n">
        <v>0</v>
      </c>
      <c r="K788" t="n">
        <v>0</v>
      </c>
      <c r="L788" t="n">
        <v>0</v>
      </c>
      <c r="M788" t="n">
        <v>0</v>
      </c>
      <c r="N788" t="n">
        <v>0</v>
      </c>
      <c r="O788" t="n">
        <v>0</v>
      </c>
      <c r="P788" t="n">
        <v>0</v>
      </c>
      <c r="Q788" t="n">
        <v>0</v>
      </c>
      <c r="R788" s="2" t="inlineStr"/>
    </row>
    <row r="789" ht="15" customHeight="1">
      <c r="A789" t="inlineStr">
        <is>
          <t>A 33268-2023</t>
        </is>
      </c>
      <c r="B789" s="1" t="n">
        <v>45127</v>
      </c>
      <c r="C789" s="1" t="n">
        <v>46191</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60383-2024</t>
        </is>
      </c>
      <c r="B790" s="1" t="n">
        <v>45643</v>
      </c>
      <c r="C790" s="1" t="n">
        <v>46191</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58013-2023</t>
        </is>
      </c>
      <c r="B791" s="1" t="n">
        <v>45247</v>
      </c>
      <c r="C791" s="1" t="n">
        <v>46191</v>
      </c>
      <c r="D791" t="inlineStr">
        <is>
          <t>VÄRMLANDS LÄN</t>
        </is>
      </c>
      <c r="E791" t="inlineStr">
        <is>
          <t>TORSBY</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52277-2025</t>
        </is>
      </c>
      <c r="B792" s="1" t="n">
        <v>45953</v>
      </c>
      <c r="C792" s="1" t="n">
        <v>46191</v>
      </c>
      <c r="D792" t="inlineStr">
        <is>
          <t>VÄRMLANDS LÄN</t>
        </is>
      </c>
      <c r="E792" t="inlineStr">
        <is>
          <t>TORSBY</t>
        </is>
      </c>
      <c r="G792" t="n">
        <v>3.6</v>
      </c>
      <c r="H792" t="n">
        <v>0</v>
      </c>
      <c r="I792" t="n">
        <v>0</v>
      </c>
      <c r="J792" t="n">
        <v>0</v>
      </c>
      <c r="K792" t="n">
        <v>0</v>
      </c>
      <c r="L792" t="n">
        <v>0</v>
      </c>
      <c r="M792" t="n">
        <v>0</v>
      </c>
      <c r="N792" t="n">
        <v>0</v>
      </c>
      <c r="O792" t="n">
        <v>0</v>
      </c>
      <c r="P792" t="n">
        <v>0</v>
      </c>
      <c r="Q792" t="n">
        <v>0</v>
      </c>
      <c r="R792" s="2" t="inlineStr"/>
    </row>
    <row r="793" ht="15" customHeight="1">
      <c r="A793" t="inlineStr">
        <is>
          <t>A 32988-2024</t>
        </is>
      </c>
      <c r="B793" s="1" t="n">
        <v>45517</v>
      </c>
      <c r="C793" s="1" t="n">
        <v>46191</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52436-2025</t>
        </is>
      </c>
      <c r="B794" s="1" t="n">
        <v>45954</v>
      </c>
      <c r="C794" s="1" t="n">
        <v>46191</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25932-2024</t>
        </is>
      </c>
      <c r="B795" s="1" t="n">
        <v>45467</v>
      </c>
      <c r="C795" s="1" t="n">
        <v>46191</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13479-2026</t>
        </is>
      </c>
      <c r="B796" s="1" t="n">
        <v>46094</v>
      </c>
      <c r="C796" s="1" t="n">
        <v>46191</v>
      </c>
      <c r="D796" t="inlineStr">
        <is>
          <t>VÄRMLANDS LÄN</t>
        </is>
      </c>
      <c r="E796" t="inlineStr">
        <is>
          <t>TORSBY</t>
        </is>
      </c>
      <c r="F796" t="inlineStr">
        <is>
          <t>Bergvik skog väst AB</t>
        </is>
      </c>
      <c r="G796" t="n">
        <v>2.1</v>
      </c>
      <c r="H796" t="n">
        <v>0</v>
      </c>
      <c r="I796" t="n">
        <v>0</v>
      </c>
      <c r="J796" t="n">
        <v>0</v>
      </c>
      <c r="K796" t="n">
        <v>0</v>
      </c>
      <c r="L796" t="n">
        <v>0</v>
      </c>
      <c r="M796" t="n">
        <v>0</v>
      </c>
      <c r="N796" t="n">
        <v>0</v>
      </c>
      <c r="O796" t="n">
        <v>0</v>
      </c>
      <c r="P796" t="n">
        <v>0</v>
      </c>
      <c r="Q796" t="n">
        <v>0</v>
      </c>
      <c r="R796" s="2" t="inlineStr"/>
    </row>
    <row r="797" ht="15" customHeight="1">
      <c r="A797" t="inlineStr">
        <is>
          <t>A 37623-2023</t>
        </is>
      </c>
      <c r="B797" s="1" t="n">
        <v>45159</v>
      </c>
      <c r="C797" s="1" t="n">
        <v>46191</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52577-2025</t>
        </is>
      </c>
      <c r="B798" s="1" t="n">
        <v>45954</v>
      </c>
      <c r="C798" s="1" t="n">
        <v>46191</v>
      </c>
      <c r="D798" t="inlineStr">
        <is>
          <t>VÄRMLANDS LÄN</t>
        </is>
      </c>
      <c r="E798" t="inlineStr">
        <is>
          <t>TORSBY</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13603-2026</t>
        </is>
      </c>
      <c r="B799" s="1" t="n">
        <v>46097</v>
      </c>
      <c r="C799" s="1" t="n">
        <v>46191</v>
      </c>
      <c r="D799" t="inlineStr">
        <is>
          <t>VÄRMLANDS LÄN</t>
        </is>
      </c>
      <c r="E799" t="inlineStr">
        <is>
          <t>TORSBY</t>
        </is>
      </c>
      <c r="G799" t="n">
        <v>10.6</v>
      </c>
      <c r="H799" t="n">
        <v>0</v>
      </c>
      <c r="I799" t="n">
        <v>0</v>
      </c>
      <c r="J799" t="n">
        <v>0</v>
      </c>
      <c r="K799" t="n">
        <v>0</v>
      </c>
      <c r="L799" t="n">
        <v>0</v>
      </c>
      <c r="M799" t="n">
        <v>0</v>
      </c>
      <c r="N799" t="n">
        <v>0</v>
      </c>
      <c r="O799" t="n">
        <v>0</v>
      </c>
      <c r="P799" t="n">
        <v>0</v>
      </c>
      <c r="Q799" t="n">
        <v>0</v>
      </c>
      <c r="R799" s="2" t="inlineStr"/>
    </row>
    <row r="800" ht="15" customHeight="1">
      <c r="A800" t="inlineStr">
        <is>
          <t>A 52489-2025</t>
        </is>
      </c>
      <c r="B800" s="1" t="n">
        <v>45954</v>
      </c>
      <c r="C800" s="1" t="n">
        <v>46191</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52512-2025</t>
        </is>
      </c>
      <c r="B801" s="1" t="n">
        <v>45954</v>
      </c>
      <c r="C801" s="1" t="n">
        <v>46191</v>
      </c>
      <c r="D801" t="inlineStr">
        <is>
          <t>VÄRMLANDS LÄN</t>
        </is>
      </c>
      <c r="E801" t="inlineStr">
        <is>
          <t>TORSBY</t>
        </is>
      </c>
      <c r="F801" t="inlineStr">
        <is>
          <t>Bergvik skog väst AB</t>
        </is>
      </c>
      <c r="G801" t="n">
        <v>14.6</v>
      </c>
      <c r="H801" t="n">
        <v>0</v>
      </c>
      <c r="I801" t="n">
        <v>0</v>
      </c>
      <c r="J801" t="n">
        <v>0</v>
      </c>
      <c r="K801" t="n">
        <v>0</v>
      </c>
      <c r="L801" t="n">
        <v>0</v>
      </c>
      <c r="M801" t="n">
        <v>0</v>
      </c>
      <c r="N801" t="n">
        <v>0</v>
      </c>
      <c r="O801" t="n">
        <v>0</v>
      </c>
      <c r="P801" t="n">
        <v>0</v>
      </c>
      <c r="Q801" t="n">
        <v>0</v>
      </c>
      <c r="R801" s="2" t="inlineStr"/>
    </row>
    <row r="802" ht="15" customHeight="1">
      <c r="A802" t="inlineStr">
        <is>
          <t>A 39780-2022</t>
        </is>
      </c>
      <c r="B802" s="1" t="n">
        <v>44819</v>
      </c>
      <c r="C802" s="1" t="n">
        <v>46191</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24261-2024</t>
        </is>
      </c>
      <c r="B803" s="1" t="n">
        <v>45457</v>
      </c>
      <c r="C803" s="1" t="n">
        <v>46191</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52509-2025</t>
        </is>
      </c>
      <c r="B804" s="1" t="n">
        <v>45954</v>
      </c>
      <c r="C804" s="1" t="n">
        <v>46191</v>
      </c>
      <c r="D804" t="inlineStr">
        <is>
          <t>VÄRMLANDS LÄN</t>
        </is>
      </c>
      <c r="E804" t="inlineStr">
        <is>
          <t>TORSBY</t>
        </is>
      </c>
      <c r="F804" t="inlineStr">
        <is>
          <t>Bergvik skog väst AB</t>
        </is>
      </c>
      <c r="G804" t="n">
        <v>4.7</v>
      </c>
      <c r="H804" t="n">
        <v>0</v>
      </c>
      <c r="I804" t="n">
        <v>0</v>
      </c>
      <c r="J804" t="n">
        <v>0</v>
      </c>
      <c r="K804" t="n">
        <v>0</v>
      </c>
      <c r="L804" t="n">
        <v>0</v>
      </c>
      <c r="M804" t="n">
        <v>0</v>
      </c>
      <c r="N804" t="n">
        <v>0</v>
      </c>
      <c r="O804" t="n">
        <v>0</v>
      </c>
      <c r="P804" t="n">
        <v>0</v>
      </c>
      <c r="Q804" t="n">
        <v>0</v>
      </c>
      <c r="R804" s="2" t="inlineStr"/>
    </row>
    <row r="805" ht="15" customHeight="1">
      <c r="A805" t="inlineStr">
        <is>
          <t>A 52493-2025</t>
        </is>
      </c>
      <c r="B805" s="1" t="n">
        <v>45954</v>
      </c>
      <c r="C805" s="1" t="n">
        <v>46191</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52947-2025</t>
        </is>
      </c>
      <c r="B806" s="1" t="n">
        <v>45954</v>
      </c>
      <c r="C806" s="1" t="n">
        <v>46191</v>
      </c>
      <c r="D806" t="inlineStr">
        <is>
          <t>VÄRMLANDS LÄN</t>
        </is>
      </c>
      <c r="E806" t="inlineStr">
        <is>
          <t>TORSBY</t>
        </is>
      </c>
      <c r="G806" t="n">
        <v>2.7</v>
      </c>
      <c r="H806" t="n">
        <v>0</v>
      </c>
      <c r="I806" t="n">
        <v>0</v>
      </c>
      <c r="J806" t="n">
        <v>0</v>
      </c>
      <c r="K806" t="n">
        <v>0</v>
      </c>
      <c r="L806" t="n">
        <v>0</v>
      </c>
      <c r="M806" t="n">
        <v>0</v>
      </c>
      <c r="N806" t="n">
        <v>0</v>
      </c>
      <c r="O806" t="n">
        <v>0</v>
      </c>
      <c r="P806" t="n">
        <v>0</v>
      </c>
      <c r="Q806" t="n">
        <v>0</v>
      </c>
      <c r="R806" s="2" t="inlineStr"/>
    </row>
    <row r="807" ht="15" customHeight="1">
      <c r="A807" t="inlineStr">
        <is>
          <t>A 38882-2022</t>
        </is>
      </c>
      <c r="B807" s="1" t="n">
        <v>44816</v>
      </c>
      <c r="C807" s="1" t="n">
        <v>46191</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59872-2023</t>
        </is>
      </c>
      <c r="B808" s="1" t="n">
        <v>45257</v>
      </c>
      <c r="C808" s="1" t="n">
        <v>46191</v>
      </c>
      <c r="D808" t="inlineStr">
        <is>
          <t>VÄRMLANDS LÄN</t>
        </is>
      </c>
      <c r="E808" t="inlineStr">
        <is>
          <t>TORSBY</t>
        </is>
      </c>
      <c r="F808" t="inlineStr">
        <is>
          <t>Bergvik skog väst AB</t>
        </is>
      </c>
      <c r="G808" t="n">
        <v>3.1</v>
      </c>
      <c r="H808" t="n">
        <v>0</v>
      </c>
      <c r="I808" t="n">
        <v>0</v>
      </c>
      <c r="J808" t="n">
        <v>0</v>
      </c>
      <c r="K808" t="n">
        <v>0</v>
      </c>
      <c r="L808" t="n">
        <v>0</v>
      </c>
      <c r="M808" t="n">
        <v>0</v>
      </c>
      <c r="N808" t="n">
        <v>0</v>
      </c>
      <c r="O808" t="n">
        <v>0</v>
      </c>
      <c r="P808" t="n">
        <v>0</v>
      </c>
      <c r="Q808" t="n">
        <v>0</v>
      </c>
      <c r="R808" s="2" t="inlineStr"/>
    </row>
    <row r="809" ht="15" customHeight="1">
      <c r="A809" t="inlineStr">
        <is>
          <t>A 13651-2026</t>
        </is>
      </c>
      <c r="B809" s="1" t="n">
        <v>46097</v>
      </c>
      <c r="C809" s="1" t="n">
        <v>46191</v>
      </c>
      <c r="D809" t="inlineStr">
        <is>
          <t>VÄRMLANDS LÄN</t>
        </is>
      </c>
      <c r="E809" t="inlineStr">
        <is>
          <t>TORSBY</t>
        </is>
      </c>
      <c r="G809" t="n">
        <v>3</v>
      </c>
      <c r="H809" t="n">
        <v>0</v>
      </c>
      <c r="I809" t="n">
        <v>0</v>
      </c>
      <c r="J809" t="n">
        <v>0</v>
      </c>
      <c r="K809" t="n">
        <v>0</v>
      </c>
      <c r="L809" t="n">
        <v>0</v>
      </c>
      <c r="M809" t="n">
        <v>0</v>
      </c>
      <c r="N809" t="n">
        <v>0</v>
      </c>
      <c r="O809" t="n">
        <v>0</v>
      </c>
      <c r="P809" t="n">
        <v>0</v>
      </c>
      <c r="Q809" t="n">
        <v>0</v>
      </c>
      <c r="R809" s="2" t="inlineStr"/>
    </row>
    <row r="810" ht="15" customHeight="1">
      <c r="A810" t="inlineStr">
        <is>
          <t>A 52078-2023</t>
        </is>
      </c>
      <c r="B810" s="1" t="n">
        <v>45223</v>
      </c>
      <c r="C810" s="1" t="n">
        <v>46191</v>
      </c>
      <c r="D810" t="inlineStr">
        <is>
          <t>VÄRMLANDS LÄN</t>
        </is>
      </c>
      <c r="E810" t="inlineStr">
        <is>
          <t>TORSBY</t>
        </is>
      </c>
      <c r="G810" t="n">
        <v>7.1</v>
      </c>
      <c r="H810" t="n">
        <v>0</v>
      </c>
      <c r="I810" t="n">
        <v>0</v>
      </c>
      <c r="J810" t="n">
        <v>0</v>
      </c>
      <c r="K810" t="n">
        <v>0</v>
      </c>
      <c r="L810" t="n">
        <v>0</v>
      </c>
      <c r="M810" t="n">
        <v>0</v>
      </c>
      <c r="N810" t="n">
        <v>0</v>
      </c>
      <c r="O810" t="n">
        <v>0</v>
      </c>
      <c r="P810" t="n">
        <v>0</v>
      </c>
      <c r="Q810" t="n">
        <v>0</v>
      </c>
      <c r="R810" s="2" t="inlineStr"/>
    </row>
    <row r="811" ht="15" customHeight="1">
      <c r="A811" t="inlineStr">
        <is>
          <t>A 7215-2025</t>
        </is>
      </c>
      <c r="B811" s="1" t="n">
        <v>45702</v>
      </c>
      <c r="C811" s="1" t="n">
        <v>46191</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24630-2024</t>
        </is>
      </c>
      <c r="B812" s="1" t="n">
        <v>45460</v>
      </c>
      <c r="C812" s="1" t="n">
        <v>46191</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60058-2023</t>
        </is>
      </c>
      <c r="B813" s="1" t="n">
        <v>45258</v>
      </c>
      <c r="C813" s="1" t="n">
        <v>46191</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52918-2025</t>
        </is>
      </c>
      <c r="B814" s="1" t="n">
        <v>45957</v>
      </c>
      <c r="C814" s="1" t="n">
        <v>46191</v>
      </c>
      <c r="D814" t="inlineStr">
        <is>
          <t>VÄRMLANDS LÄN</t>
        </is>
      </c>
      <c r="E814" t="inlineStr">
        <is>
          <t>TORSBY</t>
        </is>
      </c>
      <c r="F814" t="inlineStr">
        <is>
          <t>Bergvik skog väst AB</t>
        </is>
      </c>
      <c r="G814" t="n">
        <v>13.1</v>
      </c>
      <c r="H814" t="n">
        <v>0</v>
      </c>
      <c r="I814" t="n">
        <v>0</v>
      </c>
      <c r="J814" t="n">
        <v>0</v>
      </c>
      <c r="K814" t="n">
        <v>0</v>
      </c>
      <c r="L814" t="n">
        <v>0</v>
      </c>
      <c r="M814" t="n">
        <v>0</v>
      </c>
      <c r="N814" t="n">
        <v>0</v>
      </c>
      <c r="O814" t="n">
        <v>0</v>
      </c>
      <c r="P814" t="n">
        <v>0</v>
      </c>
      <c r="Q814" t="n">
        <v>0</v>
      </c>
      <c r="R814" s="2" t="inlineStr"/>
    </row>
    <row r="815" ht="15" customHeight="1">
      <c r="A815" t="inlineStr">
        <is>
          <t>A 52796-2025</t>
        </is>
      </c>
      <c r="B815" s="1" t="n">
        <v>45957</v>
      </c>
      <c r="C815" s="1" t="n">
        <v>46191</v>
      </c>
      <c r="D815" t="inlineStr">
        <is>
          <t>VÄRMLANDS LÄN</t>
        </is>
      </c>
      <c r="E815" t="inlineStr">
        <is>
          <t>TORSBY</t>
        </is>
      </c>
      <c r="G815" t="n">
        <v>17.7</v>
      </c>
      <c r="H815" t="n">
        <v>0</v>
      </c>
      <c r="I815" t="n">
        <v>0</v>
      </c>
      <c r="J815" t="n">
        <v>0</v>
      </c>
      <c r="K815" t="n">
        <v>0</v>
      </c>
      <c r="L815" t="n">
        <v>0</v>
      </c>
      <c r="M815" t="n">
        <v>0</v>
      </c>
      <c r="N815" t="n">
        <v>0</v>
      </c>
      <c r="O815" t="n">
        <v>0</v>
      </c>
      <c r="P815" t="n">
        <v>0</v>
      </c>
      <c r="Q815" t="n">
        <v>0</v>
      </c>
      <c r="R815" s="2" t="inlineStr"/>
    </row>
    <row r="816" ht="15" customHeight="1">
      <c r="A816" t="inlineStr">
        <is>
          <t>A 53107-2025</t>
        </is>
      </c>
      <c r="B816" s="1" t="n">
        <v>45958</v>
      </c>
      <c r="C816" s="1" t="n">
        <v>46191</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53165-2025</t>
        </is>
      </c>
      <c r="B817" s="1" t="n">
        <v>45958</v>
      </c>
      <c r="C817" s="1" t="n">
        <v>46191</v>
      </c>
      <c r="D817" t="inlineStr">
        <is>
          <t>VÄRMLANDS LÄN</t>
        </is>
      </c>
      <c r="E817" t="inlineStr">
        <is>
          <t>TORSBY</t>
        </is>
      </c>
      <c r="F817" t="inlineStr">
        <is>
          <t>Bergvik skog väst AB</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52731-2025</t>
        </is>
      </c>
      <c r="B818" s="1" t="n">
        <v>45957</v>
      </c>
      <c r="C818" s="1" t="n">
        <v>46191</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52772-2025</t>
        </is>
      </c>
      <c r="B819" s="1" t="n">
        <v>45957</v>
      </c>
      <c r="C819" s="1" t="n">
        <v>46191</v>
      </c>
      <c r="D819" t="inlineStr">
        <is>
          <t>VÄRMLANDS LÄN</t>
        </is>
      </c>
      <c r="E819" t="inlineStr">
        <is>
          <t>TORSBY</t>
        </is>
      </c>
      <c r="G819" t="n">
        <v>3.5</v>
      </c>
      <c r="H819" t="n">
        <v>0</v>
      </c>
      <c r="I819" t="n">
        <v>0</v>
      </c>
      <c r="J819" t="n">
        <v>0</v>
      </c>
      <c r="K819" t="n">
        <v>0</v>
      </c>
      <c r="L819" t="n">
        <v>0</v>
      </c>
      <c r="M819" t="n">
        <v>0</v>
      </c>
      <c r="N819" t="n">
        <v>0</v>
      </c>
      <c r="O819" t="n">
        <v>0</v>
      </c>
      <c r="P819" t="n">
        <v>0</v>
      </c>
      <c r="Q819" t="n">
        <v>0</v>
      </c>
      <c r="R819" s="2" t="inlineStr"/>
    </row>
    <row r="820" ht="15" customHeight="1">
      <c r="A820" t="inlineStr">
        <is>
          <t>A 52774-2025</t>
        </is>
      </c>
      <c r="B820" s="1" t="n">
        <v>45957</v>
      </c>
      <c r="C820" s="1" t="n">
        <v>46191</v>
      </c>
      <c r="D820" t="inlineStr">
        <is>
          <t>VÄRMLANDS LÄN</t>
        </is>
      </c>
      <c r="E820" t="inlineStr">
        <is>
          <t>TORSBY</t>
        </is>
      </c>
      <c r="G820" t="n">
        <v>3.1</v>
      </c>
      <c r="H820" t="n">
        <v>0</v>
      </c>
      <c r="I820" t="n">
        <v>0</v>
      </c>
      <c r="J820" t="n">
        <v>0</v>
      </c>
      <c r="K820" t="n">
        <v>0</v>
      </c>
      <c r="L820" t="n">
        <v>0</v>
      </c>
      <c r="M820" t="n">
        <v>0</v>
      </c>
      <c r="N820" t="n">
        <v>0</v>
      </c>
      <c r="O820" t="n">
        <v>0</v>
      </c>
      <c r="P820" t="n">
        <v>0</v>
      </c>
      <c r="Q820" t="n">
        <v>0</v>
      </c>
      <c r="R820" s="2" t="inlineStr"/>
    </row>
    <row r="821" ht="15" customHeight="1">
      <c r="A821" t="inlineStr">
        <is>
          <t>A 10587-2024</t>
        </is>
      </c>
      <c r="B821" s="1" t="n">
        <v>45366</v>
      </c>
      <c r="C821" s="1" t="n">
        <v>46191</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13877-2026</t>
        </is>
      </c>
      <c r="B822" s="1" t="n">
        <v>46098</v>
      </c>
      <c r="C822" s="1" t="n">
        <v>46191</v>
      </c>
      <c r="D822" t="inlineStr">
        <is>
          <t>VÄRMLANDS LÄN</t>
        </is>
      </c>
      <c r="E822" t="inlineStr">
        <is>
          <t>TORSBY</t>
        </is>
      </c>
      <c r="G822" t="n">
        <v>6.6</v>
      </c>
      <c r="H822" t="n">
        <v>0</v>
      </c>
      <c r="I822" t="n">
        <v>0</v>
      </c>
      <c r="J822" t="n">
        <v>0</v>
      </c>
      <c r="K822" t="n">
        <v>0</v>
      </c>
      <c r="L822" t="n">
        <v>0</v>
      </c>
      <c r="M822" t="n">
        <v>0</v>
      </c>
      <c r="N822" t="n">
        <v>0</v>
      </c>
      <c r="O822" t="n">
        <v>0</v>
      </c>
      <c r="P822" t="n">
        <v>0</v>
      </c>
      <c r="Q822" t="n">
        <v>0</v>
      </c>
      <c r="R822" s="2" t="inlineStr"/>
    </row>
    <row r="823" ht="15" customHeight="1">
      <c r="A823" t="inlineStr">
        <is>
          <t>A 52843-2025</t>
        </is>
      </c>
      <c r="B823" s="1" t="n">
        <v>45957</v>
      </c>
      <c r="C823" s="1" t="n">
        <v>46191</v>
      </c>
      <c r="D823" t="inlineStr">
        <is>
          <t>VÄRMLANDS LÄN</t>
        </is>
      </c>
      <c r="E823" t="inlineStr">
        <is>
          <t>TORSBY</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52822-2025</t>
        </is>
      </c>
      <c r="B824" s="1" t="n">
        <v>45957</v>
      </c>
      <c r="C824" s="1" t="n">
        <v>46191</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52787-2025</t>
        </is>
      </c>
      <c r="B825" s="1" t="n">
        <v>45957</v>
      </c>
      <c r="C825" s="1" t="n">
        <v>46191</v>
      </c>
      <c r="D825" t="inlineStr">
        <is>
          <t>VÄRMLANDS LÄN</t>
        </is>
      </c>
      <c r="E825" t="inlineStr">
        <is>
          <t>TORSBY</t>
        </is>
      </c>
      <c r="G825" t="n">
        <v>3.8</v>
      </c>
      <c r="H825" t="n">
        <v>0</v>
      </c>
      <c r="I825" t="n">
        <v>0</v>
      </c>
      <c r="J825" t="n">
        <v>0</v>
      </c>
      <c r="K825" t="n">
        <v>0</v>
      </c>
      <c r="L825" t="n">
        <v>0</v>
      </c>
      <c r="M825" t="n">
        <v>0</v>
      </c>
      <c r="N825" t="n">
        <v>0</v>
      </c>
      <c r="O825" t="n">
        <v>0</v>
      </c>
      <c r="P825" t="n">
        <v>0</v>
      </c>
      <c r="Q825" t="n">
        <v>0</v>
      </c>
      <c r="R825" s="2" t="inlineStr"/>
    </row>
    <row r="826" ht="15" customHeight="1">
      <c r="A826" t="inlineStr">
        <is>
          <t>A 53113-2025</t>
        </is>
      </c>
      <c r="B826" s="1" t="n">
        <v>45958</v>
      </c>
      <c r="C826" s="1" t="n">
        <v>46191</v>
      </c>
      <c r="D826" t="inlineStr">
        <is>
          <t>VÄRMLANDS LÄN</t>
        </is>
      </c>
      <c r="E826" t="inlineStr">
        <is>
          <t>TORSBY</t>
        </is>
      </c>
      <c r="G826" t="n">
        <v>2.5</v>
      </c>
      <c r="H826" t="n">
        <v>0</v>
      </c>
      <c r="I826" t="n">
        <v>0</v>
      </c>
      <c r="J826" t="n">
        <v>0</v>
      </c>
      <c r="K826" t="n">
        <v>0</v>
      </c>
      <c r="L826" t="n">
        <v>0</v>
      </c>
      <c r="M826" t="n">
        <v>0</v>
      </c>
      <c r="N826" t="n">
        <v>0</v>
      </c>
      <c r="O826" t="n">
        <v>0</v>
      </c>
      <c r="P826" t="n">
        <v>0</v>
      </c>
      <c r="Q826" t="n">
        <v>0</v>
      </c>
      <c r="R826" s="2" t="inlineStr"/>
    </row>
    <row r="827" ht="15" customHeight="1">
      <c r="A827" t="inlineStr">
        <is>
          <t>A 53123-2025</t>
        </is>
      </c>
      <c r="B827" s="1" t="n">
        <v>45958</v>
      </c>
      <c r="C827" s="1" t="n">
        <v>46191</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47694-2022</t>
        </is>
      </c>
      <c r="B828" s="1" t="n">
        <v>44854</v>
      </c>
      <c r="C828" s="1" t="n">
        <v>46191</v>
      </c>
      <c r="D828" t="inlineStr">
        <is>
          <t>VÄRMLANDS LÄN</t>
        </is>
      </c>
      <c r="E828" t="inlineStr">
        <is>
          <t>TORSBY</t>
        </is>
      </c>
      <c r="G828" t="n">
        <v>7.9</v>
      </c>
      <c r="H828" t="n">
        <v>0</v>
      </c>
      <c r="I828" t="n">
        <v>0</v>
      </c>
      <c r="J828" t="n">
        <v>0</v>
      </c>
      <c r="K828" t="n">
        <v>0</v>
      </c>
      <c r="L828" t="n">
        <v>0</v>
      </c>
      <c r="M828" t="n">
        <v>0</v>
      </c>
      <c r="N828" t="n">
        <v>0</v>
      </c>
      <c r="O828" t="n">
        <v>0</v>
      </c>
      <c r="P828" t="n">
        <v>0</v>
      </c>
      <c r="Q828" t="n">
        <v>0</v>
      </c>
      <c r="R828" s="2" t="inlineStr"/>
    </row>
    <row r="829" ht="15" customHeight="1">
      <c r="A829" t="inlineStr">
        <is>
          <t>A 52981-2025</t>
        </is>
      </c>
      <c r="B829" s="1" t="n">
        <v>45957</v>
      </c>
      <c r="C829" s="1" t="n">
        <v>46191</v>
      </c>
      <c r="D829" t="inlineStr">
        <is>
          <t>VÄRMLANDS LÄN</t>
        </is>
      </c>
      <c r="E829" t="inlineStr">
        <is>
          <t>TORSBY</t>
        </is>
      </c>
      <c r="G829" t="n">
        <v>20.5</v>
      </c>
      <c r="H829" t="n">
        <v>0</v>
      </c>
      <c r="I829" t="n">
        <v>0</v>
      </c>
      <c r="J829" t="n">
        <v>0</v>
      </c>
      <c r="K829" t="n">
        <v>0</v>
      </c>
      <c r="L829" t="n">
        <v>0</v>
      </c>
      <c r="M829" t="n">
        <v>0</v>
      </c>
      <c r="N829" t="n">
        <v>0</v>
      </c>
      <c r="O829" t="n">
        <v>0</v>
      </c>
      <c r="P829" t="n">
        <v>0</v>
      </c>
      <c r="Q829" t="n">
        <v>0</v>
      </c>
      <c r="R829" s="2" t="inlineStr"/>
    </row>
    <row r="830" ht="15" customHeight="1">
      <c r="A830" t="inlineStr">
        <is>
          <t>A 13880-2026</t>
        </is>
      </c>
      <c r="B830" s="1" t="n">
        <v>46098</v>
      </c>
      <c r="C830" s="1" t="n">
        <v>46191</v>
      </c>
      <c r="D830" t="inlineStr">
        <is>
          <t>VÄRMLANDS LÄN</t>
        </is>
      </c>
      <c r="E830" t="inlineStr">
        <is>
          <t>TORSBY</t>
        </is>
      </c>
      <c r="G830" t="n">
        <v>3.3</v>
      </c>
      <c r="H830" t="n">
        <v>0</v>
      </c>
      <c r="I830" t="n">
        <v>0</v>
      </c>
      <c r="J830" t="n">
        <v>0</v>
      </c>
      <c r="K830" t="n">
        <v>0</v>
      </c>
      <c r="L830" t="n">
        <v>0</v>
      </c>
      <c r="M830" t="n">
        <v>0</v>
      </c>
      <c r="N830" t="n">
        <v>0</v>
      </c>
      <c r="O830" t="n">
        <v>0</v>
      </c>
      <c r="P830" t="n">
        <v>0</v>
      </c>
      <c r="Q830" t="n">
        <v>0</v>
      </c>
      <c r="R830" s="2" t="inlineStr"/>
    </row>
    <row r="831" ht="15" customHeight="1">
      <c r="A831" t="inlineStr">
        <is>
          <t>A 13884-2026</t>
        </is>
      </c>
      <c r="B831" s="1" t="n">
        <v>46098</v>
      </c>
      <c r="C831" s="1" t="n">
        <v>46191</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52762-2025</t>
        </is>
      </c>
      <c r="B832" s="1" t="n">
        <v>45957</v>
      </c>
      <c r="C832" s="1" t="n">
        <v>46191</v>
      </c>
      <c r="D832" t="inlineStr">
        <is>
          <t>VÄRMLANDS LÄN</t>
        </is>
      </c>
      <c r="E832" t="inlineStr">
        <is>
          <t>TORSBY</t>
        </is>
      </c>
      <c r="G832" t="n">
        <v>8.9</v>
      </c>
      <c r="H832" t="n">
        <v>0</v>
      </c>
      <c r="I832" t="n">
        <v>0</v>
      </c>
      <c r="J832" t="n">
        <v>0</v>
      </c>
      <c r="K832" t="n">
        <v>0</v>
      </c>
      <c r="L832" t="n">
        <v>0</v>
      </c>
      <c r="M832" t="n">
        <v>0</v>
      </c>
      <c r="N832" t="n">
        <v>0</v>
      </c>
      <c r="O832" t="n">
        <v>0</v>
      </c>
      <c r="P832" t="n">
        <v>0</v>
      </c>
      <c r="Q832" t="n">
        <v>0</v>
      </c>
      <c r="R832" s="2" t="inlineStr"/>
    </row>
    <row r="833" ht="15" customHeight="1">
      <c r="A833" t="inlineStr">
        <is>
          <t>A 39642-2021</t>
        </is>
      </c>
      <c r="B833" s="1" t="n">
        <v>44417</v>
      </c>
      <c r="C833" s="1" t="n">
        <v>46191</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3590-2024</t>
        </is>
      </c>
      <c r="B834" s="1" t="n">
        <v>45320</v>
      </c>
      <c r="C834" s="1" t="n">
        <v>46191</v>
      </c>
      <c r="D834" t="inlineStr">
        <is>
          <t>VÄRMLANDS LÄN</t>
        </is>
      </c>
      <c r="E834" t="inlineStr">
        <is>
          <t>TORSBY</t>
        </is>
      </c>
      <c r="G834" t="n">
        <v>3.5</v>
      </c>
      <c r="H834" t="n">
        <v>0</v>
      </c>
      <c r="I834" t="n">
        <v>0</v>
      </c>
      <c r="J834" t="n">
        <v>0</v>
      </c>
      <c r="K834" t="n">
        <v>0</v>
      </c>
      <c r="L834" t="n">
        <v>0</v>
      </c>
      <c r="M834" t="n">
        <v>0</v>
      </c>
      <c r="N834" t="n">
        <v>0</v>
      </c>
      <c r="O834" t="n">
        <v>0</v>
      </c>
      <c r="P834" t="n">
        <v>0</v>
      </c>
      <c r="Q834" t="n">
        <v>0</v>
      </c>
      <c r="R834" s="2" t="inlineStr"/>
    </row>
    <row r="835" ht="15" customHeight="1">
      <c r="A835" t="inlineStr">
        <is>
          <t>A 57990-2023</t>
        </is>
      </c>
      <c r="B835" s="1" t="n">
        <v>45247</v>
      </c>
      <c r="C835" s="1" t="n">
        <v>46191</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52931-2025</t>
        </is>
      </c>
      <c r="B836" s="1" t="n">
        <v>45957</v>
      </c>
      <c r="C836" s="1" t="n">
        <v>46191</v>
      </c>
      <c r="D836" t="inlineStr">
        <is>
          <t>VÄRMLANDS LÄN</t>
        </is>
      </c>
      <c r="E836" t="inlineStr">
        <is>
          <t>TORSBY</t>
        </is>
      </c>
      <c r="G836" t="n">
        <v>3.6</v>
      </c>
      <c r="H836" t="n">
        <v>0</v>
      </c>
      <c r="I836" t="n">
        <v>0</v>
      </c>
      <c r="J836" t="n">
        <v>0</v>
      </c>
      <c r="K836" t="n">
        <v>0</v>
      </c>
      <c r="L836" t="n">
        <v>0</v>
      </c>
      <c r="M836" t="n">
        <v>0</v>
      </c>
      <c r="N836" t="n">
        <v>0</v>
      </c>
      <c r="O836" t="n">
        <v>0</v>
      </c>
      <c r="P836" t="n">
        <v>0</v>
      </c>
      <c r="Q836" t="n">
        <v>0</v>
      </c>
      <c r="R836" s="2" t="inlineStr"/>
    </row>
    <row r="837" ht="15" customHeight="1">
      <c r="A837" t="inlineStr">
        <is>
          <t>A 13909-2026</t>
        </is>
      </c>
      <c r="B837" s="1" t="n">
        <v>46098</v>
      </c>
      <c r="C837" s="1" t="n">
        <v>46191</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52982-2025</t>
        </is>
      </c>
      <c r="B838" s="1" t="n">
        <v>45957</v>
      </c>
      <c r="C838" s="1" t="n">
        <v>46191</v>
      </c>
      <c r="D838" t="inlineStr">
        <is>
          <t>VÄRMLANDS LÄN</t>
        </is>
      </c>
      <c r="E838" t="inlineStr">
        <is>
          <t>TORSBY</t>
        </is>
      </c>
      <c r="G838" t="n">
        <v>8.1</v>
      </c>
      <c r="H838" t="n">
        <v>0</v>
      </c>
      <c r="I838" t="n">
        <v>0</v>
      </c>
      <c r="J838" t="n">
        <v>0</v>
      </c>
      <c r="K838" t="n">
        <v>0</v>
      </c>
      <c r="L838" t="n">
        <v>0</v>
      </c>
      <c r="M838" t="n">
        <v>0</v>
      </c>
      <c r="N838" t="n">
        <v>0</v>
      </c>
      <c r="O838" t="n">
        <v>0</v>
      </c>
      <c r="P838" t="n">
        <v>0</v>
      </c>
      <c r="Q838" t="n">
        <v>0</v>
      </c>
      <c r="R838" s="2" t="inlineStr"/>
    </row>
    <row r="839" ht="15" customHeight="1">
      <c r="A839" t="inlineStr">
        <is>
          <t>A 22421-2024</t>
        </is>
      </c>
      <c r="B839" s="1" t="n">
        <v>45446</v>
      </c>
      <c r="C839" s="1" t="n">
        <v>46191</v>
      </c>
      <c r="D839" t="inlineStr">
        <is>
          <t>VÄRMLANDS LÄN</t>
        </is>
      </c>
      <c r="E839" t="inlineStr">
        <is>
          <t>TORSBY</t>
        </is>
      </c>
      <c r="G839" t="n">
        <v>8.9</v>
      </c>
      <c r="H839" t="n">
        <v>0</v>
      </c>
      <c r="I839" t="n">
        <v>0</v>
      </c>
      <c r="J839" t="n">
        <v>0</v>
      </c>
      <c r="K839" t="n">
        <v>0</v>
      </c>
      <c r="L839" t="n">
        <v>0</v>
      </c>
      <c r="M839" t="n">
        <v>0</v>
      </c>
      <c r="N839" t="n">
        <v>0</v>
      </c>
      <c r="O839" t="n">
        <v>0</v>
      </c>
      <c r="P839" t="n">
        <v>0</v>
      </c>
      <c r="Q839" t="n">
        <v>0</v>
      </c>
      <c r="R839" s="2" t="inlineStr"/>
    </row>
    <row r="840" ht="15" customHeight="1">
      <c r="A840" t="inlineStr">
        <is>
          <t>A 13837-2026</t>
        </is>
      </c>
      <c r="B840" s="1" t="n">
        <v>46098</v>
      </c>
      <c r="C840" s="1" t="n">
        <v>46191</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13887-2026</t>
        </is>
      </c>
      <c r="B841" s="1" t="n">
        <v>46098</v>
      </c>
      <c r="C841" s="1" t="n">
        <v>46191</v>
      </c>
      <c r="D841" t="inlineStr">
        <is>
          <t>VÄRMLANDS LÄN</t>
        </is>
      </c>
      <c r="E841" t="inlineStr">
        <is>
          <t>TORSBY</t>
        </is>
      </c>
      <c r="G841" t="n">
        <v>4.5</v>
      </c>
      <c r="H841" t="n">
        <v>0</v>
      </c>
      <c r="I841" t="n">
        <v>0</v>
      </c>
      <c r="J841" t="n">
        <v>0</v>
      </c>
      <c r="K841" t="n">
        <v>0</v>
      </c>
      <c r="L841" t="n">
        <v>0</v>
      </c>
      <c r="M841" t="n">
        <v>0</v>
      </c>
      <c r="N841" t="n">
        <v>0</v>
      </c>
      <c r="O841" t="n">
        <v>0</v>
      </c>
      <c r="P841" t="n">
        <v>0</v>
      </c>
      <c r="Q841" t="n">
        <v>0</v>
      </c>
      <c r="R841" s="2" t="inlineStr"/>
    </row>
    <row r="842" ht="15" customHeight="1">
      <c r="A842" t="inlineStr">
        <is>
          <t>A 13891-2026</t>
        </is>
      </c>
      <c r="B842" s="1" t="n">
        <v>46098</v>
      </c>
      <c r="C842" s="1" t="n">
        <v>46191</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13900-2026</t>
        </is>
      </c>
      <c r="B843" s="1" t="n">
        <v>46098</v>
      </c>
      <c r="C843" s="1" t="n">
        <v>46191</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13895-2026</t>
        </is>
      </c>
      <c r="B844" s="1" t="n">
        <v>46098</v>
      </c>
      <c r="C844" s="1" t="n">
        <v>46191</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52741-2025</t>
        </is>
      </c>
      <c r="B845" s="1" t="n">
        <v>45957</v>
      </c>
      <c r="C845" s="1" t="n">
        <v>46191</v>
      </c>
      <c r="D845" t="inlineStr">
        <is>
          <t>VÄRMLANDS LÄN</t>
        </is>
      </c>
      <c r="E845" t="inlineStr">
        <is>
          <t>TORSBY</t>
        </is>
      </c>
      <c r="G845" t="n">
        <v>0.4</v>
      </c>
      <c r="H845" t="n">
        <v>0</v>
      </c>
      <c r="I845" t="n">
        <v>0</v>
      </c>
      <c r="J845" t="n">
        <v>0</v>
      </c>
      <c r="K845" t="n">
        <v>0</v>
      </c>
      <c r="L845" t="n">
        <v>0</v>
      </c>
      <c r="M845" t="n">
        <v>0</v>
      </c>
      <c r="N845" t="n">
        <v>0</v>
      </c>
      <c r="O845" t="n">
        <v>0</v>
      </c>
      <c r="P845" t="n">
        <v>0</v>
      </c>
      <c r="Q845" t="n">
        <v>0</v>
      </c>
      <c r="R845" s="2" t="inlineStr"/>
    </row>
    <row r="846" ht="15" customHeight="1">
      <c r="A846" t="inlineStr">
        <is>
          <t>A 14051-2026</t>
        </is>
      </c>
      <c r="B846" s="1" t="n">
        <v>46099</v>
      </c>
      <c r="C846" s="1" t="n">
        <v>46191</v>
      </c>
      <c r="D846" t="inlineStr">
        <is>
          <t>VÄRMLANDS LÄN</t>
        </is>
      </c>
      <c r="E846" t="inlineStr">
        <is>
          <t>TORSBY</t>
        </is>
      </c>
      <c r="G846" t="n">
        <v>3.8</v>
      </c>
      <c r="H846" t="n">
        <v>0</v>
      </c>
      <c r="I846" t="n">
        <v>0</v>
      </c>
      <c r="J846" t="n">
        <v>0</v>
      </c>
      <c r="K846" t="n">
        <v>0</v>
      </c>
      <c r="L846" t="n">
        <v>0</v>
      </c>
      <c r="M846" t="n">
        <v>0</v>
      </c>
      <c r="N846" t="n">
        <v>0</v>
      </c>
      <c r="O846" t="n">
        <v>0</v>
      </c>
      <c r="P846" t="n">
        <v>0</v>
      </c>
      <c r="Q846" t="n">
        <v>0</v>
      </c>
      <c r="R846" s="2" t="inlineStr"/>
    </row>
    <row r="847" ht="15" customHeight="1">
      <c r="A847" t="inlineStr">
        <is>
          <t>A 53493-2025</t>
        </is>
      </c>
      <c r="B847" s="1" t="n">
        <v>45960</v>
      </c>
      <c r="C847" s="1" t="n">
        <v>46191</v>
      </c>
      <c r="D847" t="inlineStr">
        <is>
          <t>VÄRMLANDS LÄN</t>
        </is>
      </c>
      <c r="E847" t="inlineStr">
        <is>
          <t>TORSBY</t>
        </is>
      </c>
      <c r="F847" t="inlineStr">
        <is>
          <t>Bergvik skog väst AB</t>
        </is>
      </c>
      <c r="G847" t="n">
        <v>5.6</v>
      </c>
      <c r="H847" t="n">
        <v>0</v>
      </c>
      <c r="I847" t="n">
        <v>0</v>
      </c>
      <c r="J847" t="n">
        <v>0</v>
      </c>
      <c r="K847" t="n">
        <v>0</v>
      </c>
      <c r="L847" t="n">
        <v>0</v>
      </c>
      <c r="M847" t="n">
        <v>0</v>
      </c>
      <c r="N847" t="n">
        <v>0</v>
      </c>
      <c r="O847" t="n">
        <v>0</v>
      </c>
      <c r="P847" t="n">
        <v>0</v>
      </c>
      <c r="Q847" t="n">
        <v>0</v>
      </c>
      <c r="R847" s="2" t="inlineStr"/>
    </row>
    <row r="848" ht="15" customHeight="1">
      <c r="A848" t="inlineStr">
        <is>
          <t>A 35132-2022</t>
        </is>
      </c>
      <c r="B848" s="1" t="n">
        <v>44797</v>
      </c>
      <c r="C848" s="1" t="n">
        <v>46191</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4510-2023</t>
        </is>
      </c>
      <c r="B849" s="1" t="n">
        <v>44956</v>
      </c>
      <c r="C849" s="1" t="n">
        <v>46191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53763-2025</t>
        </is>
      </c>
      <c r="B850" s="1" t="n">
        <v>45960</v>
      </c>
      <c r="C850" s="1" t="n">
        <v>46191</v>
      </c>
      <c r="D850" t="inlineStr">
        <is>
          <t>VÄRMLANDS LÄN</t>
        </is>
      </c>
      <c r="E850" t="inlineStr">
        <is>
          <t>TORSBY</t>
        </is>
      </c>
      <c r="F850" t="inlineStr">
        <is>
          <t>Bergvik skog väst AB</t>
        </is>
      </c>
      <c r="G850" t="n">
        <v>1.3</v>
      </c>
      <c r="H850" t="n">
        <v>0</v>
      </c>
      <c r="I850" t="n">
        <v>0</v>
      </c>
      <c r="J850" t="n">
        <v>0</v>
      </c>
      <c r="K850" t="n">
        <v>0</v>
      </c>
      <c r="L850" t="n">
        <v>0</v>
      </c>
      <c r="M850" t="n">
        <v>0</v>
      </c>
      <c r="N850" t="n">
        <v>0</v>
      </c>
      <c r="O850" t="n">
        <v>0</v>
      </c>
      <c r="P850" t="n">
        <v>0</v>
      </c>
      <c r="Q850" t="n">
        <v>0</v>
      </c>
      <c r="R850" s="2" t="inlineStr"/>
    </row>
    <row r="851" ht="15" customHeight="1">
      <c r="A851" t="inlineStr">
        <is>
          <t>A 53677-2025</t>
        </is>
      </c>
      <c r="B851" s="1" t="n">
        <v>45960</v>
      </c>
      <c r="C851" s="1" t="n">
        <v>46191</v>
      </c>
      <c r="D851" t="inlineStr">
        <is>
          <t>VÄRMLANDS LÄN</t>
        </is>
      </c>
      <c r="E851" t="inlineStr">
        <is>
          <t>TORSBY</t>
        </is>
      </c>
      <c r="F851" t="inlineStr">
        <is>
          <t>Bergvik skog väst AB</t>
        </is>
      </c>
      <c r="G851" t="n">
        <v>9</v>
      </c>
      <c r="H851" t="n">
        <v>0</v>
      </c>
      <c r="I851" t="n">
        <v>0</v>
      </c>
      <c r="J851" t="n">
        <v>0</v>
      </c>
      <c r="K851" t="n">
        <v>0</v>
      </c>
      <c r="L851" t="n">
        <v>0</v>
      </c>
      <c r="M851" t="n">
        <v>0</v>
      </c>
      <c r="N851" t="n">
        <v>0</v>
      </c>
      <c r="O851" t="n">
        <v>0</v>
      </c>
      <c r="P851" t="n">
        <v>0</v>
      </c>
      <c r="Q851" t="n">
        <v>0</v>
      </c>
      <c r="R851" s="2" t="inlineStr"/>
    </row>
    <row r="852" ht="15" customHeight="1">
      <c r="A852" t="inlineStr">
        <is>
          <t>A 14316-2026</t>
        </is>
      </c>
      <c r="B852" s="1" t="n">
        <v>46099</v>
      </c>
      <c r="C852" s="1" t="n">
        <v>46191</v>
      </c>
      <c r="D852" t="inlineStr">
        <is>
          <t>VÄRMLANDS LÄN</t>
        </is>
      </c>
      <c r="E852" t="inlineStr">
        <is>
          <t>TORSBY</t>
        </is>
      </c>
      <c r="F852" t="inlineStr">
        <is>
          <t>Bergvik skog väst AB</t>
        </is>
      </c>
      <c r="G852" t="n">
        <v>6.6</v>
      </c>
      <c r="H852" t="n">
        <v>0</v>
      </c>
      <c r="I852" t="n">
        <v>0</v>
      </c>
      <c r="J852" t="n">
        <v>0</v>
      </c>
      <c r="K852" t="n">
        <v>0</v>
      </c>
      <c r="L852" t="n">
        <v>0</v>
      </c>
      <c r="M852" t="n">
        <v>0</v>
      </c>
      <c r="N852" t="n">
        <v>0</v>
      </c>
      <c r="O852" t="n">
        <v>0</v>
      </c>
      <c r="P852" t="n">
        <v>0</v>
      </c>
      <c r="Q852" t="n">
        <v>0</v>
      </c>
      <c r="R852" s="2" t="inlineStr"/>
    </row>
    <row r="853" ht="15" customHeight="1">
      <c r="A853" t="inlineStr">
        <is>
          <t>A 1123-2023</t>
        </is>
      </c>
      <c r="B853" s="1" t="n">
        <v>44935</v>
      </c>
      <c r="C853" s="1" t="n">
        <v>46191</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36700-2021</t>
        </is>
      </c>
      <c r="B854" s="1" t="n">
        <v>44392</v>
      </c>
      <c r="C854" s="1" t="n">
        <v>46191</v>
      </c>
      <c r="D854" t="inlineStr">
        <is>
          <t>VÄRMLANDS LÄN</t>
        </is>
      </c>
      <c r="E854" t="inlineStr">
        <is>
          <t>TORSBY</t>
        </is>
      </c>
      <c r="F854" t="inlineStr">
        <is>
          <t>Bergvik skog väst AB</t>
        </is>
      </c>
      <c r="G854" t="n">
        <v>9.9</v>
      </c>
      <c r="H854" t="n">
        <v>0</v>
      </c>
      <c r="I854" t="n">
        <v>0</v>
      </c>
      <c r="J854" t="n">
        <v>0</v>
      </c>
      <c r="K854" t="n">
        <v>0</v>
      </c>
      <c r="L854" t="n">
        <v>0</v>
      </c>
      <c r="M854" t="n">
        <v>0</v>
      </c>
      <c r="N854" t="n">
        <v>0</v>
      </c>
      <c r="O854" t="n">
        <v>0</v>
      </c>
      <c r="P854" t="n">
        <v>0</v>
      </c>
      <c r="Q854" t="n">
        <v>0</v>
      </c>
      <c r="R854" s="2" t="inlineStr"/>
    </row>
    <row r="855" ht="15" customHeight="1">
      <c r="A855" t="inlineStr">
        <is>
          <t>A 36290-2022</t>
        </is>
      </c>
      <c r="B855" s="1" t="n">
        <v>44803</v>
      </c>
      <c r="C855" s="1" t="n">
        <v>46191</v>
      </c>
      <c r="D855" t="inlineStr">
        <is>
          <t>VÄRMLANDS LÄN</t>
        </is>
      </c>
      <c r="E855" t="inlineStr">
        <is>
          <t>TORSBY</t>
        </is>
      </c>
      <c r="G855" t="n">
        <v>4.7</v>
      </c>
      <c r="H855" t="n">
        <v>0</v>
      </c>
      <c r="I855" t="n">
        <v>0</v>
      </c>
      <c r="J855" t="n">
        <v>0</v>
      </c>
      <c r="K855" t="n">
        <v>0</v>
      </c>
      <c r="L855" t="n">
        <v>0</v>
      </c>
      <c r="M855" t="n">
        <v>0</v>
      </c>
      <c r="N855" t="n">
        <v>0</v>
      </c>
      <c r="O855" t="n">
        <v>0</v>
      </c>
      <c r="P855" t="n">
        <v>0</v>
      </c>
      <c r="Q855" t="n">
        <v>0</v>
      </c>
      <c r="R855" s="2" t="inlineStr"/>
    </row>
    <row r="856" ht="15" customHeight="1">
      <c r="A856" t="inlineStr">
        <is>
          <t>A 7745-2023</t>
        </is>
      </c>
      <c r="B856" s="1" t="n">
        <v>44973</v>
      </c>
      <c r="C856" s="1" t="n">
        <v>46191</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43248-2022</t>
        </is>
      </c>
      <c r="B857" s="1" t="n">
        <v>44834</v>
      </c>
      <c r="C857" s="1" t="n">
        <v>46191</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43289-2022</t>
        </is>
      </c>
      <c r="B858" s="1" t="n">
        <v>44834</v>
      </c>
      <c r="C858" s="1" t="n">
        <v>46191</v>
      </c>
      <c r="D858" t="inlineStr">
        <is>
          <t>VÄRMLANDS LÄN</t>
        </is>
      </c>
      <c r="E858" t="inlineStr">
        <is>
          <t>TORSBY</t>
        </is>
      </c>
      <c r="G858" t="n">
        <v>11.2</v>
      </c>
      <c r="H858" t="n">
        <v>0</v>
      </c>
      <c r="I858" t="n">
        <v>0</v>
      </c>
      <c r="J858" t="n">
        <v>0</v>
      </c>
      <c r="K858" t="n">
        <v>0</v>
      </c>
      <c r="L858" t="n">
        <v>0</v>
      </c>
      <c r="M858" t="n">
        <v>0</v>
      </c>
      <c r="N858" t="n">
        <v>0</v>
      </c>
      <c r="O858" t="n">
        <v>0</v>
      </c>
      <c r="P858" t="n">
        <v>0</v>
      </c>
      <c r="Q858" t="n">
        <v>0</v>
      </c>
      <c r="R858" s="2" t="inlineStr"/>
    </row>
    <row r="859" ht="15" customHeight="1">
      <c r="A859" t="inlineStr">
        <is>
          <t>A 14495-2026</t>
        </is>
      </c>
      <c r="B859" s="1" t="n">
        <v>46100</v>
      </c>
      <c r="C859" s="1" t="n">
        <v>46191</v>
      </c>
      <c r="D859" t="inlineStr">
        <is>
          <t>VÄRMLANDS LÄN</t>
        </is>
      </c>
      <c r="E859" t="inlineStr">
        <is>
          <t>TORSBY</t>
        </is>
      </c>
      <c r="G859" t="n">
        <v>3.6</v>
      </c>
      <c r="H859" t="n">
        <v>0</v>
      </c>
      <c r="I859" t="n">
        <v>0</v>
      </c>
      <c r="J859" t="n">
        <v>0</v>
      </c>
      <c r="K859" t="n">
        <v>0</v>
      </c>
      <c r="L859" t="n">
        <v>0</v>
      </c>
      <c r="M859" t="n">
        <v>0</v>
      </c>
      <c r="N859" t="n">
        <v>0</v>
      </c>
      <c r="O859" t="n">
        <v>0</v>
      </c>
      <c r="P859" t="n">
        <v>0</v>
      </c>
      <c r="Q859" t="n">
        <v>0</v>
      </c>
      <c r="R859" s="2" t="inlineStr"/>
    </row>
    <row r="860" ht="15" customHeight="1">
      <c r="A860" t="inlineStr">
        <is>
          <t>A 53383-2025</t>
        </is>
      </c>
      <c r="B860" s="1" t="n">
        <v>45959</v>
      </c>
      <c r="C860" s="1" t="n">
        <v>46191</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26086-2024</t>
        </is>
      </c>
      <c r="B861" s="1" t="n">
        <v>45468</v>
      </c>
      <c r="C861" s="1" t="n">
        <v>46191</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54071-2025</t>
        </is>
      </c>
      <c r="B862" s="1" t="n">
        <v>45962</v>
      </c>
      <c r="C862" s="1" t="n">
        <v>46191</v>
      </c>
      <c r="D862" t="inlineStr">
        <is>
          <t>VÄRMLANDS LÄN</t>
        </is>
      </c>
      <c r="E862" t="inlineStr">
        <is>
          <t>TORSBY</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502-2024</t>
        </is>
      </c>
      <c r="B863" s="1" t="n">
        <v>45299</v>
      </c>
      <c r="C863" s="1" t="n">
        <v>46191</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54528-2023</t>
        </is>
      </c>
      <c r="B864" s="1" t="n">
        <v>45233</v>
      </c>
      <c r="C864" s="1" t="n">
        <v>46191</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54168-2025</t>
        </is>
      </c>
      <c r="B865" s="1" t="n">
        <v>45964</v>
      </c>
      <c r="C865" s="1" t="n">
        <v>46191</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54101-2025</t>
        </is>
      </c>
      <c r="B866" s="1" t="n">
        <v>45964</v>
      </c>
      <c r="C866" s="1" t="n">
        <v>46191</v>
      </c>
      <c r="D866" t="inlineStr">
        <is>
          <t>VÄRMLANDS LÄN</t>
        </is>
      </c>
      <c r="E866" t="inlineStr">
        <is>
          <t>TORSBY</t>
        </is>
      </c>
      <c r="G866" t="n">
        <v>7.2</v>
      </c>
      <c r="H866" t="n">
        <v>0</v>
      </c>
      <c r="I866" t="n">
        <v>0</v>
      </c>
      <c r="J866" t="n">
        <v>0</v>
      </c>
      <c r="K866" t="n">
        <v>0</v>
      </c>
      <c r="L866" t="n">
        <v>0</v>
      </c>
      <c r="M866" t="n">
        <v>0</v>
      </c>
      <c r="N866" t="n">
        <v>0</v>
      </c>
      <c r="O866" t="n">
        <v>0</v>
      </c>
      <c r="P866" t="n">
        <v>0</v>
      </c>
      <c r="Q866" t="n">
        <v>0</v>
      </c>
      <c r="R866" s="2" t="inlineStr"/>
    </row>
    <row r="867" ht="15" customHeight="1">
      <c r="A867" t="inlineStr">
        <is>
          <t>A 1700-2024</t>
        </is>
      </c>
      <c r="B867" s="1" t="n">
        <v>45307</v>
      </c>
      <c r="C867" s="1" t="n">
        <v>46191</v>
      </c>
      <c r="D867" t="inlineStr">
        <is>
          <t>VÄRMLANDS LÄN</t>
        </is>
      </c>
      <c r="E867" t="inlineStr">
        <is>
          <t>TORSBY</t>
        </is>
      </c>
      <c r="G867" t="n">
        <v>2.5</v>
      </c>
      <c r="H867" t="n">
        <v>0</v>
      </c>
      <c r="I867" t="n">
        <v>0</v>
      </c>
      <c r="J867" t="n">
        <v>0</v>
      </c>
      <c r="K867" t="n">
        <v>0</v>
      </c>
      <c r="L867" t="n">
        <v>0</v>
      </c>
      <c r="M867" t="n">
        <v>0</v>
      </c>
      <c r="N867" t="n">
        <v>0</v>
      </c>
      <c r="O867" t="n">
        <v>0</v>
      </c>
      <c r="P867" t="n">
        <v>0</v>
      </c>
      <c r="Q867" t="n">
        <v>0</v>
      </c>
      <c r="R867" s="2" t="inlineStr"/>
    </row>
    <row r="868" ht="15" customHeight="1">
      <c r="A868" t="inlineStr">
        <is>
          <t>A 25629-2024</t>
        </is>
      </c>
      <c r="B868" s="1" t="n">
        <v>45463</v>
      </c>
      <c r="C868" s="1" t="n">
        <v>46191</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54091-2025</t>
        </is>
      </c>
      <c r="B869" s="1" t="n">
        <v>45964</v>
      </c>
      <c r="C869" s="1" t="n">
        <v>46191</v>
      </c>
      <c r="D869" t="inlineStr">
        <is>
          <t>VÄRMLANDS LÄN</t>
        </is>
      </c>
      <c r="E869" t="inlineStr">
        <is>
          <t>TORSBY</t>
        </is>
      </c>
      <c r="G869" t="n">
        <v>4.1</v>
      </c>
      <c r="H869" t="n">
        <v>0</v>
      </c>
      <c r="I869" t="n">
        <v>0</v>
      </c>
      <c r="J869" t="n">
        <v>0</v>
      </c>
      <c r="K869" t="n">
        <v>0</v>
      </c>
      <c r="L869" t="n">
        <v>0</v>
      </c>
      <c r="M869" t="n">
        <v>0</v>
      </c>
      <c r="N869" t="n">
        <v>0</v>
      </c>
      <c r="O869" t="n">
        <v>0</v>
      </c>
      <c r="P869" t="n">
        <v>0</v>
      </c>
      <c r="Q869" t="n">
        <v>0</v>
      </c>
      <c r="R869" s="2" t="inlineStr"/>
    </row>
    <row r="870" ht="15" customHeight="1">
      <c r="A870" t="inlineStr">
        <is>
          <t>A 54079-2025</t>
        </is>
      </c>
      <c r="B870" s="1" t="n">
        <v>45964</v>
      </c>
      <c r="C870" s="1" t="n">
        <v>46191</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62258-2023</t>
        </is>
      </c>
      <c r="B871" s="1" t="n">
        <v>45266</v>
      </c>
      <c r="C871" s="1" t="n">
        <v>46191</v>
      </c>
      <c r="D871" t="inlineStr">
        <is>
          <t>VÄRMLANDS LÄN</t>
        </is>
      </c>
      <c r="E871" t="inlineStr">
        <is>
          <t>TORSBY</t>
        </is>
      </c>
      <c r="G871" t="n">
        <v>7.8</v>
      </c>
      <c r="H871" t="n">
        <v>0</v>
      </c>
      <c r="I871" t="n">
        <v>0</v>
      </c>
      <c r="J871" t="n">
        <v>0</v>
      </c>
      <c r="K871" t="n">
        <v>0</v>
      </c>
      <c r="L871" t="n">
        <v>0</v>
      </c>
      <c r="M871" t="n">
        <v>0</v>
      </c>
      <c r="N871" t="n">
        <v>0</v>
      </c>
      <c r="O871" t="n">
        <v>0</v>
      </c>
      <c r="P871" t="n">
        <v>0</v>
      </c>
      <c r="Q871" t="n">
        <v>0</v>
      </c>
      <c r="R871" s="2" t="inlineStr"/>
    </row>
    <row r="872" ht="15" customHeight="1">
      <c r="A872" t="inlineStr">
        <is>
          <t>A 28284-2024</t>
        </is>
      </c>
      <c r="B872" s="1" t="n">
        <v>45477</v>
      </c>
      <c r="C872" s="1" t="n">
        <v>46191</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19630-2025</t>
        </is>
      </c>
      <c r="B873" s="1" t="n">
        <v>45770</v>
      </c>
      <c r="C873" s="1" t="n">
        <v>46191</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18877-2022</t>
        </is>
      </c>
      <c r="B874" s="1" t="n">
        <v>44690</v>
      </c>
      <c r="C874" s="1" t="n">
        <v>46191</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3071-2022</t>
        </is>
      </c>
      <c r="B875" s="1" t="n">
        <v>44582</v>
      </c>
      <c r="C875" s="1" t="n">
        <v>46191</v>
      </c>
      <c r="D875" t="inlineStr">
        <is>
          <t>VÄRMLANDS LÄN</t>
        </is>
      </c>
      <c r="E875" t="inlineStr">
        <is>
          <t>TORSBY</t>
        </is>
      </c>
      <c r="G875" t="n">
        <v>7.9</v>
      </c>
      <c r="H875" t="n">
        <v>0</v>
      </c>
      <c r="I875" t="n">
        <v>0</v>
      </c>
      <c r="J875" t="n">
        <v>0</v>
      </c>
      <c r="K875" t="n">
        <v>0</v>
      </c>
      <c r="L875" t="n">
        <v>0</v>
      </c>
      <c r="M875" t="n">
        <v>0</v>
      </c>
      <c r="N875" t="n">
        <v>0</v>
      </c>
      <c r="O875" t="n">
        <v>0</v>
      </c>
      <c r="P875" t="n">
        <v>0</v>
      </c>
      <c r="Q875" t="n">
        <v>0</v>
      </c>
      <c r="R875" s="2" t="inlineStr"/>
    </row>
    <row r="876" ht="15" customHeight="1">
      <c r="A876" t="inlineStr">
        <is>
          <t>A 55794-2021</t>
        </is>
      </c>
      <c r="B876" s="1" t="n">
        <v>44476</v>
      </c>
      <c r="C876" s="1" t="n">
        <v>46191</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6713-2023</t>
        </is>
      </c>
      <c r="B877" s="1" t="n">
        <v>44960</v>
      </c>
      <c r="C877" s="1" t="n">
        <v>46191</v>
      </c>
      <c r="D877" t="inlineStr">
        <is>
          <t>VÄRMLANDS LÄN</t>
        </is>
      </c>
      <c r="E877" t="inlineStr">
        <is>
          <t>TORSBY</t>
        </is>
      </c>
      <c r="G877" t="n">
        <v>4.2</v>
      </c>
      <c r="H877" t="n">
        <v>0</v>
      </c>
      <c r="I877" t="n">
        <v>0</v>
      </c>
      <c r="J877" t="n">
        <v>0</v>
      </c>
      <c r="K877" t="n">
        <v>0</v>
      </c>
      <c r="L877" t="n">
        <v>0</v>
      </c>
      <c r="M877" t="n">
        <v>0</v>
      </c>
      <c r="N877" t="n">
        <v>0</v>
      </c>
      <c r="O877" t="n">
        <v>0</v>
      </c>
      <c r="P877" t="n">
        <v>0</v>
      </c>
      <c r="Q877" t="n">
        <v>0</v>
      </c>
      <c r="R877" s="2" t="inlineStr"/>
    </row>
    <row r="878" ht="15" customHeight="1">
      <c r="A878" t="inlineStr">
        <is>
          <t>A 15119-2026</t>
        </is>
      </c>
      <c r="B878" s="1" t="n">
        <v>46105</v>
      </c>
      <c r="C878" s="1" t="n">
        <v>46191</v>
      </c>
      <c r="D878" t="inlineStr">
        <is>
          <t>VÄRMLANDS LÄN</t>
        </is>
      </c>
      <c r="E878" t="inlineStr">
        <is>
          <t>TORSBY</t>
        </is>
      </c>
      <c r="F878" t="inlineStr">
        <is>
          <t>Bergvik skog väst AB</t>
        </is>
      </c>
      <c r="G878" t="n">
        <v>3.6</v>
      </c>
      <c r="H878" t="n">
        <v>0</v>
      </c>
      <c r="I878" t="n">
        <v>0</v>
      </c>
      <c r="J878" t="n">
        <v>0</v>
      </c>
      <c r="K878" t="n">
        <v>0</v>
      </c>
      <c r="L878" t="n">
        <v>0</v>
      </c>
      <c r="M878" t="n">
        <v>0</v>
      </c>
      <c r="N878" t="n">
        <v>0</v>
      </c>
      <c r="O878" t="n">
        <v>0</v>
      </c>
      <c r="P878" t="n">
        <v>0</v>
      </c>
      <c r="Q878" t="n">
        <v>0</v>
      </c>
      <c r="R878" s="2" t="inlineStr"/>
    </row>
    <row r="879" ht="15" customHeight="1">
      <c r="A879" t="inlineStr">
        <is>
          <t>A 15363-2026</t>
        </is>
      </c>
      <c r="B879" s="1" t="n">
        <v>46105</v>
      </c>
      <c r="C879" s="1" t="n">
        <v>46191</v>
      </c>
      <c r="D879" t="inlineStr">
        <is>
          <t>VÄRMLANDS LÄN</t>
        </is>
      </c>
      <c r="E879" t="inlineStr">
        <is>
          <t>TORSBY</t>
        </is>
      </c>
      <c r="F879" t="inlineStr">
        <is>
          <t>Bergvik skog väst AB</t>
        </is>
      </c>
      <c r="G879" t="n">
        <v>25.8</v>
      </c>
      <c r="H879" t="n">
        <v>0</v>
      </c>
      <c r="I879" t="n">
        <v>0</v>
      </c>
      <c r="J879" t="n">
        <v>0</v>
      </c>
      <c r="K879" t="n">
        <v>0</v>
      </c>
      <c r="L879" t="n">
        <v>0</v>
      </c>
      <c r="M879" t="n">
        <v>0</v>
      </c>
      <c r="N879" t="n">
        <v>0</v>
      </c>
      <c r="O879" t="n">
        <v>0</v>
      </c>
      <c r="P879" t="n">
        <v>0</v>
      </c>
      <c r="Q879" t="n">
        <v>0</v>
      </c>
      <c r="R879" s="2" t="inlineStr"/>
    </row>
    <row r="880" ht="15" customHeight="1">
      <c r="A880" t="inlineStr">
        <is>
          <t>A 20647-2024</t>
        </is>
      </c>
      <c r="B880" s="1" t="n">
        <v>45436</v>
      </c>
      <c r="C880" s="1" t="n">
        <v>46191</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50380-2024</t>
        </is>
      </c>
      <c r="B881" s="1" t="n">
        <v>45601</v>
      </c>
      <c r="C881" s="1" t="n">
        <v>46191</v>
      </c>
      <c r="D881" t="inlineStr">
        <is>
          <t>VÄRMLANDS LÄN</t>
        </is>
      </c>
      <c r="E881" t="inlineStr">
        <is>
          <t>TORSBY</t>
        </is>
      </c>
      <c r="F881" t="inlineStr">
        <is>
          <t>Bergvik skog väst AB</t>
        </is>
      </c>
      <c r="G881" t="n">
        <v>7.9</v>
      </c>
      <c r="H881" t="n">
        <v>0</v>
      </c>
      <c r="I881" t="n">
        <v>0</v>
      </c>
      <c r="J881" t="n">
        <v>0</v>
      </c>
      <c r="K881" t="n">
        <v>0</v>
      </c>
      <c r="L881" t="n">
        <v>0</v>
      </c>
      <c r="M881" t="n">
        <v>0</v>
      </c>
      <c r="N881" t="n">
        <v>0</v>
      </c>
      <c r="O881" t="n">
        <v>0</v>
      </c>
      <c r="P881" t="n">
        <v>0</v>
      </c>
      <c r="Q881" t="n">
        <v>0</v>
      </c>
      <c r="R881" s="2" t="inlineStr"/>
    </row>
    <row r="882" ht="15" customHeight="1">
      <c r="A882" t="inlineStr">
        <is>
          <t>A 15154-2026</t>
        </is>
      </c>
      <c r="B882" s="1" t="n">
        <v>46105</v>
      </c>
      <c r="C882" s="1" t="n">
        <v>46191</v>
      </c>
      <c r="D882" t="inlineStr">
        <is>
          <t>VÄRMLANDS LÄN</t>
        </is>
      </c>
      <c r="E882" t="inlineStr">
        <is>
          <t>TORSBY</t>
        </is>
      </c>
      <c r="F882" t="inlineStr">
        <is>
          <t>Bergvik skog väst AB</t>
        </is>
      </c>
      <c r="G882" t="n">
        <v>5.9</v>
      </c>
      <c r="H882" t="n">
        <v>0</v>
      </c>
      <c r="I882" t="n">
        <v>0</v>
      </c>
      <c r="J882" t="n">
        <v>0</v>
      </c>
      <c r="K882" t="n">
        <v>0</v>
      </c>
      <c r="L882" t="n">
        <v>0</v>
      </c>
      <c r="M882" t="n">
        <v>0</v>
      </c>
      <c r="N882" t="n">
        <v>0</v>
      </c>
      <c r="O882" t="n">
        <v>0</v>
      </c>
      <c r="P882" t="n">
        <v>0</v>
      </c>
      <c r="Q882" t="n">
        <v>0</v>
      </c>
      <c r="R882" s="2" t="inlineStr"/>
    </row>
    <row r="883" ht="15" customHeight="1">
      <c r="A883" t="inlineStr">
        <is>
          <t>A 10684-2024</t>
        </is>
      </c>
      <c r="B883" s="1" t="n">
        <v>45369</v>
      </c>
      <c r="C883" s="1" t="n">
        <v>46191</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53714-2025</t>
        </is>
      </c>
      <c r="B884" s="1" t="n">
        <v>45960</v>
      </c>
      <c r="C884" s="1" t="n">
        <v>46191</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15900-2026</t>
        </is>
      </c>
      <c r="B885" s="1" t="n">
        <v>46107</v>
      </c>
      <c r="C885" s="1" t="n">
        <v>46191</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15909-2026</t>
        </is>
      </c>
      <c r="B886" s="1" t="n">
        <v>46107</v>
      </c>
      <c r="C886" s="1" t="n">
        <v>46191</v>
      </c>
      <c r="D886" t="inlineStr">
        <is>
          <t>VÄRMLANDS LÄN</t>
        </is>
      </c>
      <c r="E886" t="inlineStr">
        <is>
          <t>TORSBY</t>
        </is>
      </c>
      <c r="G886" t="n">
        <v>3.6</v>
      </c>
      <c r="H886" t="n">
        <v>0</v>
      </c>
      <c r="I886" t="n">
        <v>0</v>
      </c>
      <c r="J886" t="n">
        <v>0</v>
      </c>
      <c r="K886" t="n">
        <v>0</v>
      </c>
      <c r="L886" t="n">
        <v>0</v>
      </c>
      <c r="M886" t="n">
        <v>0</v>
      </c>
      <c r="N886" t="n">
        <v>0</v>
      </c>
      <c r="O886" t="n">
        <v>0</v>
      </c>
      <c r="P886" t="n">
        <v>0</v>
      </c>
      <c r="Q886" t="n">
        <v>0</v>
      </c>
      <c r="R886" s="2" t="inlineStr"/>
    </row>
    <row r="887" ht="15" customHeight="1">
      <c r="A887" t="inlineStr">
        <is>
          <t>A 54762-2025</t>
        </is>
      </c>
      <c r="B887" s="1" t="n">
        <v>45966</v>
      </c>
      <c r="C887" s="1" t="n">
        <v>46191</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12670-2023</t>
        </is>
      </c>
      <c r="B888" s="1" t="n">
        <v>45000</v>
      </c>
      <c r="C888" s="1" t="n">
        <v>46191</v>
      </c>
      <c r="D888" t="inlineStr">
        <is>
          <t>VÄRMLANDS LÄN</t>
        </is>
      </c>
      <c r="E888" t="inlineStr">
        <is>
          <t>TORSBY</t>
        </is>
      </c>
      <c r="G888" t="n">
        <v>3.7</v>
      </c>
      <c r="H888" t="n">
        <v>0</v>
      </c>
      <c r="I888" t="n">
        <v>0</v>
      </c>
      <c r="J888" t="n">
        <v>0</v>
      </c>
      <c r="K888" t="n">
        <v>0</v>
      </c>
      <c r="L888" t="n">
        <v>0</v>
      </c>
      <c r="M888" t="n">
        <v>0</v>
      </c>
      <c r="N888" t="n">
        <v>0</v>
      </c>
      <c r="O888" t="n">
        <v>0</v>
      </c>
      <c r="P888" t="n">
        <v>0</v>
      </c>
      <c r="Q888" t="n">
        <v>0</v>
      </c>
      <c r="R888" s="2" t="inlineStr"/>
    </row>
    <row r="889" ht="15" customHeight="1">
      <c r="A889" t="inlineStr">
        <is>
          <t>A 54784-2025</t>
        </is>
      </c>
      <c r="B889" s="1" t="n">
        <v>45966</v>
      </c>
      <c r="C889" s="1" t="n">
        <v>46191</v>
      </c>
      <c r="D889" t="inlineStr">
        <is>
          <t>VÄRMLANDS LÄN</t>
        </is>
      </c>
      <c r="E889" t="inlineStr">
        <is>
          <t>TORSBY</t>
        </is>
      </c>
      <c r="F889" t="inlineStr">
        <is>
          <t>Bergvik skog väst AB</t>
        </is>
      </c>
      <c r="G889" t="n">
        <v>7.7</v>
      </c>
      <c r="H889" t="n">
        <v>0</v>
      </c>
      <c r="I889" t="n">
        <v>0</v>
      </c>
      <c r="J889" t="n">
        <v>0</v>
      </c>
      <c r="K889" t="n">
        <v>0</v>
      </c>
      <c r="L889" t="n">
        <v>0</v>
      </c>
      <c r="M889" t="n">
        <v>0</v>
      </c>
      <c r="N889" t="n">
        <v>0</v>
      </c>
      <c r="O889" t="n">
        <v>0</v>
      </c>
      <c r="P889" t="n">
        <v>0</v>
      </c>
      <c r="Q889" t="n">
        <v>0</v>
      </c>
      <c r="R889" s="2" t="inlineStr"/>
    </row>
    <row r="890" ht="15" customHeight="1">
      <c r="A890" t="inlineStr">
        <is>
          <t>A 15451-2026</t>
        </is>
      </c>
      <c r="B890" s="1" t="n">
        <v>46106</v>
      </c>
      <c r="C890" s="1" t="n">
        <v>46191</v>
      </c>
      <c r="D890" t="inlineStr">
        <is>
          <t>VÄRMLANDS LÄN</t>
        </is>
      </c>
      <c r="E890" t="inlineStr">
        <is>
          <t>TORSBY</t>
        </is>
      </c>
      <c r="G890" t="n">
        <v>6.3</v>
      </c>
      <c r="H890" t="n">
        <v>0</v>
      </c>
      <c r="I890" t="n">
        <v>0</v>
      </c>
      <c r="J890" t="n">
        <v>0</v>
      </c>
      <c r="K890" t="n">
        <v>0</v>
      </c>
      <c r="L890" t="n">
        <v>0</v>
      </c>
      <c r="M890" t="n">
        <v>0</v>
      </c>
      <c r="N890" t="n">
        <v>0</v>
      </c>
      <c r="O890" t="n">
        <v>0</v>
      </c>
      <c r="P890" t="n">
        <v>0</v>
      </c>
      <c r="Q890" t="n">
        <v>0</v>
      </c>
      <c r="R890" s="2" t="inlineStr"/>
    </row>
    <row r="891" ht="15" customHeight="1">
      <c r="A891" t="inlineStr">
        <is>
          <t>A 21465-2022</t>
        </is>
      </c>
      <c r="B891" s="1" t="n">
        <v>44706</v>
      </c>
      <c r="C891" s="1" t="n">
        <v>46191</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21737-2026</t>
        </is>
      </c>
      <c r="B892" s="1" t="n">
        <v>46149</v>
      </c>
      <c r="C892" s="1" t="n">
        <v>46191</v>
      </c>
      <c r="D892" t="inlineStr">
        <is>
          <t>VÄRMLANDS LÄN</t>
        </is>
      </c>
      <c r="E892" t="inlineStr">
        <is>
          <t>TORSBY</t>
        </is>
      </c>
      <c r="F892" t="inlineStr">
        <is>
          <t>Bergvik skog väst AB</t>
        </is>
      </c>
      <c r="G892" t="n">
        <v>7.1</v>
      </c>
      <c r="H892" t="n">
        <v>0</v>
      </c>
      <c r="I892" t="n">
        <v>0</v>
      </c>
      <c r="J892" t="n">
        <v>0</v>
      </c>
      <c r="K892" t="n">
        <v>0</v>
      </c>
      <c r="L892" t="n">
        <v>0</v>
      </c>
      <c r="M892" t="n">
        <v>0</v>
      </c>
      <c r="N892" t="n">
        <v>0</v>
      </c>
      <c r="O892" t="n">
        <v>0</v>
      </c>
      <c r="P892" t="n">
        <v>0</v>
      </c>
      <c r="Q892" t="n">
        <v>0</v>
      </c>
      <c r="R892" s="2" t="inlineStr"/>
    </row>
    <row r="893" ht="15" customHeight="1">
      <c r="A893" t="inlineStr">
        <is>
          <t>A 1527-2024</t>
        </is>
      </c>
      <c r="B893" s="1" t="n">
        <v>45306</v>
      </c>
      <c r="C893" s="1" t="n">
        <v>46191</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51644-2025</t>
        </is>
      </c>
      <c r="B894" s="1" t="n">
        <v>45951</v>
      </c>
      <c r="C894" s="1" t="n">
        <v>46191</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23818-2022</t>
        </is>
      </c>
      <c r="B895" s="1" t="n">
        <v>44722</v>
      </c>
      <c r="C895" s="1" t="n">
        <v>46191</v>
      </c>
      <c r="D895" t="inlineStr">
        <is>
          <t>VÄRMLANDS LÄN</t>
        </is>
      </c>
      <c r="E895" t="inlineStr">
        <is>
          <t>TORSBY</t>
        </is>
      </c>
      <c r="G895" t="n">
        <v>23.5</v>
      </c>
      <c r="H895" t="n">
        <v>0</v>
      </c>
      <c r="I895" t="n">
        <v>0</v>
      </c>
      <c r="J895" t="n">
        <v>0</v>
      </c>
      <c r="K895" t="n">
        <v>0</v>
      </c>
      <c r="L895" t="n">
        <v>0</v>
      </c>
      <c r="M895" t="n">
        <v>0</v>
      </c>
      <c r="N895" t="n">
        <v>0</v>
      </c>
      <c r="O895" t="n">
        <v>0</v>
      </c>
      <c r="P895" t="n">
        <v>0</v>
      </c>
      <c r="Q895" t="n">
        <v>0</v>
      </c>
      <c r="R895" s="2" t="inlineStr"/>
    </row>
    <row r="896" ht="15" customHeight="1">
      <c r="A896" t="inlineStr">
        <is>
          <t>A 52357-2025</t>
        </is>
      </c>
      <c r="B896" s="1" t="n">
        <v>45952</v>
      </c>
      <c r="C896" s="1" t="n">
        <v>46191</v>
      </c>
      <c r="D896" t="inlineStr">
        <is>
          <t>VÄRMLANDS LÄN</t>
        </is>
      </c>
      <c r="E896" t="inlineStr">
        <is>
          <t>TORSBY</t>
        </is>
      </c>
      <c r="G896" t="n">
        <v>3.5</v>
      </c>
      <c r="H896" t="n">
        <v>0</v>
      </c>
      <c r="I896" t="n">
        <v>0</v>
      </c>
      <c r="J896" t="n">
        <v>0</v>
      </c>
      <c r="K896" t="n">
        <v>0</v>
      </c>
      <c r="L896" t="n">
        <v>0</v>
      </c>
      <c r="M896" t="n">
        <v>0</v>
      </c>
      <c r="N896" t="n">
        <v>0</v>
      </c>
      <c r="O896" t="n">
        <v>0</v>
      </c>
      <c r="P896" t="n">
        <v>0</v>
      </c>
      <c r="Q896" t="n">
        <v>0</v>
      </c>
      <c r="R896" s="2" t="inlineStr"/>
    </row>
    <row r="897" ht="15" customHeight="1">
      <c r="A897" t="inlineStr">
        <is>
          <t>A 55092-2022</t>
        </is>
      </c>
      <c r="B897" s="1" t="n">
        <v>44886</v>
      </c>
      <c r="C897" s="1" t="n">
        <v>46191</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55177-2025</t>
        </is>
      </c>
      <c r="B898" s="1" t="n">
        <v>45968</v>
      </c>
      <c r="C898" s="1" t="n">
        <v>46191</v>
      </c>
      <c r="D898" t="inlineStr">
        <is>
          <t>VÄRMLANDS LÄN</t>
        </is>
      </c>
      <c r="E898" t="inlineStr">
        <is>
          <t>TORSBY</t>
        </is>
      </c>
      <c r="G898" t="n">
        <v>6</v>
      </c>
      <c r="H898" t="n">
        <v>0</v>
      </c>
      <c r="I898" t="n">
        <v>0</v>
      </c>
      <c r="J898" t="n">
        <v>0</v>
      </c>
      <c r="K898" t="n">
        <v>0</v>
      </c>
      <c r="L898" t="n">
        <v>0</v>
      </c>
      <c r="M898" t="n">
        <v>0</v>
      </c>
      <c r="N898" t="n">
        <v>0</v>
      </c>
      <c r="O898" t="n">
        <v>0</v>
      </c>
      <c r="P898" t="n">
        <v>0</v>
      </c>
      <c r="Q898" t="n">
        <v>0</v>
      </c>
      <c r="R898" s="2" t="inlineStr"/>
    </row>
    <row r="899" ht="15" customHeight="1">
      <c r="A899" t="inlineStr">
        <is>
          <t>A 35134-2022</t>
        </is>
      </c>
      <c r="B899" s="1" t="n">
        <v>44797</v>
      </c>
      <c r="C899" s="1" t="n">
        <v>46191</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54996-2025</t>
        </is>
      </c>
      <c r="B900" s="1" t="n">
        <v>45967</v>
      </c>
      <c r="C900" s="1" t="n">
        <v>46191</v>
      </c>
      <c r="D900" t="inlineStr">
        <is>
          <t>VÄRMLANDS LÄN</t>
        </is>
      </c>
      <c r="E900" t="inlineStr">
        <is>
          <t>TORSBY</t>
        </is>
      </c>
      <c r="G900" t="n">
        <v>6</v>
      </c>
      <c r="H900" t="n">
        <v>0</v>
      </c>
      <c r="I900" t="n">
        <v>0</v>
      </c>
      <c r="J900" t="n">
        <v>0</v>
      </c>
      <c r="K900" t="n">
        <v>0</v>
      </c>
      <c r="L900" t="n">
        <v>0</v>
      </c>
      <c r="M900" t="n">
        <v>0</v>
      </c>
      <c r="N900" t="n">
        <v>0</v>
      </c>
      <c r="O900" t="n">
        <v>0</v>
      </c>
      <c r="P900" t="n">
        <v>0</v>
      </c>
      <c r="Q900" t="n">
        <v>0</v>
      </c>
      <c r="R900" s="2" t="inlineStr"/>
    </row>
    <row r="901" ht="15" customHeight="1">
      <c r="A901" t="inlineStr">
        <is>
          <t>A 15477-2026</t>
        </is>
      </c>
      <c r="B901" s="1" t="n">
        <v>46106</v>
      </c>
      <c r="C901" s="1" t="n">
        <v>46191</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15611-2026</t>
        </is>
      </c>
      <c r="B902" s="1" t="n">
        <v>46106</v>
      </c>
      <c r="C902" s="1" t="n">
        <v>46191</v>
      </c>
      <c r="D902" t="inlineStr">
        <is>
          <t>VÄRMLANDS LÄN</t>
        </is>
      </c>
      <c r="E902" t="inlineStr">
        <is>
          <t>TORSBY</t>
        </is>
      </c>
      <c r="F902" t="inlineStr">
        <is>
          <t>Bergvik skog väst AB</t>
        </is>
      </c>
      <c r="G902" t="n">
        <v>5</v>
      </c>
      <c r="H902" t="n">
        <v>0</v>
      </c>
      <c r="I902" t="n">
        <v>0</v>
      </c>
      <c r="J902" t="n">
        <v>0</v>
      </c>
      <c r="K902" t="n">
        <v>0</v>
      </c>
      <c r="L902" t="n">
        <v>0</v>
      </c>
      <c r="M902" t="n">
        <v>0</v>
      </c>
      <c r="N902" t="n">
        <v>0</v>
      </c>
      <c r="O902" t="n">
        <v>0</v>
      </c>
      <c r="P902" t="n">
        <v>0</v>
      </c>
      <c r="Q902" t="n">
        <v>0</v>
      </c>
      <c r="R902" s="2" t="inlineStr"/>
    </row>
    <row r="903" ht="15" customHeight="1">
      <c r="A903" t="inlineStr">
        <is>
          <t>A 15662-2026</t>
        </is>
      </c>
      <c r="B903" s="1" t="n">
        <v>46106</v>
      </c>
      <c r="C903" s="1" t="n">
        <v>46191</v>
      </c>
      <c r="D903" t="inlineStr">
        <is>
          <t>VÄRMLANDS LÄN</t>
        </is>
      </c>
      <c r="E903" t="inlineStr">
        <is>
          <t>TORSBY</t>
        </is>
      </c>
      <c r="G903" t="n">
        <v>0.8</v>
      </c>
      <c r="H903" t="n">
        <v>0</v>
      </c>
      <c r="I903" t="n">
        <v>0</v>
      </c>
      <c r="J903" t="n">
        <v>0</v>
      </c>
      <c r="K903" t="n">
        <v>0</v>
      </c>
      <c r="L903" t="n">
        <v>0</v>
      </c>
      <c r="M903" t="n">
        <v>0</v>
      </c>
      <c r="N903" t="n">
        <v>0</v>
      </c>
      <c r="O903" t="n">
        <v>0</v>
      </c>
      <c r="P903" t="n">
        <v>0</v>
      </c>
      <c r="Q903" t="n">
        <v>0</v>
      </c>
      <c r="R903" s="2" t="inlineStr"/>
    </row>
    <row r="904" ht="15" customHeight="1">
      <c r="A904" t="inlineStr">
        <is>
          <t>A 48320-2022</t>
        </is>
      </c>
      <c r="B904" s="1" t="n">
        <v>44853</v>
      </c>
      <c r="C904" s="1" t="n">
        <v>46191</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15907-2026</t>
        </is>
      </c>
      <c r="B905" s="1" t="n">
        <v>46107</v>
      </c>
      <c r="C905" s="1" t="n">
        <v>46191</v>
      </c>
      <c r="D905" t="inlineStr">
        <is>
          <t>VÄRMLANDS LÄN</t>
        </is>
      </c>
      <c r="E905" t="inlineStr">
        <is>
          <t>TORSBY</t>
        </is>
      </c>
      <c r="G905" t="n">
        <v>2.6</v>
      </c>
      <c r="H905" t="n">
        <v>0</v>
      </c>
      <c r="I905" t="n">
        <v>0</v>
      </c>
      <c r="J905" t="n">
        <v>0</v>
      </c>
      <c r="K905" t="n">
        <v>0</v>
      </c>
      <c r="L905" t="n">
        <v>0</v>
      </c>
      <c r="M905" t="n">
        <v>0</v>
      </c>
      <c r="N905" t="n">
        <v>0</v>
      </c>
      <c r="O905" t="n">
        <v>0</v>
      </c>
      <c r="P905" t="n">
        <v>0</v>
      </c>
      <c r="Q905" t="n">
        <v>0</v>
      </c>
      <c r="R905" s="2" t="inlineStr"/>
    </row>
    <row r="906" ht="15" customHeight="1">
      <c r="A906" t="inlineStr">
        <is>
          <t>A 58185-2023</t>
        </is>
      </c>
      <c r="B906" s="1" t="n">
        <v>45250</v>
      </c>
      <c r="C906" s="1" t="n">
        <v>46191</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15664-2026</t>
        </is>
      </c>
      <c r="B907" s="1" t="n">
        <v>46106</v>
      </c>
      <c r="C907" s="1" t="n">
        <v>46191</v>
      </c>
      <c r="D907" t="inlineStr">
        <is>
          <t>VÄRMLANDS LÄN</t>
        </is>
      </c>
      <c r="E907" t="inlineStr">
        <is>
          <t>TORSBY</t>
        </is>
      </c>
      <c r="F907" t="inlineStr">
        <is>
          <t>Bergvik skog väst AB</t>
        </is>
      </c>
      <c r="G907" t="n">
        <v>1.4</v>
      </c>
      <c r="H907" t="n">
        <v>0</v>
      </c>
      <c r="I907" t="n">
        <v>0</v>
      </c>
      <c r="J907" t="n">
        <v>0</v>
      </c>
      <c r="K907" t="n">
        <v>0</v>
      </c>
      <c r="L907" t="n">
        <v>0</v>
      </c>
      <c r="M907" t="n">
        <v>0</v>
      </c>
      <c r="N907" t="n">
        <v>0</v>
      </c>
      <c r="O907" t="n">
        <v>0</v>
      </c>
      <c r="P907" t="n">
        <v>0</v>
      </c>
      <c r="Q907" t="n">
        <v>0</v>
      </c>
      <c r="R907" s="2" t="inlineStr"/>
    </row>
    <row r="908" ht="15" customHeight="1">
      <c r="A908" t="inlineStr">
        <is>
          <t>A 55071-2025</t>
        </is>
      </c>
      <c r="B908" s="1" t="n">
        <v>45967</v>
      </c>
      <c r="C908" s="1" t="n">
        <v>46191</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52362-2025</t>
        </is>
      </c>
      <c r="B909" s="1" t="n">
        <v>45952</v>
      </c>
      <c r="C909" s="1" t="n">
        <v>46191</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15596-2026</t>
        </is>
      </c>
      <c r="B910" s="1" t="n">
        <v>46106</v>
      </c>
      <c r="C910" s="1" t="n">
        <v>46191</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15894-2026</t>
        </is>
      </c>
      <c r="B911" s="1" t="n">
        <v>46107</v>
      </c>
      <c r="C911" s="1" t="n">
        <v>46191</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55320-2025</t>
        </is>
      </c>
      <c r="B912" s="1" t="n">
        <v>45971</v>
      </c>
      <c r="C912" s="1" t="n">
        <v>46191</v>
      </c>
      <c r="D912" t="inlineStr">
        <is>
          <t>VÄRMLANDS LÄN</t>
        </is>
      </c>
      <c r="E912" t="inlineStr">
        <is>
          <t>TORSBY</t>
        </is>
      </c>
      <c r="F912" t="inlineStr">
        <is>
          <t>Bergvik skog väst AB</t>
        </is>
      </c>
      <c r="G912" t="n">
        <v>6.6</v>
      </c>
      <c r="H912" t="n">
        <v>0</v>
      </c>
      <c r="I912" t="n">
        <v>0</v>
      </c>
      <c r="J912" t="n">
        <v>0</v>
      </c>
      <c r="K912" t="n">
        <v>0</v>
      </c>
      <c r="L912" t="n">
        <v>0</v>
      </c>
      <c r="M912" t="n">
        <v>0</v>
      </c>
      <c r="N912" t="n">
        <v>0</v>
      </c>
      <c r="O912" t="n">
        <v>0</v>
      </c>
      <c r="P912" t="n">
        <v>0</v>
      </c>
      <c r="Q912" t="n">
        <v>0</v>
      </c>
      <c r="R912" s="2" t="inlineStr"/>
    </row>
    <row r="913" ht="15" customHeight="1">
      <c r="A913" t="inlineStr">
        <is>
          <t>A 16108-2026</t>
        </is>
      </c>
      <c r="B913" s="1" t="n">
        <v>46108</v>
      </c>
      <c r="C913" s="1" t="n">
        <v>46191</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16111-2026</t>
        </is>
      </c>
      <c r="B914" s="1" t="n">
        <v>46108</v>
      </c>
      <c r="C914" s="1" t="n">
        <v>46191</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21894-2026</t>
        </is>
      </c>
      <c r="B915" s="1" t="n">
        <v>46150</v>
      </c>
      <c r="C915" s="1" t="n">
        <v>46191</v>
      </c>
      <c r="D915" t="inlineStr">
        <is>
          <t>VÄRMLANDS LÄN</t>
        </is>
      </c>
      <c r="E915" t="inlineStr">
        <is>
          <t>TORSBY</t>
        </is>
      </c>
      <c r="F915" t="inlineStr">
        <is>
          <t>Bergvik skog väst AB</t>
        </is>
      </c>
      <c r="G915" t="n">
        <v>16.9</v>
      </c>
      <c r="H915" t="n">
        <v>0</v>
      </c>
      <c r="I915" t="n">
        <v>0</v>
      </c>
      <c r="J915" t="n">
        <v>0</v>
      </c>
      <c r="K915" t="n">
        <v>0</v>
      </c>
      <c r="L915" t="n">
        <v>0</v>
      </c>
      <c r="M915" t="n">
        <v>0</v>
      </c>
      <c r="N915" t="n">
        <v>0</v>
      </c>
      <c r="O915" t="n">
        <v>0</v>
      </c>
      <c r="P915" t="n">
        <v>0</v>
      </c>
      <c r="Q915" t="n">
        <v>0</v>
      </c>
      <c r="R915" s="2" t="inlineStr"/>
    </row>
    <row r="916" ht="15" customHeight="1">
      <c r="A916" t="inlineStr">
        <is>
          <t>A 2308-2024</t>
        </is>
      </c>
      <c r="B916" s="1" t="n">
        <v>45310</v>
      </c>
      <c r="C916" s="1" t="n">
        <v>46191</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21852-2026</t>
        </is>
      </c>
      <c r="B917" s="1" t="n">
        <v>46150</v>
      </c>
      <c r="C917" s="1" t="n">
        <v>46191</v>
      </c>
      <c r="D917" t="inlineStr">
        <is>
          <t>VÄRMLANDS LÄN</t>
        </is>
      </c>
      <c r="E917" t="inlineStr">
        <is>
          <t>TORSBY</t>
        </is>
      </c>
      <c r="G917" t="n">
        <v>13.3</v>
      </c>
      <c r="H917" t="n">
        <v>0</v>
      </c>
      <c r="I917" t="n">
        <v>0</v>
      </c>
      <c r="J917" t="n">
        <v>0</v>
      </c>
      <c r="K917" t="n">
        <v>0</v>
      </c>
      <c r="L917" t="n">
        <v>0</v>
      </c>
      <c r="M917" t="n">
        <v>0</v>
      </c>
      <c r="N917" t="n">
        <v>0</v>
      </c>
      <c r="O917" t="n">
        <v>0</v>
      </c>
      <c r="P917" t="n">
        <v>0</v>
      </c>
      <c r="Q917" t="n">
        <v>0</v>
      </c>
      <c r="R917" s="2" t="inlineStr"/>
    </row>
    <row r="918" ht="15" customHeight="1">
      <c r="A918" t="inlineStr">
        <is>
          <t>A 44708-2022</t>
        </is>
      </c>
      <c r="B918" s="1" t="n">
        <v>44840</v>
      </c>
      <c r="C918" s="1" t="n">
        <v>46191</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55622-2025</t>
        </is>
      </c>
      <c r="B919" s="1" t="n">
        <v>45971</v>
      </c>
      <c r="C919" s="1" t="n">
        <v>46191</v>
      </c>
      <c r="D919" t="inlineStr">
        <is>
          <t>VÄRMLANDS LÄN</t>
        </is>
      </c>
      <c r="E919" t="inlineStr">
        <is>
          <t>TORSBY</t>
        </is>
      </c>
      <c r="F919" t="inlineStr">
        <is>
          <t>Kyrkan</t>
        </is>
      </c>
      <c r="G919" t="n">
        <v>19</v>
      </c>
      <c r="H919" t="n">
        <v>0</v>
      </c>
      <c r="I919" t="n">
        <v>0</v>
      </c>
      <c r="J919" t="n">
        <v>0</v>
      </c>
      <c r="K919" t="n">
        <v>0</v>
      </c>
      <c r="L919" t="n">
        <v>0</v>
      </c>
      <c r="M919" t="n">
        <v>0</v>
      </c>
      <c r="N919" t="n">
        <v>0</v>
      </c>
      <c r="O919" t="n">
        <v>0</v>
      </c>
      <c r="P919" t="n">
        <v>0</v>
      </c>
      <c r="Q919" t="n">
        <v>0</v>
      </c>
      <c r="R919" s="2" t="inlineStr"/>
    </row>
    <row r="920" ht="15" customHeight="1">
      <c r="A920" t="inlineStr">
        <is>
          <t>A 16117-2026</t>
        </is>
      </c>
      <c r="B920" s="1" t="n">
        <v>46108</v>
      </c>
      <c r="C920" s="1" t="n">
        <v>46191</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51843-2022</t>
        </is>
      </c>
      <c r="B921" s="1" t="n">
        <v>44872</v>
      </c>
      <c r="C921" s="1" t="n">
        <v>46191</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16408-2026</t>
        </is>
      </c>
      <c r="B922" s="1" t="n">
        <v>46111</v>
      </c>
      <c r="C922" s="1" t="n">
        <v>46191</v>
      </c>
      <c r="D922" t="inlineStr">
        <is>
          <t>VÄRMLANDS LÄN</t>
        </is>
      </c>
      <c r="E922" t="inlineStr">
        <is>
          <t>TORSBY</t>
        </is>
      </c>
      <c r="G922" t="n">
        <v>3.5</v>
      </c>
      <c r="H922" t="n">
        <v>0</v>
      </c>
      <c r="I922" t="n">
        <v>0</v>
      </c>
      <c r="J922" t="n">
        <v>0</v>
      </c>
      <c r="K922" t="n">
        <v>0</v>
      </c>
      <c r="L922" t="n">
        <v>0</v>
      </c>
      <c r="M922" t="n">
        <v>0</v>
      </c>
      <c r="N922" t="n">
        <v>0</v>
      </c>
      <c r="O922" t="n">
        <v>0</v>
      </c>
      <c r="P922" t="n">
        <v>0</v>
      </c>
      <c r="Q922" t="n">
        <v>0</v>
      </c>
      <c r="R922" s="2" t="inlineStr"/>
    </row>
    <row r="923" ht="15" customHeight="1">
      <c r="A923" t="inlineStr">
        <is>
          <t>A 22030-2026</t>
        </is>
      </c>
      <c r="B923" s="1" t="n">
        <v>46153</v>
      </c>
      <c r="C923" s="1" t="n">
        <v>46191</v>
      </c>
      <c r="D923" t="inlineStr">
        <is>
          <t>VÄRMLANDS LÄN</t>
        </is>
      </c>
      <c r="E923" t="inlineStr">
        <is>
          <t>TORSBY</t>
        </is>
      </c>
      <c r="G923" t="n">
        <v>2.8</v>
      </c>
      <c r="H923" t="n">
        <v>0</v>
      </c>
      <c r="I923" t="n">
        <v>0</v>
      </c>
      <c r="J923" t="n">
        <v>0</v>
      </c>
      <c r="K923" t="n">
        <v>0</v>
      </c>
      <c r="L923" t="n">
        <v>0</v>
      </c>
      <c r="M923" t="n">
        <v>0</v>
      </c>
      <c r="N923" t="n">
        <v>0</v>
      </c>
      <c r="O923" t="n">
        <v>0</v>
      </c>
      <c r="P923" t="n">
        <v>0</v>
      </c>
      <c r="Q923" t="n">
        <v>0</v>
      </c>
      <c r="R923" s="2" t="inlineStr"/>
    </row>
    <row r="924" ht="15" customHeight="1">
      <c r="A924" t="inlineStr">
        <is>
          <t>A 22031-2026</t>
        </is>
      </c>
      <c r="B924" s="1" t="n">
        <v>46153</v>
      </c>
      <c r="C924" s="1" t="n">
        <v>46191</v>
      </c>
      <c r="D924" t="inlineStr">
        <is>
          <t>VÄRMLANDS LÄN</t>
        </is>
      </c>
      <c r="E924" t="inlineStr">
        <is>
          <t>TORSBY</t>
        </is>
      </c>
      <c r="F924" t="inlineStr">
        <is>
          <t>Bergvik skog väst AB</t>
        </is>
      </c>
      <c r="G924" t="n">
        <v>4.8</v>
      </c>
      <c r="H924" t="n">
        <v>0</v>
      </c>
      <c r="I924" t="n">
        <v>0</v>
      </c>
      <c r="J924" t="n">
        <v>0</v>
      </c>
      <c r="K924" t="n">
        <v>0</v>
      </c>
      <c r="L924" t="n">
        <v>0</v>
      </c>
      <c r="M924" t="n">
        <v>0</v>
      </c>
      <c r="N924" t="n">
        <v>0</v>
      </c>
      <c r="O924" t="n">
        <v>0</v>
      </c>
      <c r="P924" t="n">
        <v>0</v>
      </c>
      <c r="Q924" t="n">
        <v>0</v>
      </c>
      <c r="R924" s="2" t="inlineStr"/>
    </row>
    <row r="925" ht="15" customHeight="1">
      <c r="A925" t="inlineStr">
        <is>
          <t>A 18576-2025</t>
        </is>
      </c>
      <c r="B925" s="1" t="n">
        <v>45763</v>
      </c>
      <c r="C925" s="1" t="n">
        <v>46191</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18584-2025</t>
        </is>
      </c>
      <c r="B926" s="1" t="n">
        <v>45763</v>
      </c>
      <c r="C926" s="1" t="n">
        <v>46191</v>
      </c>
      <c r="D926" t="inlineStr">
        <is>
          <t>VÄRMLANDS LÄN</t>
        </is>
      </c>
      <c r="E926" t="inlineStr">
        <is>
          <t>TORSBY</t>
        </is>
      </c>
      <c r="F926" t="inlineStr">
        <is>
          <t>Kyrkan</t>
        </is>
      </c>
      <c r="G926" t="n">
        <v>4.5</v>
      </c>
      <c r="H926" t="n">
        <v>0</v>
      </c>
      <c r="I926" t="n">
        <v>0</v>
      </c>
      <c r="J926" t="n">
        <v>0</v>
      </c>
      <c r="K926" t="n">
        <v>0</v>
      </c>
      <c r="L926" t="n">
        <v>0</v>
      </c>
      <c r="M926" t="n">
        <v>0</v>
      </c>
      <c r="N926" t="n">
        <v>0</v>
      </c>
      <c r="O926" t="n">
        <v>0</v>
      </c>
      <c r="P926" t="n">
        <v>0</v>
      </c>
      <c r="Q926" t="n">
        <v>0</v>
      </c>
      <c r="R926" s="2" t="inlineStr"/>
    </row>
    <row r="927" ht="15" customHeight="1">
      <c r="A927" t="inlineStr">
        <is>
          <t>A 731-2024</t>
        </is>
      </c>
      <c r="B927" s="1" t="n">
        <v>45300</v>
      </c>
      <c r="C927" s="1" t="n">
        <v>46191</v>
      </c>
      <c r="D927" t="inlineStr">
        <is>
          <t>VÄRMLANDS LÄN</t>
        </is>
      </c>
      <c r="E927" t="inlineStr">
        <is>
          <t>TORSBY</t>
        </is>
      </c>
      <c r="G927" t="n">
        <v>1.9</v>
      </c>
      <c r="H927" t="n">
        <v>0</v>
      </c>
      <c r="I927" t="n">
        <v>0</v>
      </c>
      <c r="J927" t="n">
        <v>0</v>
      </c>
      <c r="K927" t="n">
        <v>0</v>
      </c>
      <c r="L927" t="n">
        <v>0</v>
      </c>
      <c r="M927" t="n">
        <v>0</v>
      </c>
      <c r="N927" t="n">
        <v>0</v>
      </c>
      <c r="O927" t="n">
        <v>0</v>
      </c>
      <c r="P927" t="n">
        <v>0</v>
      </c>
      <c r="Q927" t="n">
        <v>0</v>
      </c>
      <c r="R927" s="2" t="inlineStr"/>
    </row>
    <row r="928" ht="15" customHeight="1">
      <c r="A928" t="inlineStr">
        <is>
          <t>A 56187-2025</t>
        </is>
      </c>
      <c r="B928" s="1" t="n">
        <v>45974</v>
      </c>
      <c r="C928" s="1" t="n">
        <v>46191</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55938-2025</t>
        </is>
      </c>
      <c r="B929" s="1" t="n">
        <v>45973</v>
      </c>
      <c r="C929" s="1" t="n">
        <v>46191</v>
      </c>
      <c r="D929" t="inlineStr">
        <is>
          <t>VÄRMLANDS LÄN</t>
        </is>
      </c>
      <c r="E929" t="inlineStr">
        <is>
          <t>TORSBY</t>
        </is>
      </c>
      <c r="F929" t="inlineStr">
        <is>
          <t>Bergvik skog väst AB</t>
        </is>
      </c>
      <c r="G929" t="n">
        <v>21.2</v>
      </c>
      <c r="H929" t="n">
        <v>0</v>
      </c>
      <c r="I929" t="n">
        <v>0</v>
      </c>
      <c r="J929" t="n">
        <v>0</v>
      </c>
      <c r="K929" t="n">
        <v>0</v>
      </c>
      <c r="L929" t="n">
        <v>0</v>
      </c>
      <c r="M929" t="n">
        <v>0</v>
      </c>
      <c r="N929" t="n">
        <v>0</v>
      </c>
      <c r="O929" t="n">
        <v>0</v>
      </c>
      <c r="P929" t="n">
        <v>0</v>
      </c>
      <c r="Q929" t="n">
        <v>0</v>
      </c>
      <c r="R929" s="2" t="inlineStr"/>
    </row>
    <row r="930" ht="15" customHeight="1">
      <c r="A930" t="inlineStr">
        <is>
          <t>A 22005-2026</t>
        </is>
      </c>
      <c r="B930" s="1" t="n">
        <v>46153</v>
      </c>
      <c r="C930" s="1" t="n">
        <v>46191</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22050-2026</t>
        </is>
      </c>
      <c r="B931" s="1" t="n">
        <v>46153</v>
      </c>
      <c r="C931" s="1" t="n">
        <v>46191</v>
      </c>
      <c r="D931" t="inlineStr">
        <is>
          <t>VÄRMLANDS LÄN</t>
        </is>
      </c>
      <c r="E931" t="inlineStr">
        <is>
          <t>TORSBY</t>
        </is>
      </c>
      <c r="F931" t="inlineStr">
        <is>
          <t>Kommuner</t>
        </is>
      </c>
      <c r="G931" t="n">
        <v>6.4</v>
      </c>
      <c r="H931" t="n">
        <v>0</v>
      </c>
      <c r="I931" t="n">
        <v>0</v>
      </c>
      <c r="J931" t="n">
        <v>0</v>
      </c>
      <c r="K931" t="n">
        <v>0</v>
      </c>
      <c r="L931" t="n">
        <v>0</v>
      </c>
      <c r="M931" t="n">
        <v>0</v>
      </c>
      <c r="N931" t="n">
        <v>0</v>
      </c>
      <c r="O931" t="n">
        <v>0</v>
      </c>
      <c r="P931" t="n">
        <v>0</v>
      </c>
      <c r="Q931" t="n">
        <v>0</v>
      </c>
      <c r="R931" s="2" t="inlineStr"/>
    </row>
    <row r="932" ht="15" customHeight="1">
      <c r="A932" t="inlineStr">
        <is>
          <t>A 22218-2026</t>
        </is>
      </c>
      <c r="B932" s="1" t="n">
        <v>46153</v>
      </c>
      <c r="C932" s="1" t="n">
        <v>46191</v>
      </c>
      <c r="D932" t="inlineStr">
        <is>
          <t>VÄRMLANDS LÄN</t>
        </is>
      </c>
      <c r="E932" t="inlineStr">
        <is>
          <t>TORSBY</t>
        </is>
      </c>
      <c r="F932" t="inlineStr">
        <is>
          <t>Bergvik skog väst AB</t>
        </is>
      </c>
      <c r="G932" t="n">
        <v>5</v>
      </c>
      <c r="H932" t="n">
        <v>0</v>
      </c>
      <c r="I932" t="n">
        <v>0</v>
      </c>
      <c r="J932" t="n">
        <v>0</v>
      </c>
      <c r="K932" t="n">
        <v>0</v>
      </c>
      <c r="L932" t="n">
        <v>0</v>
      </c>
      <c r="M932" t="n">
        <v>0</v>
      </c>
      <c r="N932" t="n">
        <v>0</v>
      </c>
      <c r="O932" t="n">
        <v>0</v>
      </c>
      <c r="P932" t="n">
        <v>0</v>
      </c>
      <c r="Q932" t="n">
        <v>0</v>
      </c>
      <c r="R932" s="2" t="inlineStr"/>
    </row>
    <row r="933" ht="15" customHeight="1">
      <c r="A933" t="inlineStr">
        <is>
          <t>A 55953-2025</t>
        </is>
      </c>
      <c r="B933" s="1" t="n">
        <v>45973</v>
      </c>
      <c r="C933" s="1" t="n">
        <v>46191</v>
      </c>
      <c r="D933" t="inlineStr">
        <is>
          <t>VÄRMLANDS LÄN</t>
        </is>
      </c>
      <c r="E933" t="inlineStr">
        <is>
          <t>TORSBY</t>
        </is>
      </c>
      <c r="G933" t="n">
        <v>2.2</v>
      </c>
      <c r="H933" t="n">
        <v>0</v>
      </c>
      <c r="I933" t="n">
        <v>0</v>
      </c>
      <c r="J933" t="n">
        <v>0</v>
      </c>
      <c r="K933" t="n">
        <v>0</v>
      </c>
      <c r="L933" t="n">
        <v>0</v>
      </c>
      <c r="M933" t="n">
        <v>0</v>
      </c>
      <c r="N933" t="n">
        <v>0</v>
      </c>
      <c r="O933" t="n">
        <v>0</v>
      </c>
      <c r="P933" t="n">
        <v>0</v>
      </c>
      <c r="Q933" t="n">
        <v>0</v>
      </c>
      <c r="R933" s="2" t="inlineStr"/>
    </row>
    <row r="934" ht="15" customHeight="1">
      <c r="A934" t="inlineStr">
        <is>
          <t>A 55958-2025</t>
        </is>
      </c>
      <c r="B934" s="1" t="n">
        <v>45973</v>
      </c>
      <c r="C934" s="1" t="n">
        <v>46191</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56130-2025</t>
        </is>
      </c>
      <c r="B935" s="1" t="n">
        <v>45973</v>
      </c>
      <c r="C935" s="1" t="n">
        <v>46191</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32444-2022</t>
        </is>
      </c>
      <c r="B936" s="1" t="n">
        <v>44782</v>
      </c>
      <c r="C936" s="1" t="n">
        <v>46191</v>
      </c>
      <c r="D936" t="inlineStr">
        <is>
          <t>VÄRMLANDS LÄN</t>
        </is>
      </c>
      <c r="E936" t="inlineStr">
        <is>
          <t>TORSBY</t>
        </is>
      </c>
      <c r="F936" t="inlineStr">
        <is>
          <t>Bergvik skog väst AB</t>
        </is>
      </c>
      <c r="G936" t="n">
        <v>3.2</v>
      </c>
      <c r="H936" t="n">
        <v>0</v>
      </c>
      <c r="I936" t="n">
        <v>0</v>
      </c>
      <c r="J936" t="n">
        <v>0</v>
      </c>
      <c r="K936" t="n">
        <v>0</v>
      </c>
      <c r="L936" t="n">
        <v>0</v>
      </c>
      <c r="M936" t="n">
        <v>0</v>
      </c>
      <c r="N936" t="n">
        <v>0</v>
      </c>
      <c r="O936" t="n">
        <v>0</v>
      </c>
      <c r="P936" t="n">
        <v>0</v>
      </c>
      <c r="Q936" t="n">
        <v>0</v>
      </c>
      <c r="R936" s="2" t="inlineStr"/>
    </row>
    <row r="937" ht="15" customHeight="1">
      <c r="A937" t="inlineStr">
        <is>
          <t>A 32496-2022</t>
        </is>
      </c>
      <c r="B937" s="1" t="n">
        <v>44782</v>
      </c>
      <c r="C937" s="1" t="n">
        <v>46191</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56258-2025</t>
        </is>
      </c>
      <c r="B938" s="1" t="n">
        <v>45974</v>
      </c>
      <c r="C938" s="1" t="n">
        <v>46191</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21908-2026</t>
        </is>
      </c>
      <c r="B939" s="1" t="n">
        <v>46150</v>
      </c>
      <c r="C939" s="1" t="n">
        <v>46191</v>
      </c>
      <c r="D939" t="inlineStr">
        <is>
          <t>VÄRMLANDS LÄN</t>
        </is>
      </c>
      <c r="E939" t="inlineStr">
        <is>
          <t>TORSBY</t>
        </is>
      </c>
      <c r="F939" t="inlineStr">
        <is>
          <t>Bergvik skog väst AB</t>
        </is>
      </c>
      <c r="G939" t="n">
        <v>2.5</v>
      </c>
      <c r="H939" t="n">
        <v>0</v>
      </c>
      <c r="I939" t="n">
        <v>0</v>
      </c>
      <c r="J939" t="n">
        <v>0</v>
      </c>
      <c r="K939" t="n">
        <v>0</v>
      </c>
      <c r="L939" t="n">
        <v>0</v>
      </c>
      <c r="M939" t="n">
        <v>0</v>
      </c>
      <c r="N939" t="n">
        <v>0</v>
      </c>
      <c r="O939" t="n">
        <v>0</v>
      </c>
      <c r="P939" t="n">
        <v>0</v>
      </c>
      <c r="Q939" t="n">
        <v>0</v>
      </c>
      <c r="R939" s="2" t="inlineStr"/>
    </row>
    <row r="940" ht="15" customHeight="1">
      <c r="A940" t="inlineStr">
        <is>
          <t>A 56098-2025</t>
        </is>
      </c>
      <c r="B940" s="1" t="n">
        <v>45973</v>
      </c>
      <c r="C940" s="1" t="n">
        <v>46191</v>
      </c>
      <c r="D940" t="inlineStr">
        <is>
          <t>VÄRMLANDS LÄN</t>
        </is>
      </c>
      <c r="E940" t="inlineStr">
        <is>
          <t>TORSBY</t>
        </is>
      </c>
      <c r="F940" t="inlineStr">
        <is>
          <t>Kyrkan</t>
        </is>
      </c>
      <c r="G940" t="n">
        <v>3.8</v>
      </c>
      <c r="H940" t="n">
        <v>0</v>
      </c>
      <c r="I940" t="n">
        <v>0</v>
      </c>
      <c r="J940" t="n">
        <v>0</v>
      </c>
      <c r="K940" t="n">
        <v>0</v>
      </c>
      <c r="L940" t="n">
        <v>0</v>
      </c>
      <c r="M940" t="n">
        <v>0</v>
      </c>
      <c r="N940" t="n">
        <v>0</v>
      </c>
      <c r="O940" t="n">
        <v>0</v>
      </c>
      <c r="P940" t="n">
        <v>0</v>
      </c>
      <c r="Q940" t="n">
        <v>0</v>
      </c>
      <c r="R940" s="2" t="inlineStr"/>
    </row>
    <row r="941" ht="15" customHeight="1">
      <c r="A941" t="inlineStr">
        <is>
          <t>A 54076-2025</t>
        </is>
      </c>
      <c r="B941" s="1" t="n">
        <v>45964</v>
      </c>
      <c r="C941" s="1" t="n">
        <v>46191</v>
      </c>
      <c r="D941" t="inlineStr">
        <is>
          <t>VÄRMLANDS LÄN</t>
        </is>
      </c>
      <c r="E941" t="inlineStr">
        <is>
          <t>TORSBY</t>
        </is>
      </c>
      <c r="F941" t="inlineStr">
        <is>
          <t>Övriga statliga verk och myndigheter</t>
        </is>
      </c>
      <c r="G941" t="n">
        <v>1</v>
      </c>
      <c r="H941" t="n">
        <v>0</v>
      </c>
      <c r="I941" t="n">
        <v>0</v>
      </c>
      <c r="J941" t="n">
        <v>0</v>
      </c>
      <c r="K941" t="n">
        <v>0</v>
      </c>
      <c r="L941" t="n">
        <v>0</v>
      </c>
      <c r="M941" t="n">
        <v>0</v>
      </c>
      <c r="N941" t="n">
        <v>0</v>
      </c>
      <c r="O941" t="n">
        <v>0</v>
      </c>
      <c r="P941" t="n">
        <v>0</v>
      </c>
      <c r="Q941" t="n">
        <v>0</v>
      </c>
      <c r="R941" s="2" t="inlineStr"/>
    </row>
    <row r="942" ht="15" customHeight="1">
      <c r="A942" t="inlineStr">
        <is>
          <t>A 15022-2025</t>
        </is>
      </c>
      <c r="B942" s="1" t="n">
        <v>45743</v>
      </c>
      <c r="C942" s="1" t="n">
        <v>46191</v>
      </c>
      <c r="D942" t="inlineStr">
        <is>
          <t>VÄRMLANDS LÄN</t>
        </is>
      </c>
      <c r="E942" t="inlineStr">
        <is>
          <t>TORSBY</t>
        </is>
      </c>
      <c r="G942" t="n">
        <v>7.2</v>
      </c>
      <c r="H942" t="n">
        <v>0</v>
      </c>
      <c r="I942" t="n">
        <v>0</v>
      </c>
      <c r="J942" t="n">
        <v>0</v>
      </c>
      <c r="K942" t="n">
        <v>0</v>
      </c>
      <c r="L942" t="n">
        <v>0</v>
      </c>
      <c r="M942" t="n">
        <v>0</v>
      </c>
      <c r="N942" t="n">
        <v>0</v>
      </c>
      <c r="O942" t="n">
        <v>0</v>
      </c>
      <c r="P942" t="n">
        <v>0</v>
      </c>
      <c r="Q942" t="n">
        <v>0</v>
      </c>
      <c r="R942" s="2" t="inlineStr"/>
    </row>
    <row r="943" ht="15" customHeight="1">
      <c r="A943" t="inlineStr">
        <is>
          <t>A 40009-2022</t>
        </is>
      </c>
      <c r="B943" s="1" t="n">
        <v>44820</v>
      </c>
      <c r="C943" s="1" t="n">
        <v>46191</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56033-2025</t>
        </is>
      </c>
      <c r="B944" s="1" t="n">
        <v>45973</v>
      </c>
      <c r="C944" s="1" t="n">
        <v>46191</v>
      </c>
      <c r="D944" t="inlineStr">
        <is>
          <t>VÄRMLANDS LÄN</t>
        </is>
      </c>
      <c r="E944" t="inlineStr">
        <is>
          <t>TORSBY</t>
        </is>
      </c>
      <c r="F944" t="inlineStr">
        <is>
          <t>Bergvik skog väst AB</t>
        </is>
      </c>
      <c r="G944" t="n">
        <v>5.3</v>
      </c>
      <c r="H944" t="n">
        <v>0</v>
      </c>
      <c r="I944" t="n">
        <v>0</v>
      </c>
      <c r="J944" t="n">
        <v>0</v>
      </c>
      <c r="K944" t="n">
        <v>0</v>
      </c>
      <c r="L944" t="n">
        <v>0</v>
      </c>
      <c r="M944" t="n">
        <v>0</v>
      </c>
      <c r="N944" t="n">
        <v>0</v>
      </c>
      <c r="O944" t="n">
        <v>0</v>
      </c>
      <c r="P944" t="n">
        <v>0</v>
      </c>
      <c r="Q944" t="n">
        <v>0</v>
      </c>
      <c r="R944" s="2" t="inlineStr"/>
    </row>
    <row r="945" ht="15" customHeight="1">
      <c r="A945" t="inlineStr">
        <is>
          <t>A 15023-2026</t>
        </is>
      </c>
      <c r="B945" s="1" t="n">
        <v>46104</v>
      </c>
      <c r="C945" s="1" t="n">
        <v>46191</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55863-2025</t>
        </is>
      </c>
      <c r="B946" s="1" t="n">
        <v>45973</v>
      </c>
      <c r="C946" s="1" t="n">
        <v>46191</v>
      </c>
      <c r="D946" t="inlineStr">
        <is>
          <t>VÄRMLANDS LÄN</t>
        </is>
      </c>
      <c r="E946" t="inlineStr">
        <is>
          <t>TORSBY</t>
        </is>
      </c>
      <c r="G946" t="n">
        <v>6.6</v>
      </c>
      <c r="H946" t="n">
        <v>0</v>
      </c>
      <c r="I946" t="n">
        <v>0</v>
      </c>
      <c r="J946" t="n">
        <v>0</v>
      </c>
      <c r="K946" t="n">
        <v>0</v>
      </c>
      <c r="L946" t="n">
        <v>0</v>
      </c>
      <c r="M946" t="n">
        <v>0</v>
      </c>
      <c r="N946" t="n">
        <v>0</v>
      </c>
      <c r="O946" t="n">
        <v>0</v>
      </c>
      <c r="P946" t="n">
        <v>0</v>
      </c>
      <c r="Q946" t="n">
        <v>0</v>
      </c>
      <c r="R946" s="2" t="inlineStr"/>
    </row>
    <row r="947" ht="15" customHeight="1">
      <c r="A947" t="inlineStr">
        <is>
          <t>A 16318-2026</t>
        </is>
      </c>
      <c r="B947" s="1" t="n">
        <v>46111</v>
      </c>
      <c r="C947" s="1" t="n">
        <v>46191</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57647-2023</t>
        </is>
      </c>
      <c r="B948" s="1" t="n">
        <v>45246</v>
      </c>
      <c r="C948" s="1" t="n">
        <v>46191</v>
      </c>
      <c r="D948" t="inlineStr">
        <is>
          <t>VÄRMLANDS LÄN</t>
        </is>
      </c>
      <c r="E948" t="inlineStr">
        <is>
          <t>TORSBY</t>
        </is>
      </c>
      <c r="G948" t="n">
        <v>10.3</v>
      </c>
      <c r="H948" t="n">
        <v>0</v>
      </c>
      <c r="I948" t="n">
        <v>0</v>
      </c>
      <c r="J948" t="n">
        <v>0</v>
      </c>
      <c r="K948" t="n">
        <v>0</v>
      </c>
      <c r="L948" t="n">
        <v>0</v>
      </c>
      <c r="M948" t="n">
        <v>0</v>
      </c>
      <c r="N948" t="n">
        <v>0</v>
      </c>
      <c r="O948" t="n">
        <v>0</v>
      </c>
      <c r="P948" t="n">
        <v>0</v>
      </c>
      <c r="Q948" t="n">
        <v>0</v>
      </c>
      <c r="R948" s="2" t="inlineStr"/>
    </row>
    <row r="949" ht="15" customHeight="1">
      <c r="A949" t="inlineStr">
        <is>
          <t>A 924-2024</t>
        </is>
      </c>
      <c r="B949" s="1" t="n">
        <v>45301</v>
      </c>
      <c r="C949" s="1" t="n">
        <v>46191</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56186-2025</t>
        </is>
      </c>
      <c r="B950" s="1" t="n">
        <v>45974</v>
      </c>
      <c r="C950" s="1" t="n">
        <v>46191</v>
      </c>
      <c r="D950" t="inlineStr">
        <is>
          <t>VÄRMLANDS LÄN</t>
        </is>
      </c>
      <c r="E950" t="inlineStr">
        <is>
          <t>TORSBY</t>
        </is>
      </c>
      <c r="G950" t="n">
        <v>4.3</v>
      </c>
      <c r="H950" t="n">
        <v>0</v>
      </c>
      <c r="I950" t="n">
        <v>0</v>
      </c>
      <c r="J950" t="n">
        <v>0</v>
      </c>
      <c r="K950" t="n">
        <v>0</v>
      </c>
      <c r="L950" t="n">
        <v>0</v>
      </c>
      <c r="M950" t="n">
        <v>0</v>
      </c>
      <c r="N950" t="n">
        <v>0</v>
      </c>
      <c r="O950" t="n">
        <v>0</v>
      </c>
      <c r="P950" t="n">
        <v>0</v>
      </c>
      <c r="Q950" t="n">
        <v>0</v>
      </c>
      <c r="R950" s="2" t="inlineStr"/>
    </row>
    <row r="951" ht="15" customHeight="1">
      <c r="A951" t="inlineStr">
        <is>
          <t>A 67933-2021</t>
        </is>
      </c>
      <c r="B951" s="1" t="n">
        <v>44525</v>
      </c>
      <c r="C951" s="1" t="n">
        <v>46191</v>
      </c>
      <c r="D951" t="inlineStr">
        <is>
          <t>VÄRMLANDS LÄN</t>
        </is>
      </c>
      <c r="E951" t="inlineStr">
        <is>
          <t>TORSBY</t>
        </is>
      </c>
      <c r="F951" t="inlineStr">
        <is>
          <t>Bergvik skog väst AB</t>
        </is>
      </c>
      <c r="G951" t="n">
        <v>4</v>
      </c>
      <c r="H951" t="n">
        <v>0</v>
      </c>
      <c r="I951" t="n">
        <v>0</v>
      </c>
      <c r="J951" t="n">
        <v>0</v>
      </c>
      <c r="K951" t="n">
        <v>0</v>
      </c>
      <c r="L951" t="n">
        <v>0</v>
      </c>
      <c r="M951" t="n">
        <v>0</v>
      </c>
      <c r="N951" t="n">
        <v>0</v>
      </c>
      <c r="O951" t="n">
        <v>0</v>
      </c>
      <c r="P951" t="n">
        <v>0</v>
      </c>
      <c r="Q951" t="n">
        <v>0</v>
      </c>
      <c r="R951" s="2" t="inlineStr"/>
    </row>
    <row r="952" ht="15" customHeight="1">
      <c r="A952" t="inlineStr">
        <is>
          <t>A 16919-2026</t>
        </is>
      </c>
      <c r="B952" s="1" t="n">
        <v>46113</v>
      </c>
      <c r="C952" s="1" t="n">
        <v>46191</v>
      </c>
      <c r="D952" t="inlineStr">
        <is>
          <t>VÄRMLANDS LÄN</t>
        </is>
      </c>
      <c r="E952" t="inlineStr">
        <is>
          <t>TORSBY</t>
        </is>
      </c>
      <c r="G952" t="n">
        <v>2.2</v>
      </c>
      <c r="H952" t="n">
        <v>0</v>
      </c>
      <c r="I952" t="n">
        <v>0</v>
      </c>
      <c r="J952" t="n">
        <v>0</v>
      </c>
      <c r="K952" t="n">
        <v>0</v>
      </c>
      <c r="L952" t="n">
        <v>0</v>
      </c>
      <c r="M952" t="n">
        <v>0</v>
      </c>
      <c r="N952" t="n">
        <v>0</v>
      </c>
      <c r="O952" t="n">
        <v>0</v>
      </c>
      <c r="P952" t="n">
        <v>0</v>
      </c>
      <c r="Q952" t="n">
        <v>0</v>
      </c>
      <c r="R952" s="2" t="inlineStr"/>
    </row>
    <row r="953" ht="15" customHeight="1">
      <c r="A953" t="inlineStr">
        <is>
          <t>A 37822-2023</t>
        </is>
      </c>
      <c r="B953" s="1" t="n">
        <v>45160</v>
      </c>
      <c r="C953" s="1" t="n">
        <v>46191</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30789-2024</t>
        </is>
      </c>
      <c r="B954" s="1" t="n">
        <v>45497</v>
      </c>
      <c r="C954" s="1" t="n">
        <v>46191</v>
      </c>
      <c r="D954" t="inlineStr">
        <is>
          <t>VÄRMLANDS LÄN</t>
        </is>
      </c>
      <c r="E954" t="inlineStr">
        <is>
          <t>TORSBY</t>
        </is>
      </c>
      <c r="G954" t="n">
        <v>5.2</v>
      </c>
      <c r="H954" t="n">
        <v>0</v>
      </c>
      <c r="I954" t="n">
        <v>0</v>
      </c>
      <c r="J954" t="n">
        <v>0</v>
      </c>
      <c r="K954" t="n">
        <v>0</v>
      </c>
      <c r="L954" t="n">
        <v>0</v>
      </c>
      <c r="M954" t="n">
        <v>0</v>
      </c>
      <c r="N954" t="n">
        <v>0</v>
      </c>
      <c r="O954" t="n">
        <v>0</v>
      </c>
      <c r="P954" t="n">
        <v>0</v>
      </c>
      <c r="Q954" t="n">
        <v>0</v>
      </c>
      <c r="R954" s="2" t="inlineStr"/>
    </row>
    <row r="955" ht="15" customHeight="1">
      <c r="A955" t="inlineStr">
        <is>
          <t>A 56263-2025</t>
        </is>
      </c>
      <c r="B955" s="1" t="n">
        <v>45974</v>
      </c>
      <c r="C955" s="1" t="n">
        <v>46191</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56052-2025</t>
        </is>
      </c>
      <c r="B956" s="1" t="n">
        <v>45973</v>
      </c>
      <c r="C956" s="1" t="n">
        <v>46191</v>
      </c>
      <c r="D956" t="inlineStr">
        <is>
          <t>VÄRMLANDS LÄN</t>
        </is>
      </c>
      <c r="E956" t="inlineStr">
        <is>
          <t>TORSBY</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56761-2025</t>
        </is>
      </c>
      <c r="B957" s="1" t="n">
        <v>45978</v>
      </c>
      <c r="C957" s="1" t="n">
        <v>46191</v>
      </c>
      <c r="D957" t="inlineStr">
        <is>
          <t>VÄRMLANDS LÄN</t>
        </is>
      </c>
      <c r="E957" t="inlineStr">
        <is>
          <t>TORSBY</t>
        </is>
      </c>
      <c r="F957" t="inlineStr">
        <is>
          <t>Bergvik skog väst AB</t>
        </is>
      </c>
      <c r="G957" t="n">
        <v>2.4</v>
      </c>
      <c r="H957" t="n">
        <v>0</v>
      </c>
      <c r="I957" t="n">
        <v>0</v>
      </c>
      <c r="J957" t="n">
        <v>0</v>
      </c>
      <c r="K957" t="n">
        <v>0</v>
      </c>
      <c r="L957" t="n">
        <v>0</v>
      </c>
      <c r="M957" t="n">
        <v>0</v>
      </c>
      <c r="N957" t="n">
        <v>0</v>
      </c>
      <c r="O957" t="n">
        <v>0</v>
      </c>
      <c r="P957" t="n">
        <v>0</v>
      </c>
      <c r="Q957" t="n">
        <v>0</v>
      </c>
      <c r="R957" s="2" t="inlineStr"/>
    </row>
    <row r="958" ht="15" customHeight="1">
      <c r="A958" t="inlineStr">
        <is>
          <t>A 22280-2026</t>
        </is>
      </c>
      <c r="B958" s="1" t="n">
        <v>46154</v>
      </c>
      <c r="C958" s="1" t="n">
        <v>46191</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56848-2025</t>
        </is>
      </c>
      <c r="B959" s="1" t="n">
        <v>45978</v>
      </c>
      <c r="C959" s="1" t="n">
        <v>46191</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57072-2022</t>
        </is>
      </c>
      <c r="B960" s="1" t="n">
        <v>44895</v>
      </c>
      <c r="C960" s="1" t="n">
        <v>46191</v>
      </c>
      <c r="D960" t="inlineStr">
        <is>
          <t>VÄRMLANDS LÄN</t>
        </is>
      </c>
      <c r="E960" t="inlineStr">
        <is>
          <t>TORSBY</t>
        </is>
      </c>
      <c r="F960" t="inlineStr">
        <is>
          <t>Övriga statliga verk och myndigheter</t>
        </is>
      </c>
      <c r="G960" t="n">
        <v>7.8</v>
      </c>
      <c r="H960" t="n">
        <v>0</v>
      </c>
      <c r="I960" t="n">
        <v>0</v>
      </c>
      <c r="J960" t="n">
        <v>0</v>
      </c>
      <c r="K960" t="n">
        <v>0</v>
      </c>
      <c r="L960" t="n">
        <v>0</v>
      </c>
      <c r="M960" t="n">
        <v>0</v>
      </c>
      <c r="N960" t="n">
        <v>0</v>
      </c>
      <c r="O960" t="n">
        <v>0</v>
      </c>
      <c r="P960" t="n">
        <v>0</v>
      </c>
      <c r="Q960" t="n">
        <v>0</v>
      </c>
      <c r="R960" s="2" t="inlineStr"/>
    </row>
    <row r="961" ht="15" customHeight="1">
      <c r="A961" t="inlineStr">
        <is>
          <t>A 56784-2025</t>
        </is>
      </c>
      <c r="B961" s="1" t="n">
        <v>45978</v>
      </c>
      <c r="C961" s="1" t="n">
        <v>46191</v>
      </c>
      <c r="D961" t="inlineStr">
        <is>
          <t>VÄRMLANDS LÄN</t>
        </is>
      </c>
      <c r="E961" t="inlineStr">
        <is>
          <t>TORSBY</t>
        </is>
      </c>
      <c r="F961" t="inlineStr">
        <is>
          <t>Bergvik skog väst AB</t>
        </is>
      </c>
      <c r="G961" t="n">
        <v>5.7</v>
      </c>
      <c r="H961" t="n">
        <v>0</v>
      </c>
      <c r="I961" t="n">
        <v>0</v>
      </c>
      <c r="J961" t="n">
        <v>0</v>
      </c>
      <c r="K961" t="n">
        <v>0</v>
      </c>
      <c r="L961" t="n">
        <v>0</v>
      </c>
      <c r="M961" t="n">
        <v>0</v>
      </c>
      <c r="N961" t="n">
        <v>0</v>
      </c>
      <c r="O961" t="n">
        <v>0</v>
      </c>
      <c r="P961" t="n">
        <v>0</v>
      </c>
      <c r="Q961" t="n">
        <v>0</v>
      </c>
      <c r="R961" s="2" t="inlineStr"/>
    </row>
    <row r="962" ht="15" customHeight="1">
      <c r="A962" t="inlineStr">
        <is>
          <t>A 56785-2025</t>
        </is>
      </c>
      <c r="B962" s="1" t="n">
        <v>45978</v>
      </c>
      <c r="C962" s="1" t="n">
        <v>46191</v>
      </c>
      <c r="D962" t="inlineStr">
        <is>
          <t>VÄRMLANDS LÄN</t>
        </is>
      </c>
      <c r="E962" t="inlineStr">
        <is>
          <t>TORSBY</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16452-2026</t>
        </is>
      </c>
      <c r="B963" s="1" t="n">
        <v>46112</v>
      </c>
      <c r="C963" s="1" t="n">
        <v>46191</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35107-2024</t>
        </is>
      </c>
      <c r="B964" s="1" t="n">
        <v>45529</v>
      </c>
      <c r="C964" s="1" t="n">
        <v>46191</v>
      </c>
      <c r="D964" t="inlineStr">
        <is>
          <t>VÄRMLANDS LÄN</t>
        </is>
      </c>
      <c r="E964" t="inlineStr">
        <is>
          <t>TORSBY</t>
        </is>
      </c>
      <c r="G964" t="n">
        <v>5.1</v>
      </c>
      <c r="H964" t="n">
        <v>0</v>
      </c>
      <c r="I964" t="n">
        <v>0</v>
      </c>
      <c r="J964" t="n">
        <v>0</v>
      </c>
      <c r="K964" t="n">
        <v>0</v>
      </c>
      <c r="L964" t="n">
        <v>0</v>
      </c>
      <c r="M964" t="n">
        <v>0</v>
      </c>
      <c r="N964" t="n">
        <v>0</v>
      </c>
      <c r="O964" t="n">
        <v>0</v>
      </c>
      <c r="P964" t="n">
        <v>0</v>
      </c>
      <c r="Q964" t="n">
        <v>0</v>
      </c>
      <c r="R964" s="2" t="inlineStr"/>
    </row>
    <row r="965" ht="15" customHeight="1">
      <c r="A965" t="inlineStr">
        <is>
          <t>A 16543-2026</t>
        </is>
      </c>
      <c r="B965" s="1" t="n">
        <v>46112</v>
      </c>
      <c r="C965" s="1" t="n">
        <v>46191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56772-2025</t>
        </is>
      </c>
      <c r="B966" s="1" t="n">
        <v>45978</v>
      </c>
      <c r="C966" s="1" t="n">
        <v>46191</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22541-2026</t>
        </is>
      </c>
      <c r="B967" s="1" t="n">
        <v>46155</v>
      </c>
      <c r="C967" s="1" t="n">
        <v>46191</v>
      </c>
      <c r="D967" t="inlineStr">
        <is>
          <t>VÄRMLANDS LÄN</t>
        </is>
      </c>
      <c r="E967" t="inlineStr">
        <is>
          <t>TORSBY</t>
        </is>
      </c>
      <c r="F967" t="inlineStr">
        <is>
          <t>Bergvik skog väst AB</t>
        </is>
      </c>
      <c r="G967" t="n">
        <v>19.8</v>
      </c>
      <c r="H967" t="n">
        <v>0</v>
      </c>
      <c r="I967" t="n">
        <v>0</v>
      </c>
      <c r="J967" t="n">
        <v>0</v>
      </c>
      <c r="K967" t="n">
        <v>0</v>
      </c>
      <c r="L967" t="n">
        <v>0</v>
      </c>
      <c r="M967" t="n">
        <v>0</v>
      </c>
      <c r="N967" t="n">
        <v>0</v>
      </c>
      <c r="O967" t="n">
        <v>0</v>
      </c>
      <c r="P967" t="n">
        <v>0</v>
      </c>
      <c r="Q967" t="n">
        <v>0</v>
      </c>
      <c r="R967" s="2" t="inlineStr"/>
    </row>
    <row r="968" ht="15" customHeight="1">
      <c r="A968" t="inlineStr">
        <is>
          <t>A 56778-2025</t>
        </is>
      </c>
      <c r="B968" s="1" t="n">
        <v>45978</v>
      </c>
      <c r="C968" s="1" t="n">
        <v>46191</v>
      </c>
      <c r="D968" t="inlineStr">
        <is>
          <t>VÄRMLANDS LÄN</t>
        </is>
      </c>
      <c r="E968" t="inlineStr">
        <is>
          <t>TORSBY</t>
        </is>
      </c>
      <c r="G968" t="n">
        <v>3.8</v>
      </c>
      <c r="H968" t="n">
        <v>0</v>
      </c>
      <c r="I968" t="n">
        <v>0</v>
      </c>
      <c r="J968" t="n">
        <v>0</v>
      </c>
      <c r="K968" t="n">
        <v>0</v>
      </c>
      <c r="L968" t="n">
        <v>0</v>
      </c>
      <c r="M968" t="n">
        <v>0</v>
      </c>
      <c r="N968" t="n">
        <v>0</v>
      </c>
      <c r="O968" t="n">
        <v>0</v>
      </c>
      <c r="P968" t="n">
        <v>0</v>
      </c>
      <c r="Q968" t="n">
        <v>0</v>
      </c>
      <c r="R968" s="2" t="inlineStr"/>
    </row>
    <row r="969" ht="15" customHeight="1">
      <c r="A969" t="inlineStr">
        <is>
          <t>A 16867-2026</t>
        </is>
      </c>
      <c r="B969" s="1" t="n">
        <v>46113</v>
      </c>
      <c r="C969" s="1" t="n">
        <v>46191</v>
      </c>
      <c r="D969" t="inlineStr">
        <is>
          <t>VÄRMLANDS LÄN</t>
        </is>
      </c>
      <c r="E969" t="inlineStr">
        <is>
          <t>TORSBY</t>
        </is>
      </c>
      <c r="G969" t="n">
        <v>6.3</v>
      </c>
      <c r="H969" t="n">
        <v>0</v>
      </c>
      <c r="I969" t="n">
        <v>0</v>
      </c>
      <c r="J969" t="n">
        <v>0</v>
      </c>
      <c r="K969" t="n">
        <v>0</v>
      </c>
      <c r="L969" t="n">
        <v>0</v>
      </c>
      <c r="M969" t="n">
        <v>0</v>
      </c>
      <c r="N969" t="n">
        <v>0</v>
      </c>
      <c r="O969" t="n">
        <v>0</v>
      </c>
      <c r="P969" t="n">
        <v>0</v>
      </c>
      <c r="Q969" t="n">
        <v>0</v>
      </c>
      <c r="R969" s="2" t="inlineStr"/>
    </row>
    <row r="970" ht="15" customHeight="1">
      <c r="A970" t="inlineStr">
        <is>
          <t>A 16906-2026</t>
        </is>
      </c>
      <c r="B970" s="1" t="n">
        <v>46113</v>
      </c>
      <c r="C970" s="1" t="n">
        <v>46191</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16679-2026</t>
        </is>
      </c>
      <c r="B971" s="1" t="n">
        <v>46112</v>
      </c>
      <c r="C971" s="1" t="n">
        <v>46191</v>
      </c>
      <c r="D971" t="inlineStr">
        <is>
          <t>VÄRMLANDS LÄN</t>
        </is>
      </c>
      <c r="E971" t="inlineStr">
        <is>
          <t>TORSBY</t>
        </is>
      </c>
      <c r="G971" t="n">
        <v>3.2</v>
      </c>
      <c r="H971" t="n">
        <v>0</v>
      </c>
      <c r="I971" t="n">
        <v>0</v>
      </c>
      <c r="J971" t="n">
        <v>0</v>
      </c>
      <c r="K971" t="n">
        <v>0</v>
      </c>
      <c r="L971" t="n">
        <v>0</v>
      </c>
      <c r="M971" t="n">
        <v>0</v>
      </c>
      <c r="N971" t="n">
        <v>0</v>
      </c>
      <c r="O971" t="n">
        <v>0</v>
      </c>
      <c r="P971" t="n">
        <v>0</v>
      </c>
      <c r="Q971" t="n">
        <v>0</v>
      </c>
      <c r="R971" s="2" t="inlineStr"/>
    </row>
    <row r="972" ht="15" customHeight="1">
      <c r="A972" t="inlineStr">
        <is>
          <t>A 46424-2023</t>
        </is>
      </c>
      <c r="B972" s="1" t="n">
        <v>45197</v>
      </c>
      <c r="C972" s="1" t="n">
        <v>46191</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69878-2021</t>
        </is>
      </c>
      <c r="B973" s="1" t="n">
        <v>44532</v>
      </c>
      <c r="C973" s="1" t="n">
        <v>46191</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56786-2025</t>
        </is>
      </c>
      <c r="B974" s="1" t="n">
        <v>45978</v>
      </c>
      <c r="C974" s="1" t="n">
        <v>46191</v>
      </c>
      <c r="D974" t="inlineStr">
        <is>
          <t>VÄRMLANDS LÄN</t>
        </is>
      </c>
      <c r="E974" t="inlineStr">
        <is>
          <t>TORSBY</t>
        </is>
      </c>
      <c r="F974" t="inlineStr">
        <is>
          <t>Bergvik skog väst AB</t>
        </is>
      </c>
      <c r="G974" t="n">
        <v>2.5</v>
      </c>
      <c r="H974" t="n">
        <v>0</v>
      </c>
      <c r="I974" t="n">
        <v>0</v>
      </c>
      <c r="J974" t="n">
        <v>0</v>
      </c>
      <c r="K974" t="n">
        <v>0</v>
      </c>
      <c r="L974" t="n">
        <v>0</v>
      </c>
      <c r="M974" t="n">
        <v>0</v>
      </c>
      <c r="N974" t="n">
        <v>0</v>
      </c>
      <c r="O974" t="n">
        <v>0</v>
      </c>
      <c r="P974" t="n">
        <v>0</v>
      </c>
      <c r="Q974" t="n">
        <v>0</v>
      </c>
      <c r="R974" s="2" t="inlineStr"/>
    </row>
    <row r="975" ht="15" customHeight="1">
      <c r="A975" t="inlineStr">
        <is>
          <t>A 16910-2026</t>
        </is>
      </c>
      <c r="B975" s="1" t="n">
        <v>46113</v>
      </c>
      <c r="C975" s="1" t="n">
        <v>46191</v>
      </c>
      <c r="D975" t="inlineStr">
        <is>
          <t>VÄRMLANDS LÄN</t>
        </is>
      </c>
      <c r="E975" t="inlineStr">
        <is>
          <t>TORSBY</t>
        </is>
      </c>
      <c r="G975" t="n">
        <v>2.8</v>
      </c>
      <c r="H975" t="n">
        <v>0</v>
      </c>
      <c r="I975" t="n">
        <v>0</v>
      </c>
      <c r="J975" t="n">
        <v>0</v>
      </c>
      <c r="K975" t="n">
        <v>0</v>
      </c>
      <c r="L975" t="n">
        <v>0</v>
      </c>
      <c r="M975" t="n">
        <v>0</v>
      </c>
      <c r="N975" t="n">
        <v>0</v>
      </c>
      <c r="O975" t="n">
        <v>0</v>
      </c>
      <c r="P975" t="n">
        <v>0</v>
      </c>
      <c r="Q975" t="n">
        <v>0</v>
      </c>
      <c r="R975" s="2" t="inlineStr"/>
    </row>
    <row r="976" ht="15" customHeight="1">
      <c r="A976" t="inlineStr">
        <is>
          <t>A 1547-2024</t>
        </is>
      </c>
      <c r="B976" s="1" t="n">
        <v>45306</v>
      </c>
      <c r="C976" s="1" t="n">
        <v>46191</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72200-2021</t>
        </is>
      </c>
      <c r="B977" s="1" t="n">
        <v>44544</v>
      </c>
      <c r="C977" s="1" t="n">
        <v>46191</v>
      </c>
      <c r="D977" t="inlineStr">
        <is>
          <t>VÄRMLANDS LÄN</t>
        </is>
      </c>
      <c r="E977" t="inlineStr">
        <is>
          <t>TORSBY</t>
        </is>
      </c>
      <c r="G977" t="n">
        <v>3.3</v>
      </c>
      <c r="H977" t="n">
        <v>0</v>
      </c>
      <c r="I977" t="n">
        <v>0</v>
      </c>
      <c r="J977" t="n">
        <v>0</v>
      </c>
      <c r="K977" t="n">
        <v>0</v>
      </c>
      <c r="L977" t="n">
        <v>0</v>
      </c>
      <c r="M977" t="n">
        <v>0</v>
      </c>
      <c r="N977" t="n">
        <v>0</v>
      </c>
      <c r="O977" t="n">
        <v>0</v>
      </c>
      <c r="P977" t="n">
        <v>0</v>
      </c>
      <c r="Q977" t="n">
        <v>0</v>
      </c>
      <c r="R977" s="2" t="inlineStr"/>
    </row>
    <row r="978" ht="15" customHeight="1">
      <c r="A978" t="inlineStr">
        <is>
          <t>A 22438-2026</t>
        </is>
      </c>
      <c r="B978" s="1" t="n">
        <v>46155</v>
      </c>
      <c r="C978" s="1" t="n">
        <v>46191</v>
      </c>
      <c r="D978" t="inlineStr">
        <is>
          <t>VÄRMLANDS LÄN</t>
        </is>
      </c>
      <c r="E978" t="inlineStr">
        <is>
          <t>TORSBY</t>
        </is>
      </c>
      <c r="F978" t="inlineStr">
        <is>
          <t>Bergvik skog väst AB</t>
        </is>
      </c>
      <c r="G978" t="n">
        <v>12.1</v>
      </c>
      <c r="H978" t="n">
        <v>0</v>
      </c>
      <c r="I978" t="n">
        <v>0</v>
      </c>
      <c r="J978" t="n">
        <v>0</v>
      </c>
      <c r="K978" t="n">
        <v>0</v>
      </c>
      <c r="L978" t="n">
        <v>0</v>
      </c>
      <c r="M978" t="n">
        <v>0</v>
      </c>
      <c r="N978" t="n">
        <v>0</v>
      </c>
      <c r="O978" t="n">
        <v>0</v>
      </c>
      <c r="P978" t="n">
        <v>0</v>
      </c>
      <c r="Q978" t="n">
        <v>0</v>
      </c>
      <c r="R978" s="2" t="inlineStr"/>
    </row>
    <row r="979" ht="15" customHeight="1">
      <c r="A979" t="inlineStr">
        <is>
          <t>A 41841-2023</t>
        </is>
      </c>
      <c r="B979" s="1" t="n">
        <v>45176</v>
      </c>
      <c r="C979" s="1" t="n">
        <v>46191</v>
      </c>
      <c r="D979" t="inlineStr">
        <is>
          <t>VÄRMLANDS LÄN</t>
        </is>
      </c>
      <c r="E979" t="inlineStr">
        <is>
          <t>TORSBY</t>
        </is>
      </c>
      <c r="G979" t="n">
        <v>6.3</v>
      </c>
      <c r="H979" t="n">
        <v>0</v>
      </c>
      <c r="I979" t="n">
        <v>0</v>
      </c>
      <c r="J979" t="n">
        <v>0</v>
      </c>
      <c r="K979" t="n">
        <v>0</v>
      </c>
      <c r="L979" t="n">
        <v>0</v>
      </c>
      <c r="M979" t="n">
        <v>0</v>
      </c>
      <c r="N979" t="n">
        <v>0</v>
      </c>
      <c r="O979" t="n">
        <v>0</v>
      </c>
      <c r="P979" t="n">
        <v>0</v>
      </c>
      <c r="Q979" t="n">
        <v>0</v>
      </c>
      <c r="R979" s="2" t="inlineStr"/>
    </row>
    <row r="980" ht="15" customHeight="1">
      <c r="A980" t="inlineStr">
        <is>
          <t>A 40007-2023</t>
        </is>
      </c>
      <c r="B980" s="1" t="n">
        <v>45168</v>
      </c>
      <c r="C980" s="1" t="n">
        <v>46191</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54865-2022</t>
        </is>
      </c>
      <c r="B981" s="1" t="n">
        <v>44884</v>
      </c>
      <c r="C981" s="1" t="n">
        <v>46191</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27270-2024</t>
        </is>
      </c>
      <c r="B982" s="1" t="n">
        <v>45471</v>
      </c>
      <c r="C982" s="1" t="n">
        <v>46191</v>
      </c>
      <c r="D982" t="inlineStr">
        <is>
          <t>VÄRMLANDS LÄN</t>
        </is>
      </c>
      <c r="E982" t="inlineStr">
        <is>
          <t>TORSBY</t>
        </is>
      </c>
      <c r="G982" t="n">
        <v>6.9</v>
      </c>
      <c r="H982" t="n">
        <v>0</v>
      </c>
      <c r="I982" t="n">
        <v>0</v>
      </c>
      <c r="J982" t="n">
        <v>0</v>
      </c>
      <c r="K982" t="n">
        <v>0</v>
      </c>
      <c r="L982" t="n">
        <v>0</v>
      </c>
      <c r="M982" t="n">
        <v>0</v>
      </c>
      <c r="N982" t="n">
        <v>0</v>
      </c>
      <c r="O982" t="n">
        <v>0</v>
      </c>
      <c r="P982" t="n">
        <v>0</v>
      </c>
      <c r="Q982" t="n">
        <v>0</v>
      </c>
      <c r="R982" s="2" t="inlineStr"/>
    </row>
    <row r="983" ht="15" customHeight="1">
      <c r="A983" t="inlineStr">
        <is>
          <t>A 27360-2024</t>
        </is>
      </c>
      <c r="B983" s="1" t="n">
        <v>45473</v>
      </c>
      <c r="C983" s="1" t="n">
        <v>46191</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3098-2023</t>
        </is>
      </c>
      <c r="B984" s="1" t="n">
        <v>44946</v>
      </c>
      <c r="C984" s="1" t="n">
        <v>46191</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3103-2023</t>
        </is>
      </c>
      <c r="B985" s="1" t="n">
        <v>44946</v>
      </c>
      <c r="C985" s="1" t="n">
        <v>46191</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16763-2026</t>
        </is>
      </c>
      <c r="B986" s="1" t="n">
        <v>46113</v>
      </c>
      <c r="C986" s="1" t="n">
        <v>46191</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55522-2023</t>
        </is>
      </c>
      <c r="B987" s="1" t="n">
        <v>45238</v>
      </c>
      <c r="C987" s="1" t="n">
        <v>46191</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57446-2025</t>
        </is>
      </c>
      <c r="B988" s="1" t="n">
        <v>45980</v>
      </c>
      <c r="C988" s="1" t="n">
        <v>46191</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22678-2026</t>
        </is>
      </c>
      <c r="B989" s="1" t="n">
        <v>46156</v>
      </c>
      <c r="C989" s="1" t="n">
        <v>46191</v>
      </c>
      <c r="D989" t="inlineStr">
        <is>
          <t>VÄRMLANDS LÄN</t>
        </is>
      </c>
      <c r="E989" t="inlineStr">
        <is>
          <t>TORSBY</t>
        </is>
      </c>
      <c r="F989" t="inlineStr">
        <is>
          <t>Bergvik skog väst AB</t>
        </is>
      </c>
      <c r="G989" t="n">
        <v>18.5</v>
      </c>
      <c r="H989" t="n">
        <v>0</v>
      </c>
      <c r="I989" t="n">
        <v>0</v>
      </c>
      <c r="J989" t="n">
        <v>0</v>
      </c>
      <c r="K989" t="n">
        <v>0</v>
      </c>
      <c r="L989" t="n">
        <v>0</v>
      </c>
      <c r="M989" t="n">
        <v>0</v>
      </c>
      <c r="N989" t="n">
        <v>0</v>
      </c>
      <c r="O989" t="n">
        <v>0</v>
      </c>
      <c r="P989" t="n">
        <v>0</v>
      </c>
      <c r="Q989" t="n">
        <v>0</v>
      </c>
      <c r="R989" s="2" t="inlineStr"/>
    </row>
    <row r="990" ht="15" customHeight="1">
      <c r="A990" t="inlineStr">
        <is>
          <t>A 4030-2024</t>
        </is>
      </c>
      <c r="B990" s="1" t="n">
        <v>45323</v>
      </c>
      <c r="C990" s="1" t="n">
        <v>46191</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35762-2024</t>
        </is>
      </c>
      <c r="B991" s="1" t="n">
        <v>45532</v>
      </c>
      <c r="C991" s="1" t="n">
        <v>46191</v>
      </c>
      <c r="D991" t="inlineStr">
        <is>
          <t>VÄRMLANDS LÄN</t>
        </is>
      </c>
      <c r="E991" t="inlineStr">
        <is>
          <t>TORSBY</t>
        </is>
      </c>
      <c r="G991" t="n">
        <v>11.8</v>
      </c>
      <c r="H991" t="n">
        <v>0</v>
      </c>
      <c r="I991" t="n">
        <v>0</v>
      </c>
      <c r="J991" t="n">
        <v>0</v>
      </c>
      <c r="K991" t="n">
        <v>0</v>
      </c>
      <c r="L991" t="n">
        <v>0</v>
      </c>
      <c r="M991" t="n">
        <v>0</v>
      </c>
      <c r="N991" t="n">
        <v>0</v>
      </c>
      <c r="O991" t="n">
        <v>0</v>
      </c>
      <c r="P991" t="n">
        <v>0</v>
      </c>
      <c r="Q991" t="n">
        <v>0</v>
      </c>
      <c r="R991" s="2" t="inlineStr"/>
    </row>
    <row r="992" ht="15" customHeight="1">
      <c r="A992" t="inlineStr">
        <is>
          <t>A 29925-2024</t>
        </is>
      </c>
      <c r="B992" s="1" t="n">
        <v>45488</v>
      </c>
      <c r="C992" s="1" t="n">
        <v>46191</v>
      </c>
      <c r="D992" t="inlineStr">
        <is>
          <t>VÄRMLANDS LÄN</t>
        </is>
      </c>
      <c r="E992" t="inlineStr">
        <is>
          <t>TORSBY</t>
        </is>
      </c>
      <c r="F992" t="inlineStr">
        <is>
          <t>Kyrkan</t>
        </is>
      </c>
      <c r="G992" t="n">
        <v>7.9</v>
      </c>
      <c r="H992" t="n">
        <v>0</v>
      </c>
      <c r="I992" t="n">
        <v>0</v>
      </c>
      <c r="J992" t="n">
        <v>0</v>
      </c>
      <c r="K992" t="n">
        <v>0</v>
      </c>
      <c r="L992" t="n">
        <v>0</v>
      </c>
      <c r="M992" t="n">
        <v>0</v>
      </c>
      <c r="N992" t="n">
        <v>0</v>
      </c>
      <c r="O992" t="n">
        <v>0</v>
      </c>
      <c r="P992" t="n">
        <v>0</v>
      </c>
      <c r="Q992" t="n">
        <v>0</v>
      </c>
      <c r="R992" s="2" t="inlineStr"/>
    </row>
    <row r="993" ht="15" customHeight="1">
      <c r="A993" t="inlineStr">
        <is>
          <t>A 29936-2024</t>
        </is>
      </c>
      <c r="B993" s="1" t="n">
        <v>45488</v>
      </c>
      <c r="C993" s="1" t="n">
        <v>46191</v>
      </c>
      <c r="D993" t="inlineStr">
        <is>
          <t>VÄRMLANDS LÄN</t>
        </is>
      </c>
      <c r="E993" t="inlineStr">
        <is>
          <t>TORSBY</t>
        </is>
      </c>
      <c r="F993" t="inlineStr">
        <is>
          <t>Kommuner</t>
        </is>
      </c>
      <c r="G993" t="n">
        <v>1.3</v>
      </c>
      <c r="H993" t="n">
        <v>0</v>
      </c>
      <c r="I993" t="n">
        <v>0</v>
      </c>
      <c r="J993" t="n">
        <v>0</v>
      </c>
      <c r="K993" t="n">
        <v>0</v>
      </c>
      <c r="L993" t="n">
        <v>0</v>
      </c>
      <c r="M993" t="n">
        <v>0</v>
      </c>
      <c r="N993" t="n">
        <v>0</v>
      </c>
      <c r="O993" t="n">
        <v>0</v>
      </c>
      <c r="P993" t="n">
        <v>0</v>
      </c>
      <c r="Q993" t="n">
        <v>0</v>
      </c>
      <c r="R993" s="2" t="inlineStr"/>
    </row>
    <row r="994" ht="15" customHeight="1">
      <c r="A994" t="inlineStr">
        <is>
          <t>A 2797-2025</t>
        </is>
      </c>
      <c r="B994" s="1" t="n">
        <v>45677</v>
      </c>
      <c r="C994" s="1" t="n">
        <v>46191</v>
      </c>
      <c r="D994" t="inlineStr">
        <is>
          <t>VÄRMLANDS LÄN</t>
        </is>
      </c>
      <c r="E994" t="inlineStr">
        <is>
          <t>TORSBY</t>
        </is>
      </c>
      <c r="G994" t="n">
        <v>1.7</v>
      </c>
      <c r="H994" t="n">
        <v>0</v>
      </c>
      <c r="I994" t="n">
        <v>0</v>
      </c>
      <c r="J994" t="n">
        <v>0</v>
      </c>
      <c r="K994" t="n">
        <v>0</v>
      </c>
      <c r="L994" t="n">
        <v>0</v>
      </c>
      <c r="M994" t="n">
        <v>0</v>
      </c>
      <c r="N994" t="n">
        <v>0</v>
      </c>
      <c r="O994" t="n">
        <v>0</v>
      </c>
      <c r="P994" t="n">
        <v>0</v>
      </c>
      <c r="Q994" t="n">
        <v>0</v>
      </c>
      <c r="R994" s="2" t="inlineStr"/>
    </row>
    <row r="995" ht="15" customHeight="1">
      <c r="A995" t="inlineStr">
        <is>
          <t>A 62510-2023</t>
        </is>
      </c>
      <c r="B995" s="1" t="n">
        <v>45268</v>
      </c>
      <c r="C995" s="1" t="n">
        <v>46191</v>
      </c>
      <c r="D995" t="inlineStr">
        <is>
          <t>VÄRMLANDS LÄN</t>
        </is>
      </c>
      <c r="E995" t="inlineStr">
        <is>
          <t>TORSBY</t>
        </is>
      </c>
      <c r="G995" t="n">
        <v>10.1</v>
      </c>
      <c r="H995" t="n">
        <v>0</v>
      </c>
      <c r="I995" t="n">
        <v>0</v>
      </c>
      <c r="J995" t="n">
        <v>0</v>
      </c>
      <c r="K995" t="n">
        <v>0</v>
      </c>
      <c r="L995" t="n">
        <v>0</v>
      </c>
      <c r="M995" t="n">
        <v>0</v>
      </c>
      <c r="N995" t="n">
        <v>0</v>
      </c>
      <c r="O995" t="n">
        <v>0</v>
      </c>
      <c r="P995" t="n">
        <v>0</v>
      </c>
      <c r="Q995" t="n">
        <v>0</v>
      </c>
      <c r="R995" s="2" t="inlineStr"/>
    </row>
    <row r="996" ht="15" customHeight="1">
      <c r="A996" t="inlineStr">
        <is>
          <t>A 17097-2026</t>
        </is>
      </c>
      <c r="B996" s="1" t="n">
        <v>46114</v>
      </c>
      <c r="C996" s="1" t="n">
        <v>46191</v>
      </c>
      <c r="D996" t="inlineStr">
        <is>
          <t>VÄRMLANDS LÄN</t>
        </is>
      </c>
      <c r="E996" t="inlineStr">
        <is>
          <t>TORSBY</t>
        </is>
      </c>
      <c r="F996" t="inlineStr">
        <is>
          <t>Bergvik skog väst AB</t>
        </is>
      </c>
      <c r="G996" t="n">
        <v>3.3</v>
      </c>
      <c r="H996" t="n">
        <v>0</v>
      </c>
      <c r="I996" t="n">
        <v>0</v>
      </c>
      <c r="J996" t="n">
        <v>0</v>
      </c>
      <c r="K996" t="n">
        <v>0</v>
      </c>
      <c r="L996" t="n">
        <v>0</v>
      </c>
      <c r="M996" t="n">
        <v>0</v>
      </c>
      <c r="N996" t="n">
        <v>0</v>
      </c>
      <c r="O996" t="n">
        <v>0</v>
      </c>
      <c r="P996" t="n">
        <v>0</v>
      </c>
      <c r="Q996" t="n">
        <v>0</v>
      </c>
      <c r="R996" s="2" t="inlineStr"/>
    </row>
    <row r="997" ht="15" customHeight="1">
      <c r="A997" t="inlineStr">
        <is>
          <t>A 27045-2024</t>
        </is>
      </c>
      <c r="B997" s="1" t="n">
        <v>45471</v>
      </c>
      <c r="C997" s="1" t="n">
        <v>46191</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27090-2024</t>
        </is>
      </c>
      <c r="B998" s="1" t="n">
        <v>45471</v>
      </c>
      <c r="C998" s="1" t="n">
        <v>46191</v>
      </c>
      <c r="D998" t="inlineStr">
        <is>
          <t>VÄRMLANDS LÄN</t>
        </is>
      </c>
      <c r="E998" t="inlineStr">
        <is>
          <t>TORSBY</t>
        </is>
      </c>
      <c r="G998" t="n">
        <v>0.4</v>
      </c>
      <c r="H998" t="n">
        <v>0</v>
      </c>
      <c r="I998" t="n">
        <v>0</v>
      </c>
      <c r="J998" t="n">
        <v>0</v>
      </c>
      <c r="K998" t="n">
        <v>0</v>
      </c>
      <c r="L998" t="n">
        <v>0</v>
      </c>
      <c r="M998" t="n">
        <v>0</v>
      </c>
      <c r="N998" t="n">
        <v>0</v>
      </c>
      <c r="O998" t="n">
        <v>0</v>
      </c>
      <c r="P998" t="n">
        <v>0</v>
      </c>
      <c r="Q998" t="n">
        <v>0</v>
      </c>
      <c r="R998" s="2" t="inlineStr"/>
    </row>
    <row r="999" ht="15" customHeight="1">
      <c r="A999" t="inlineStr">
        <is>
          <t>A 22716-2026</t>
        </is>
      </c>
      <c r="B999" s="1" t="n">
        <v>46156</v>
      </c>
      <c r="C999" s="1" t="n">
        <v>46191</v>
      </c>
      <c r="D999" t="inlineStr">
        <is>
          <t>VÄRMLANDS LÄN</t>
        </is>
      </c>
      <c r="E999" t="inlineStr">
        <is>
          <t>TORSBY</t>
        </is>
      </c>
      <c r="G999" t="n">
        <v>1.5</v>
      </c>
      <c r="H999" t="n">
        <v>0</v>
      </c>
      <c r="I999" t="n">
        <v>0</v>
      </c>
      <c r="J999" t="n">
        <v>0</v>
      </c>
      <c r="K999" t="n">
        <v>0</v>
      </c>
      <c r="L999" t="n">
        <v>0</v>
      </c>
      <c r="M999" t="n">
        <v>0</v>
      </c>
      <c r="N999" t="n">
        <v>0</v>
      </c>
      <c r="O999" t="n">
        <v>0</v>
      </c>
      <c r="P999" t="n">
        <v>0</v>
      </c>
      <c r="Q999" t="n">
        <v>0</v>
      </c>
      <c r="R999" s="2" t="inlineStr"/>
    </row>
    <row r="1000" ht="15" customHeight="1">
      <c r="A1000" t="inlineStr">
        <is>
          <t>A 57137-2025</t>
        </is>
      </c>
      <c r="B1000" s="1" t="n">
        <v>45979</v>
      </c>
      <c r="C1000" s="1" t="n">
        <v>46191</v>
      </c>
      <c r="D1000" t="inlineStr">
        <is>
          <t>VÄRMLANDS LÄN</t>
        </is>
      </c>
      <c r="E1000" t="inlineStr">
        <is>
          <t>TORSBY</t>
        </is>
      </c>
      <c r="F1000" t="inlineStr">
        <is>
          <t>Övriga statliga verk och myndigheter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22691-2026</t>
        </is>
      </c>
      <c r="B1001" s="1" t="n">
        <v>46156</v>
      </c>
      <c r="C1001" s="1" t="n">
        <v>46191</v>
      </c>
      <c r="D1001" t="inlineStr">
        <is>
          <t>VÄRMLANDS LÄN</t>
        </is>
      </c>
      <c r="E1001" t="inlineStr">
        <is>
          <t>TORSBY</t>
        </is>
      </c>
      <c r="F1001" t="inlineStr">
        <is>
          <t>Bergvik skog väst AB</t>
        </is>
      </c>
      <c r="G1001" t="n">
        <v>15.7</v>
      </c>
      <c r="H1001" t="n">
        <v>0</v>
      </c>
      <c r="I1001" t="n">
        <v>0</v>
      </c>
      <c r="J1001" t="n">
        <v>0</v>
      </c>
      <c r="K1001" t="n">
        <v>0</v>
      </c>
      <c r="L1001" t="n">
        <v>0</v>
      </c>
      <c r="M1001" t="n">
        <v>0</v>
      </c>
      <c r="N1001" t="n">
        <v>0</v>
      </c>
      <c r="O1001" t="n">
        <v>0</v>
      </c>
      <c r="P1001" t="n">
        <v>0</v>
      </c>
      <c r="Q1001" t="n">
        <v>0</v>
      </c>
      <c r="R1001" s="2" t="inlineStr"/>
    </row>
    <row r="1002" ht="15" customHeight="1">
      <c r="A1002" t="inlineStr">
        <is>
          <t>A 22717-2026</t>
        </is>
      </c>
      <c r="B1002" s="1" t="n">
        <v>46156</v>
      </c>
      <c r="C1002" s="1" t="n">
        <v>46191</v>
      </c>
      <c r="D1002" t="inlineStr">
        <is>
          <t>VÄRMLANDS LÄN</t>
        </is>
      </c>
      <c r="E1002" t="inlineStr">
        <is>
          <t>TORSBY</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17146-2026</t>
        </is>
      </c>
      <c r="B1003" s="1" t="n">
        <v>46114</v>
      </c>
      <c r="C1003" s="1" t="n">
        <v>46191</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17121-2026</t>
        </is>
      </c>
      <c r="B1004" s="1" t="n">
        <v>46114</v>
      </c>
      <c r="C1004" s="1" t="n">
        <v>46191</v>
      </c>
      <c r="D1004" t="inlineStr">
        <is>
          <t>VÄRMLANDS LÄN</t>
        </is>
      </c>
      <c r="E1004" t="inlineStr">
        <is>
          <t>TORSBY</t>
        </is>
      </c>
      <c r="F1004" t="inlineStr">
        <is>
          <t>Bergvik skog väst AB</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16963-2026</t>
        </is>
      </c>
      <c r="B1005" s="1" t="n">
        <v>46114</v>
      </c>
      <c r="C1005" s="1" t="n">
        <v>46191</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33429-2024</t>
        </is>
      </c>
      <c r="B1006" s="1" t="n">
        <v>45519</v>
      </c>
      <c r="C1006" s="1" t="n">
        <v>46191</v>
      </c>
      <c r="D1006" t="inlineStr">
        <is>
          <t>VÄRMLANDS LÄN</t>
        </is>
      </c>
      <c r="E1006" t="inlineStr">
        <is>
          <t>TORSBY</t>
        </is>
      </c>
      <c r="F1006" t="inlineStr">
        <is>
          <t>Bergvik skog väst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23078-2026</t>
        </is>
      </c>
      <c r="B1007" s="1" t="n">
        <v>46161</v>
      </c>
      <c r="C1007" s="1" t="n">
        <v>46191</v>
      </c>
      <c r="D1007" t="inlineStr">
        <is>
          <t>VÄRMLANDS LÄN</t>
        </is>
      </c>
      <c r="E1007" t="inlineStr">
        <is>
          <t>TORSBY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22949-2026</t>
        </is>
      </c>
      <c r="B1008" s="1" t="n">
        <v>46160</v>
      </c>
      <c r="C1008" s="1" t="n">
        <v>46191</v>
      </c>
      <c r="D1008" t="inlineStr">
        <is>
          <t>VÄRMLANDS LÄN</t>
        </is>
      </c>
      <c r="E1008" t="inlineStr">
        <is>
          <t>TORSBY</t>
        </is>
      </c>
      <c r="F1008" t="inlineStr">
        <is>
          <t>Bergvik skog väst AB</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57931-2025</t>
        </is>
      </c>
      <c r="B1009" s="1" t="n">
        <v>45981</v>
      </c>
      <c r="C1009" s="1" t="n">
        <v>46191</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25316-2024</t>
        </is>
      </c>
      <c r="B1010" s="1" t="n">
        <v>45462</v>
      </c>
      <c r="C1010" s="1" t="n">
        <v>46191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23009-2026</t>
        </is>
      </c>
      <c r="B1011" s="1" t="n">
        <v>46161</v>
      </c>
      <c r="C1011" s="1" t="n">
        <v>46191</v>
      </c>
      <c r="D1011" t="inlineStr">
        <is>
          <t>VÄRMLANDS LÄN</t>
        </is>
      </c>
      <c r="E1011" t="inlineStr">
        <is>
          <t>TORSBY</t>
        </is>
      </c>
      <c r="F1011" t="inlineStr">
        <is>
          <t>Bergvik skog väst AB</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22903-2026</t>
        </is>
      </c>
      <c r="B1012" s="1" t="n">
        <v>46160</v>
      </c>
      <c r="C1012" s="1" t="n">
        <v>46191</v>
      </c>
      <c r="D1012" t="inlineStr">
        <is>
          <t>VÄRMLANDS LÄN</t>
        </is>
      </c>
      <c r="E1012" t="inlineStr">
        <is>
          <t>TORSBY</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22952-2026</t>
        </is>
      </c>
      <c r="B1013" s="1" t="n">
        <v>46160</v>
      </c>
      <c r="C1013" s="1" t="n">
        <v>46191</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58246-2025</t>
        </is>
      </c>
      <c r="B1014" s="1" t="n">
        <v>45981</v>
      </c>
      <c r="C1014" s="1" t="n">
        <v>46191</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15899-2024</t>
        </is>
      </c>
      <c r="B1015" s="1" t="n">
        <v>45405</v>
      </c>
      <c r="C1015" s="1" t="n">
        <v>46191</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1803-2024</t>
        </is>
      </c>
      <c r="B1016" s="1" t="n">
        <v>45307</v>
      </c>
      <c r="C1016" s="1" t="n">
        <v>46191</v>
      </c>
      <c r="D1016" t="inlineStr">
        <is>
          <t>VÄRMLANDS LÄN</t>
        </is>
      </c>
      <c r="E1016" t="inlineStr">
        <is>
          <t>TORSBY</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36419-2024</t>
        </is>
      </c>
      <c r="B1017" s="1" t="n">
        <v>45536</v>
      </c>
      <c r="C1017" s="1" t="n">
        <v>46191</v>
      </c>
      <c r="D1017" t="inlineStr">
        <is>
          <t>VÄRMLANDS LÄN</t>
        </is>
      </c>
      <c r="E1017" t="inlineStr">
        <is>
          <t>TORSBY</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54714-2023</t>
        </is>
      </c>
      <c r="B1018" s="1" t="n">
        <v>45236</v>
      </c>
      <c r="C1018" s="1" t="n">
        <v>46191</v>
      </c>
      <c r="D1018" t="inlineStr">
        <is>
          <t>VÄRMLANDS LÄN</t>
        </is>
      </c>
      <c r="E1018" t="inlineStr">
        <is>
          <t>TORSBY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18959-2024</t>
        </is>
      </c>
      <c r="B1019" s="1" t="n">
        <v>45427</v>
      </c>
      <c r="C1019" s="1" t="n">
        <v>46191</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22808-2026</t>
        </is>
      </c>
      <c r="B1020" s="1" t="n">
        <v>46160</v>
      </c>
      <c r="C1020" s="1" t="n">
        <v>46191</v>
      </c>
      <c r="D1020" t="inlineStr">
        <is>
          <t>VÄRMLANDS LÄN</t>
        </is>
      </c>
      <c r="E1020" t="inlineStr">
        <is>
          <t>TORSBY</t>
        </is>
      </c>
      <c r="F1020" t="inlineStr">
        <is>
          <t>Bergvik skog väst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58538-2025</t>
        </is>
      </c>
      <c r="B1021" s="1" t="n">
        <v>45985</v>
      </c>
      <c r="C1021" s="1" t="n">
        <v>46191</v>
      </c>
      <c r="D1021" t="inlineStr">
        <is>
          <t>VÄRMLANDS LÄN</t>
        </is>
      </c>
      <c r="E1021" t="inlineStr">
        <is>
          <t>TORSBY</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58678-2025</t>
        </is>
      </c>
      <c r="B1022" s="1" t="n">
        <v>45986</v>
      </c>
      <c r="C1022" s="1" t="n">
        <v>46191</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22822-2026</t>
        </is>
      </c>
      <c r="B1023" s="1" t="n">
        <v>46160</v>
      </c>
      <c r="C1023" s="1" t="n">
        <v>46191</v>
      </c>
      <c r="D1023" t="inlineStr">
        <is>
          <t>VÄRMLANDS LÄN</t>
        </is>
      </c>
      <c r="E1023" t="inlineStr">
        <is>
          <t>TORSBY</t>
        </is>
      </c>
      <c r="F1023" t="inlineStr">
        <is>
          <t>Bergvik skog väst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23102-2026</t>
        </is>
      </c>
      <c r="B1024" s="1" t="n">
        <v>46161</v>
      </c>
      <c r="C1024" s="1" t="n">
        <v>46191</v>
      </c>
      <c r="D1024" t="inlineStr">
        <is>
          <t>VÄRMLANDS LÄN</t>
        </is>
      </c>
      <c r="E1024" t="inlineStr">
        <is>
          <t>TORSBY</t>
        </is>
      </c>
      <c r="F1024" t="inlineStr">
        <is>
          <t>Bergvik skog väst AB</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23205-2026</t>
        </is>
      </c>
      <c r="B1025" s="1" t="n">
        <v>46162</v>
      </c>
      <c r="C1025" s="1" t="n">
        <v>46191</v>
      </c>
      <c r="D1025" t="inlineStr">
        <is>
          <t>VÄRMLANDS LÄN</t>
        </is>
      </c>
      <c r="E1025" t="inlineStr">
        <is>
          <t>TORSBY</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58625-2025</t>
        </is>
      </c>
      <c r="B1026" s="1" t="n">
        <v>45986</v>
      </c>
      <c r="C1026" s="1" t="n">
        <v>46191</v>
      </c>
      <c r="D1026" t="inlineStr">
        <is>
          <t>VÄRMLANDS LÄN</t>
        </is>
      </c>
      <c r="E1026" t="inlineStr">
        <is>
          <t>TORSBY</t>
        </is>
      </c>
      <c r="F1026" t="inlineStr">
        <is>
          <t>Kyrkan</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15315-2024</t>
        </is>
      </c>
      <c r="B1027" s="1" t="n">
        <v>45400</v>
      </c>
      <c r="C1027" s="1" t="n">
        <v>46191</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23564-2026</t>
        </is>
      </c>
      <c r="B1028" s="1" t="n">
        <v>46163</v>
      </c>
      <c r="C1028" s="1" t="n">
        <v>46191</v>
      </c>
      <c r="D1028" t="inlineStr">
        <is>
          <t>VÄRMLANDS LÄN</t>
        </is>
      </c>
      <c r="E1028" t="inlineStr">
        <is>
          <t>TORSBY</t>
        </is>
      </c>
      <c r="F1028" t="inlineStr">
        <is>
          <t>Bergvik skog väst AB</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53381-2022</t>
        </is>
      </c>
      <c r="B1029" s="1" t="n">
        <v>44879</v>
      </c>
      <c r="C1029" s="1" t="n">
        <v>46191</v>
      </c>
      <c r="D1029" t="inlineStr">
        <is>
          <t>VÄRMLANDS LÄN</t>
        </is>
      </c>
      <c r="E1029" t="inlineStr">
        <is>
          <t>TORSBY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23409-2026</t>
        </is>
      </c>
      <c r="B1030" s="1" t="n">
        <v>46162</v>
      </c>
      <c r="C1030" s="1" t="n">
        <v>46191</v>
      </c>
      <c r="D1030" t="inlineStr">
        <is>
          <t>VÄRMLANDS LÄN</t>
        </is>
      </c>
      <c r="E1030" t="inlineStr">
        <is>
          <t>TORSBY</t>
        </is>
      </c>
      <c r="F1030" t="inlineStr">
        <is>
          <t>Bergvik skog väst AB</t>
        </is>
      </c>
      <c r="G1030" t="n">
        <v>16.3</v>
      </c>
      <c r="H1030" t="n">
        <v>0</v>
      </c>
      <c r="I1030" t="n">
        <v>0</v>
      </c>
      <c r="J1030" t="n">
        <v>0</v>
      </c>
      <c r="K1030" t="n">
        <v>0</v>
      </c>
      <c r="L1030" t="n">
        <v>0</v>
      </c>
      <c r="M1030" t="n">
        <v>0</v>
      </c>
      <c r="N1030" t="n">
        <v>0</v>
      </c>
      <c r="O1030" t="n">
        <v>0</v>
      </c>
      <c r="P1030" t="n">
        <v>0</v>
      </c>
      <c r="Q1030" t="n">
        <v>0</v>
      </c>
      <c r="R1030" s="2" t="inlineStr"/>
    </row>
    <row r="1031" ht="15" customHeight="1">
      <c r="A1031" t="inlineStr">
        <is>
          <t>A 23571-2026</t>
        </is>
      </c>
      <c r="B1031" s="1" t="n">
        <v>46163</v>
      </c>
      <c r="C1031" s="1" t="n">
        <v>46191</v>
      </c>
      <c r="D1031" t="inlineStr">
        <is>
          <t>VÄRMLANDS LÄN</t>
        </is>
      </c>
      <c r="E1031" t="inlineStr">
        <is>
          <t>TORSBY</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739-2022</t>
        </is>
      </c>
      <c r="B1032" s="1" t="n">
        <v>44568</v>
      </c>
      <c r="C1032" s="1" t="n">
        <v>46191</v>
      </c>
      <c r="D1032" t="inlineStr">
        <is>
          <t>VÄRMLANDS LÄN</t>
        </is>
      </c>
      <c r="E1032" t="inlineStr">
        <is>
          <t>TORSBY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38486-2022</t>
        </is>
      </c>
      <c r="B1033" s="1" t="n">
        <v>44813</v>
      </c>
      <c r="C1033" s="1" t="n">
        <v>46191</v>
      </c>
      <c r="D1033" t="inlineStr">
        <is>
          <t>VÄRMLANDS LÄN</t>
        </is>
      </c>
      <c r="E1033" t="inlineStr">
        <is>
          <t>TORSBY</t>
        </is>
      </c>
      <c r="F1033" t="inlineStr">
        <is>
          <t>Bergvik skog väst AB</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23405-2026</t>
        </is>
      </c>
      <c r="B1034" s="1" t="n">
        <v>46162</v>
      </c>
      <c r="C1034" s="1" t="n">
        <v>46191</v>
      </c>
      <c r="D1034" t="inlineStr">
        <is>
          <t>VÄRMLANDS LÄN</t>
        </is>
      </c>
      <c r="E1034" t="inlineStr">
        <is>
          <t>TORSBY</t>
        </is>
      </c>
      <c r="F1034" t="inlineStr">
        <is>
          <t>Bergvik skog väst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23477-2026</t>
        </is>
      </c>
      <c r="B1035" s="1" t="n">
        <v>46163</v>
      </c>
      <c r="C1035" s="1" t="n">
        <v>46191</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23481-2026</t>
        </is>
      </c>
      <c r="B1036" s="1" t="n">
        <v>46163</v>
      </c>
      <c r="C1036" s="1" t="n">
        <v>46191</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23310-2026</t>
        </is>
      </c>
      <c r="B1037" s="1" t="n">
        <v>46162</v>
      </c>
      <c r="C1037" s="1" t="n">
        <v>46191</v>
      </c>
      <c r="D1037" t="inlineStr">
        <is>
          <t>VÄRMLANDS LÄN</t>
        </is>
      </c>
      <c r="E1037" t="inlineStr">
        <is>
          <t>TORSBY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8012-2023</t>
        </is>
      </c>
      <c r="B1038" s="1" t="n">
        <v>44973</v>
      </c>
      <c r="C1038" s="1" t="n">
        <v>46191</v>
      </c>
      <c r="D1038" t="inlineStr">
        <is>
          <t>VÄRMLANDS LÄN</t>
        </is>
      </c>
      <c r="E1038" t="inlineStr">
        <is>
          <t>TORSBY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23352-2026</t>
        </is>
      </c>
      <c r="B1039" s="1" t="n">
        <v>46162</v>
      </c>
      <c r="C1039" s="1" t="n">
        <v>46191</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59030-2025</t>
        </is>
      </c>
      <c r="B1040" s="1" t="n">
        <v>45988</v>
      </c>
      <c r="C1040" s="1" t="n">
        <v>46191</v>
      </c>
      <c r="D1040" t="inlineStr">
        <is>
          <t>VÄRMLANDS LÄN</t>
        </is>
      </c>
      <c r="E1040" t="inlineStr">
        <is>
          <t>TORSBY</t>
        </is>
      </c>
      <c r="F1040" t="inlineStr">
        <is>
          <t>Kyrkan</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17605-2026</t>
        </is>
      </c>
      <c r="B1041" s="1" t="n">
        <v>46121</v>
      </c>
      <c r="C1041" s="1" t="n">
        <v>46191</v>
      </c>
      <c r="D1041" t="inlineStr">
        <is>
          <t>VÄRMLANDS LÄN</t>
        </is>
      </c>
      <c r="E1041" t="inlineStr">
        <is>
          <t>TORSBY</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58864-2025</t>
        </is>
      </c>
      <c r="B1042" s="1" t="n">
        <v>45987</v>
      </c>
      <c r="C1042" s="1" t="n">
        <v>46191</v>
      </c>
      <c r="D1042" t="inlineStr">
        <is>
          <t>VÄRMLANDS LÄN</t>
        </is>
      </c>
      <c r="E1042" t="inlineStr">
        <is>
          <t>TORSBY</t>
        </is>
      </c>
      <c r="F1042" t="inlineStr">
        <is>
          <t>Kyrkan</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23446-2026</t>
        </is>
      </c>
      <c r="B1043" s="1" t="n">
        <v>46163</v>
      </c>
      <c r="C1043" s="1" t="n">
        <v>46191</v>
      </c>
      <c r="D1043" t="inlineStr">
        <is>
          <t>VÄRMLANDS LÄN</t>
        </is>
      </c>
      <c r="E1043" t="inlineStr">
        <is>
          <t>TORSBY</t>
        </is>
      </c>
      <c r="F1043" t="inlineStr">
        <is>
          <t>Bergvik skog väst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17681-2026</t>
        </is>
      </c>
      <c r="B1044" s="1" t="n">
        <v>46121</v>
      </c>
      <c r="C1044" s="1" t="n">
        <v>46191</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23325-2026</t>
        </is>
      </c>
      <c r="B1045" s="1" t="n">
        <v>46162</v>
      </c>
      <c r="C1045" s="1" t="n">
        <v>46191</v>
      </c>
      <c r="D1045" t="inlineStr">
        <is>
          <t>VÄRMLANDS LÄN</t>
        </is>
      </c>
      <c r="E1045" t="inlineStr">
        <is>
          <t>TORSBY</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17436-2026</t>
        </is>
      </c>
      <c r="B1046" s="1" t="n">
        <v>46120</v>
      </c>
      <c r="C1046" s="1" t="n">
        <v>46191</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21094-2022</t>
        </is>
      </c>
      <c r="B1047" s="1" t="n">
        <v>44704</v>
      </c>
      <c r="C1047" s="1" t="n">
        <v>46191</v>
      </c>
      <c r="D1047" t="inlineStr">
        <is>
          <t>VÄRMLANDS LÄN</t>
        </is>
      </c>
      <c r="E1047" t="inlineStr">
        <is>
          <t>TORSBY</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23320-2026</t>
        </is>
      </c>
      <c r="B1048" s="1" t="n">
        <v>46162</v>
      </c>
      <c r="C1048" s="1" t="n">
        <v>46191</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23351-2026</t>
        </is>
      </c>
      <c r="B1049" s="1" t="n">
        <v>46162</v>
      </c>
      <c r="C1049" s="1" t="n">
        <v>46191</v>
      </c>
      <c r="D1049" t="inlineStr">
        <is>
          <t>VÄRMLANDS LÄN</t>
        </is>
      </c>
      <c r="E1049" t="inlineStr">
        <is>
          <t>TORSBY</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23359-2026</t>
        </is>
      </c>
      <c r="B1050" s="1" t="n">
        <v>46162</v>
      </c>
      <c r="C1050" s="1" t="n">
        <v>46191</v>
      </c>
      <c r="D1050" t="inlineStr">
        <is>
          <t>VÄRMLANDS LÄN</t>
        </is>
      </c>
      <c r="E1050" t="inlineStr">
        <is>
          <t>TORSBY</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23512-2026</t>
        </is>
      </c>
      <c r="B1051" s="1" t="n">
        <v>46163</v>
      </c>
      <c r="C1051" s="1" t="n">
        <v>46191</v>
      </c>
      <c r="D1051" t="inlineStr">
        <is>
          <t>VÄRMLANDS LÄN</t>
        </is>
      </c>
      <c r="E1051" t="inlineStr">
        <is>
          <t>TORSBY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21390-2023</t>
        </is>
      </c>
      <c r="B1052" s="1" t="n">
        <v>45063</v>
      </c>
      <c r="C1052" s="1" t="n">
        <v>46191</v>
      </c>
      <c r="D1052" t="inlineStr">
        <is>
          <t>VÄRMLANDS LÄN</t>
        </is>
      </c>
      <c r="E1052" t="inlineStr">
        <is>
          <t>TORSBY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21409-2023</t>
        </is>
      </c>
      <c r="B1053" s="1" t="n">
        <v>45063</v>
      </c>
      <c r="C1053" s="1" t="n">
        <v>46191</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34164-2024</t>
        </is>
      </c>
      <c r="B1054" s="1" t="n">
        <v>45524</v>
      </c>
      <c r="C1054" s="1" t="n">
        <v>46191</v>
      </c>
      <c r="D1054" t="inlineStr">
        <is>
          <t>VÄRMLANDS LÄN</t>
        </is>
      </c>
      <c r="E1054" t="inlineStr">
        <is>
          <t>TORSBY</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17828-2026</t>
        </is>
      </c>
      <c r="B1055" s="1" t="n">
        <v>46122</v>
      </c>
      <c r="C1055" s="1" t="n">
        <v>46191</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59685-2025</t>
        </is>
      </c>
      <c r="B1056" s="1" t="n">
        <v>45992</v>
      </c>
      <c r="C1056" s="1" t="n">
        <v>46191</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17850-2026</t>
        </is>
      </c>
      <c r="B1057" s="1" t="n">
        <v>46122</v>
      </c>
      <c r="C1057" s="1" t="n">
        <v>46191</v>
      </c>
      <c r="D1057" t="inlineStr">
        <is>
          <t>VÄRMLANDS LÄN</t>
        </is>
      </c>
      <c r="E1057" t="inlineStr">
        <is>
          <t>TORSBY</t>
        </is>
      </c>
      <c r="F1057" t="inlineStr">
        <is>
          <t>Bergvik skog väst AB</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8048-2022</t>
        </is>
      </c>
      <c r="B1058" s="1" t="n">
        <v>44609</v>
      </c>
      <c r="C1058" s="1" t="n">
        <v>46191</v>
      </c>
      <c r="D1058" t="inlineStr">
        <is>
          <t>VÄRMLANDS LÄN</t>
        </is>
      </c>
      <c r="E1058" t="inlineStr">
        <is>
          <t>TORSBY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40788-2022</t>
        </is>
      </c>
      <c r="B1059" s="1" t="n">
        <v>44824</v>
      </c>
      <c r="C1059" s="1" t="n">
        <v>46191</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44470-2024</t>
        </is>
      </c>
      <c r="B1060" s="1" t="n">
        <v>45574</v>
      </c>
      <c r="C1060" s="1" t="n">
        <v>46191</v>
      </c>
      <c r="D1060" t="inlineStr">
        <is>
          <t>VÄRMLANDS LÄN</t>
        </is>
      </c>
      <c r="E1060" t="inlineStr">
        <is>
          <t>TORSBY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52447-2022</t>
        </is>
      </c>
      <c r="B1061" s="1" t="n">
        <v>44874</v>
      </c>
      <c r="C1061" s="1" t="n">
        <v>46191</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59744-2025</t>
        </is>
      </c>
      <c r="B1062" s="1" t="n">
        <v>45992</v>
      </c>
      <c r="C1062" s="1" t="n">
        <v>46191</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6013-2024</t>
        </is>
      </c>
      <c r="B1063" s="1" t="n">
        <v>45336</v>
      </c>
      <c r="C1063" s="1" t="n">
        <v>46191</v>
      </c>
      <c r="D1063" t="inlineStr">
        <is>
          <t>VÄRMLANDS LÄN</t>
        </is>
      </c>
      <c r="E1063" t="inlineStr">
        <is>
          <t>TORSBY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34256-2024</t>
        </is>
      </c>
      <c r="B1064" s="1" t="n">
        <v>45524</v>
      </c>
      <c r="C1064" s="1" t="n">
        <v>46191</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59729-2025</t>
        </is>
      </c>
      <c r="B1065" s="1" t="n">
        <v>45992</v>
      </c>
      <c r="C1065" s="1" t="n">
        <v>46191</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43301-2024</t>
        </is>
      </c>
      <c r="B1066" s="1" t="n">
        <v>45568</v>
      </c>
      <c r="C1066" s="1" t="n">
        <v>46191</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20737-2023</t>
        </is>
      </c>
      <c r="B1067" s="1" t="n">
        <v>45058</v>
      </c>
      <c r="C1067" s="1" t="n">
        <v>46191</v>
      </c>
      <c r="D1067" t="inlineStr">
        <is>
          <t>VÄRMLANDS LÄN</t>
        </is>
      </c>
      <c r="E1067" t="inlineStr">
        <is>
          <t>TORSBY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41022-2023</t>
        </is>
      </c>
      <c r="B1068" s="1" t="n">
        <v>45173</v>
      </c>
      <c r="C1068" s="1" t="n">
        <v>46191</v>
      </c>
      <c r="D1068" t="inlineStr">
        <is>
          <t>VÄRMLANDS LÄN</t>
        </is>
      </c>
      <c r="E1068" t="inlineStr">
        <is>
          <t>TORSBY</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22158-2022</t>
        </is>
      </c>
      <c r="B1069" s="1" t="n">
        <v>44708</v>
      </c>
      <c r="C1069" s="1" t="n">
        <v>46191</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30700-2024</t>
        </is>
      </c>
      <c r="B1070" s="1" t="n">
        <v>45496</v>
      </c>
      <c r="C1070" s="1" t="n">
        <v>46191</v>
      </c>
      <c r="D1070" t="inlineStr">
        <is>
          <t>VÄRMLANDS LÄN</t>
        </is>
      </c>
      <c r="E1070" t="inlineStr">
        <is>
          <t>TORSBY</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30705-2024</t>
        </is>
      </c>
      <c r="B1071" s="1" t="n">
        <v>45496</v>
      </c>
      <c r="C1071" s="1" t="n">
        <v>46191</v>
      </c>
      <c r="D1071" t="inlineStr">
        <is>
          <t>VÄRMLANDS LÄN</t>
        </is>
      </c>
      <c r="E1071" t="inlineStr">
        <is>
          <t>TORSBY</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60189-2025</t>
        </is>
      </c>
      <c r="B1072" s="1" t="n">
        <v>45994</v>
      </c>
      <c r="C1072" s="1" t="n">
        <v>46191</v>
      </c>
      <c r="D1072" t="inlineStr">
        <is>
          <t>VÄRMLANDS LÄN</t>
        </is>
      </c>
      <c r="E1072" t="inlineStr">
        <is>
          <t>TORSBY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39215-2022</t>
        </is>
      </c>
      <c r="B1073" s="1" t="n">
        <v>44817</v>
      </c>
      <c r="C1073" s="1" t="n">
        <v>46191</v>
      </c>
      <c r="D1073" t="inlineStr">
        <is>
          <t>VÄRMLANDS LÄN</t>
        </is>
      </c>
      <c r="E1073" t="inlineStr">
        <is>
          <t>TORSBY</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21518-2024</t>
        </is>
      </c>
      <c r="B1074" s="1" t="n">
        <v>45441</v>
      </c>
      <c r="C1074" s="1" t="n">
        <v>46191</v>
      </c>
      <c r="D1074" t="inlineStr">
        <is>
          <t>VÄRMLANDS LÄN</t>
        </is>
      </c>
      <c r="E1074" t="inlineStr">
        <is>
          <t>TORSBY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17817-2026</t>
        </is>
      </c>
      <c r="B1075" s="1" t="n">
        <v>46122</v>
      </c>
      <c r="C1075" s="1" t="n">
        <v>46191</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12051-2024</t>
        </is>
      </c>
      <c r="B1076" s="1" t="n">
        <v>45377</v>
      </c>
      <c r="C1076" s="1" t="n">
        <v>46191</v>
      </c>
      <c r="D1076" t="inlineStr">
        <is>
          <t>VÄRMLANDS LÄN</t>
        </is>
      </c>
      <c r="E1076" t="inlineStr">
        <is>
          <t>TORSBY</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39216-2022</t>
        </is>
      </c>
      <c r="B1077" s="1" t="n">
        <v>44817</v>
      </c>
      <c r="C1077" s="1" t="n">
        <v>46191</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9067-2023</t>
        </is>
      </c>
      <c r="B1078" s="1" t="n">
        <v>44979</v>
      </c>
      <c r="C1078" s="1" t="n">
        <v>46191</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23860-2026</t>
        </is>
      </c>
      <c r="B1079" s="1" t="n">
        <v>46167</v>
      </c>
      <c r="C1079" s="1" t="n">
        <v>46191</v>
      </c>
      <c r="D1079" t="inlineStr">
        <is>
          <t>VÄRMLANDS LÄN</t>
        </is>
      </c>
      <c r="E1079" t="inlineStr">
        <is>
          <t>TORSBY</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23800-2026</t>
        </is>
      </c>
      <c r="B1080" s="1" t="n">
        <v>46164</v>
      </c>
      <c r="C1080" s="1" t="n">
        <v>46191</v>
      </c>
      <c r="D1080" t="inlineStr">
        <is>
          <t>VÄRMLANDS LÄN</t>
        </is>
      </c>
      <c r="E1080" t="inlineStr">
        <is>
          <t>TORSBY</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23801-2026</t>
        </is>
      </c>
      <c r="B1081" s="1" t="n">
        <v>46164</v>
      </c>
      <c r="C1081" s="1" t="n">
        <v>46191</v>
      </c>
      <c r="D1081" t="inlineStr">
        <is>
          <t>VÄRMLANDS LÄN</t>
        </is>
      </c>
      <c r="E1081" t="inlineStr">
        <is>
          <t>TORSBY</t>
        </is>
      </c>
      <c r="F1081" t="inlineStr">
        <is>
          <t>Bergvik skog väst AB</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59913-2025</t>
        </is>
      </c>
      <c r="B1082" s="1" t="n">
        <v>45993</v>
      </c>
      <c r="C1082" s="1" t="n">
        <v>46191</v>
      </c>
      <c r="D1082" t="inlineStr">
        <is>
          <t>VÄRMLANDS LÄN</t>
        </is>
      </c>
      <c r="E1082" t="inlineStr">
        <is>
          <t>TORSBY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23996-2026</t>
        </is>
      </c>
      <c r="B1083" s="1" t="n">
        <v>46167</v>
      </c>
      <c r="C1083" s="1" t="n">
        <v>46191</v>
      </c>
      <c r="D1083" t="inlineStr">
        <is>
          <t>VÄRMLANDS LÄN</t>
        </is>
      </c>
      <c r="E1083" t="inlineStr">
        <is>
          <t>TORSBY</t>
        </is>
      </c>
      <c r="F1083" t="inlineStr">
        <is>
          <t>Bergvik skog väst AB</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56281-2022</t>
        </is>
      </c>
      <c r="B1084" s="1" t="n">
        <v>44890</v>
      </c>
      <c r="C1084" s="1" t="n">
        <v>46191</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18136-2026</t>
        </is>
      </c>
      <c r="B1085" s="1" t="n">
        <v>46125</v>
      </c>
      <c r="C1085" s="1" t="n">
        <v>46191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23851-2026</t>
        </is>
      </c>
      <c r="B1086" s="1" t="n">
        <v>46167</v>
      </c>
      <c r="C1086" s="1" t="n">
        <v>46191</v>
      </c>
      <c r="D1086" t="inlineStr">
        <is>
          <t>VÄRMLANDS LÄN</t>
        </is>
      </c>
      <c r="E1086" t="inlineStr">
        <is>
          <t>TORSBY</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20130-2023</t>
        </is>
      </c>
      <c r="B1087" s="1" t="n">
        <v>45055</v>
      </c>
      <c r="C1087" s="1" t="n">
        <v>46191</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65713-2021</t>
        </is>
      </c>
      <c r="B1088" s="1" t="n">
        <v>44516</v>
      </c>
      <c r="C1088" s="1" t="n">
        <v>46191</v>
      </c>
      <c r="D1088" t="inlineStr">
        <is>
          <t>VÄRMLANDS LÄN</t>
        </is>
      </c>
      <c r="E1088" t="inlineStr">
        <is>
          <t>TORSBY</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24287-2026</t>
        </is>
      </c>
      <c r="B1089" s="1" t="n">
        <v>46169</v>
      </c>
      <c r="C1089" s="1" t="n">
        <v>46191</v>
      </c>
      <c r="D1089" t="inlineStr">
        <is>
          <t>VÄRMLANDS LÄN</t>
        </is>
      </c>
      <c r="E1089" t="inlineStr">
        <is>
          <t>TORSBY</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17548-2023</t>
        </is>
      </c>
      <c r="B1090" s="1" t="n">
        <v>45036</v>
      </c>
      <c r="C1090" s="1" t="n">
        <v>46191</v>
      </c>
      <c r="D1090" t="inlineStr">
        <is>
          <t>VÄRMLANDS LÄN</t>
        </is>
      </c>
      <c r="E1090" t="inlineStr">
        <is>
          <t>TORSBY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60461-2025</t>
        </is>
      </c>
      <c r="B1091" s="1" t="n">
        <v>45995</v>
      </c>
      <c r="C1091" s="1" t="n">
        <v>46191</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60593-2025</t>
        </is>
      </c>
      <c r="B1092" s="1" t="n">
        <v>45996</v>
      </c>
      <c r="C1092" s="1" t="n">
        <v>46191</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8447-2023</t>
        </is>
      </c>
      <c r="B1093" s="1" t="n">
        <v>44977</v>
      </c>
      <c r="C1093" s="1" t="n">
        <v>46191</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60479-2025</t>
        </is>
      </c>
      <c r="B1094" s="1" t="n">
        <v>45995</v>
      </c>
      <c r="C1094" s="1" t="n">
        <v>46191</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60392-2025</t>
        </is>
      </c>
      <c r="B1095" s="1" t="n">
        <v>45995</v>
      </c>
      <c r="C1095" s="1" t="n">
        <v>46191</v>
      </c>
      <c r="D1095" t="inlineStr">
        <is>
          <t>VÄRMLANDS LÄN</t>
        </is>
      </c>
      <c r="E1095" t="inlineStr">
        <is>
          <t>TORSBY</t>
        </is>
      </c>
      <c r="F1095" t="inlineStr">
        <is>
          <t>Bergvik skog väst AB</t>
        </is>
      </c>
      <c r="G1095" t="n">
        <v>32.3</v>
      </c>
      <c r="H1095" t="n">
        <v>0</v>
      </c>
      <c r="I1095" t="n">
        <v>0</v>
      </c>
      <c r="J1095" t="n">
        <v>0</v>
      </c>
      <c r="K1095" t="n">
        <v>0</v>
      </c>
      <c r="L1095" t="n">
        <v>0</v>
      </c>
      <c r="M1095" t="n">
        <v>0</v>
      </c>
      <c r="N1095" t="n">
        <v>0</v>
      </c>
      <c r="O1095" t="n">
        <v>0</v>
      </c>
      <c r="P1095" t="n">
        <v>0</v>
      </c>
      <c r="Q1095" t="n">
        <v>0</v>
      </c>
      <c r="R1095" s="2" t="inlineStr"/>
    </row>
    <row r="1096" ht="15" customHeight="1">
      <c r="A1096" t="inlineStr">
        <is>
          <t>A 24158-2026</t>
        </is>
      </c>
      <c r="B1096" s="1" t="n">
        <v>46168</v>
      </c>
      <c r="C1096" s="1" t="n">
        <v>46191</v>
      </c>
      <c r="D1096" t="inlineStr">
        <is>
          <t>VÄRMLANDS LÄN</t>
        </is>
      </c>
      <c r="E1096" t="inlineStr">
        <is>
          <t>TORSBY</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4236-2023</t>
        </is>
      </c>
      <c r="B1097" s="1" t="n">
        <v>44953</v>
      </c>
      <c r="C1097" s="1" t="n">
        <v>46191</v>
      </c>
      <c r="D1097" t="inlineStr">
        <is>
          <t>VÄRMLANDS LÄN</t>
        </is>
      </c>
      <c r="E1097" t="inlineStr">
        <is>
          <t>TORSBY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4250-2023</t>
        </is>
      </c>
      <c r="B1098" s="1" t="n">
        <v>44953</v>
      </c>
      <c r="C1098" s="1" t="n">
        <v>46191</v>
      </c>
      <c r="D1098" t="inlineStr">
        <is>
          <t>VÄRMLANDS LÄN</t>
        </is>
      </c>
      <c r="E1098" t="inlineStr">
        <is>
          <t>TORSBY</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46917-2024</t>
        </is>
      </c>
      <c r="B1099" s="1" t="n">
        <v>45583</v>
      </c>
      <c r="C1099" s="1" t="n">
        <v>46191</v>
      </c>
      <c r="D1099" t="inlineStr">
        <is>
          <t>VÄRMLANDS LÄN</t>
        </is>
      </c>
      <c r="E1099" t="inlineStr">
        <is>
          <t>TORSBY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24106-2026</t>
        </is>
      </c>
      <c r="B1100" s="1" t="n">
        <v>46168</v>
      </c>
      <c r="C1100" s="1" t="n">
        <v>46191</v>
      </c>
      <c r="D1100" t="inlineStr">
        <is>
          <t>VÄRMLANDS LÄN</t>
        </is>
      </c>
      <c r="E1100" t="inlineStr">
        <is>
          <t>TORSBY</t>
        </is>
      </c>
      <c r="F1100" t="inlineStr">
        <is>
          <t>Bergvik skog väst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36718-2024</t>
        </is>
      </c>
      <c r="B1101" s="1" t="n">
        <v>45537</v>
      </c>
      <c r="C1101" s="1" t="n">
        <v>46191</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3670-2023</t>
        </is>
      </c>
      <c r="B1102" s="1" t="n">
        <v>44950</v>
      </c>
      <c r="C1102" s="1" t="n">
        <v>46191</v>
      </c>
      <c r="D1102" t="inlineStr">
        <is>
          <t>VÄRMLANDS LÄN</t>
        </is>
      </c>
      <c r="E1102" t="inlineStr">
        <is>
          <t>TORSBY</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7133-2023</t>
        </is>
      </c>
      <c r="B1103" s="1" t="n">
        <v>44970</v>
      </c>
      <c r="C1103" s="1" t="n">
        <v>46191</v>
      </c>
      <c r="D1103" t="inlineStr">
        <is>
          <t>VÄRMLANDS LÄN</t>
        </is>
      </c>
      <c r="E1103" t="inlineStr">
        <is>
          <t>TORSBY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37075-2021</t>
        </is>
      </c>
      <c r="B1104" s="1" t="n">
        <v>44394</v>
      </c>
      <c r="C1104" s="1" t="n">
        <v>46191</v>
      </c>
      <c r="D1104" t="inlineStr">
        <is>
          <t>VÄRMLANDS LÄN</t>
        </is>
      </c>
      <c r="E1104" t="inlineStr">
        <is>
          <t>TORSBY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9574-2023</t>
        </is>
      </c>
      <c r="B1105" s="1" t="n">
        <v>44982</v>
      </c>
      <c r="C1105" s="1" t="n">
        <v>46191</v>
      </c>
      <c r="D1105" t="inlineStr">
        <is>
          <t>VÄRMLANDS LÄN</t>
        </is>
      </c>
      <c r="E1105" t="inlineStr">
        <is>
          <t>TORSBY</t>
        </is>
      </c>
      <c r="F1105" t="inlineStr">
        <is>
          <t>Övriga statliga verk och myndigheter</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23982-2026</t>
        </is>
      </c>
      <c r="B1106" s="1" t="n">
        <v>46167</v>
      </c>
      <c r="C1106" s="1" t="n">
        <v>46191</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60459-2025</t>
        </is>
      </c>
      <c r="B1107" s="1" t="n">
        <v>45995</v>
      </c>
      <c r="C1107" s="1" t="n">
        <v>46191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39390-2023</t>
        </is>
      </c>
      <c r="B1108" s="1" t="n">
        <v>45166</v>
      </c>
      <c r="C1108" s="1" t="n">
        <v>46191</v>
      </c>
      <c r="D1108" t="inlineStr">
        <is>
          <t>VÄRMLANDS LÄN</t>
        </is>
      </c>
      <c r="E1108" t="inlineStr">
        <is>
          <t>TORSBY</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60592-2025</t>
        </is>
      </c>
      <c r="B1109" s="1" t="n">
        <v>45996</v>
      </c>
      <c r="C1109" s="1" t="n">
        <v>46191</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60411-2025</t>
        </is>
      </c>
      <c r="B1110" s="1" t="n">
        <v>45995</v>
      </c>
      <c r="C1110" s="1" t="n">
        <v>46191</v>
      </c>
      <c r="D1110" t="inlineStr">
        <is>
          <t>VÄRMLANDS LÄN</t>
        </is>
      </c>
      <c r="E1110" t="inlineStr">
        <is>
          <t>TORSBY</t>
        </is>
      </c>
      <c r="F1110" t="inlineStr">
        <is>
          <t>Bergvik skog väst AB</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60414-2025</t>
        </is>
      </c>
      <c r="B1111" s="1" t="n">
        <v>45995</v>
      </c>
      <c r="C1111" s="1" t="n">
        <v>46191</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60688-2025</t>
        </is>
      </c>
      <c r="B1112" s="1" t="n">
        <v>45996</v>
      </c>
      <c r="C1112" s="1" t="n">
        <v>46191</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65301-2021</t>
        </is>
      </c>
      <c r="B1113" s="1" t="n">
        <v>44515</v>
      </c>
      <c r="C1113" s="1" t="n">
        <v>46191</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6438-2022</t>
        </is>
      </c>
      <c r="B1114" s="1" t="n">
        <v>44601</v>
      </c>
      <c r="C1114" s="1" t="n">
        <v>46191</v>
      </c>
      <c r="D1114" t="inlineStr">
        <is>
          <t>VÄRMLANDS LÄN</t>
        </is>
      </c>
      <c r="E1114" t="inlineStr">
        <is>
          <t>TORSBY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18244-2026</t>
        </is>
      </c>
      <c r="B1115" s="1" t="n">
        <v>46126</v>
      </c>
      <c r="C1115" s="1" t="n">
        <v>46191</v>
      </c>
      <c r="D1115" t="inlineStr">
        <is>
          <t>VÄRMLANDS LÄN</t>
        </is>
      </c>
      <c r="E1115" t="inlineStr">
        <is>
          <t>TORSBY</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18407-2026</t>
        </is>
      </c>
      <c r="B1116" s="1" t="n">
        <v>46126</v>
      </c>
      <c r="C1116" s="1" t="n">
        <v>46191</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60346-2025</t>
        </is>
      </c>
      <c r="B1117" s="1" t="n">
        <v>45995</v>
      </c>
      <c r="C1117" s="1" t="n">
        <v>46191</v>
      </c>
      <c r="D1117" t="inlineStr">
        <is>
          <t>VÄRMLANDS LÄN</t>
        </is>
      </c>
      <c r="E1117" t="inlineStr">
        <is>
          <t>TORSBY</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24940-2026</t>
        </is>
      </c>
      <c r="B1118" s="1" t="n">
        <v>46174</v>
      </c>
      <c r="C1118" s="1" t="n">
        <v>46191</v>
      </c>
      <c r="D1118" t="inlineStr">
        <is>
          <t>VÄRMLANDS LÄN</t>
        </is>
      </c>
      <c r="E1118" t="inlineStr">
        <is>
          <t>TORSBY</t>
        </is>
      </c>
      <c r="F1118" t="inlineStr">
        <is>
          <t>Bergvik skog väst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7645-2026</t>
        </is>
      </c>
      <c r="B1119" s="1" t="n">
        <v>46062</v>
      </c>
      <c r="C1119" s="1" t="n">
        <v>46191</v>
      </c>
      <c r="D1119" t="inlineStr">
        <is>
          <t>VÄRMLANDS LÄN</t>
        </is>
      </c>
      <c r="E1119" t="inlineStr">
        <is>
          <t>TORSBY</t>
        </is>
      </c>
      <c r="F1119" t="inlineStr">
        <is>
          <t>Övriga statliga verk och myndigheter</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61388-2025</t>
        </is>
      </c>
      <c r="B1120" s="1" t="n">
        <v>46001</v>
      </c>
      <c r="C1120" s="1" t="n">
        <v>46191</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16592-2024</t>
        </is>
      </c>
      <c r="B1121" s="1" t="n">
        <v>45408</v>
      </c>
      <c r="C1121" s="1" t="n">
        <v>46191</v>
      </c>
      <c r="D1121" t="inlineStr">
        <is>
          <t>VÄRMLANDS LÄN</t>
        </is>
      </c>
      <c r="E1121" t="inlineStr">
        <is>
          <t>TORSBY</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24732-2026</t>
        </is>
      </c>
      <c r="B1122" s="1" t="n">
        <v>46171</v>
      </c>
      <c r="C1122" s="1" t="n">
        <v>46191</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19307-2022</t>
        </is>
      </c>
      <c r="B1123" s="1" t="n">
        <v>44692</v>
      </c>
      <c r="C1123" s="1" t="n">
        <v>46191</v>
      </c>
      <c r="D1123" t="inlineStr">
        <is>
          <t>VÄRMLANDS LÄN</t>
        </is>
      </c>
      <c r="E1123" t="inlineStr">
        <is>
          <t>TORSBY</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61463-2025</t>
        </is>
      </c>
      <c r="B1124" s="1" t="n">
        <v>46001</v>
      </c>
      <c r="C1124" s="1" t="n">
        <v>46191</v>
      </c>
      <c r="D1124" t="inlineStr">
        <is>
          <t>VÄRMLANDS LÄN</t>
        </is>
      </c>
      <c r="E1124" t="inlineStr">
        <is>
          <t>TORSBY</t>
        </is>
      </c>
      <c r="F1124" t="inlineStr">
        <is>
          <t>Bergvik skog väst AB</t>
        </is>
      </c>
      <c r="G1124" t="n">
        <v>33.8</v>
      </c>
      <c r="H1124" t="n">
        <v>0</v>
      </c>
      <c r="I1124" t="n">
        <v>0</v>
      </c>
      <c r="J1124" t="n">
        <v>0</v>
      </c>
      <c r="K1124" t="n">
        <v>0</v>
      </c>
      <c r="L1124" t="n">
        <v>0</v>
      </c>
      <c r="M1124" t="n">
        <v>0</v>
      </c>
      <c r="N1124" t="n">
        <v>0</v>
      </c>
      <c r="O1124" t="n">
        <v>0</v>
      </c>
      <c r="P1124" t="n">
        <v>0</v>
      </c>
      <c r="Q1124" t="n">
        <v>0</v>
      </c>
      <c r="R1124" s="2" t="inlineStr"/>
    </row>
    <row r="1125" ht="15" customHeight="1">
      <c r="A1125" t="inlineStr">
        <is>
          <t>A 61361-2025</t>
        </is>
      </c>
      <c r="B1125" s="1" t="n">
        <v>46001</v>
      </c>
      <c r="C1125" s="1" t="n">
        <v>46191</v>
      </c>
      <c r="D1125" t="inlineStr">
        <is>
          <t>VÄRMLANDS LÄN</t>
        </is>
      </c>
      <c r="E1125" t="inlineStr">
        <is>
          <t>TORSBY</t>
        </is>
      </c>
      <c r="F1125" t="inlineStr">
        <is>
          <t>Bergvik skog väst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61365-2025</t>
        </is>
      </c>
      <c r="B1126" s="1" t="n">
        <v>46001</v>
      </c>
      <c r="C1126" s="1" t="n">
        <v>46191</v>
      </c>
      <c r="D1126" t="inlineStr">
        <is>
          <t>VÄRMLANDS LÄN</t>
        </is>
      </c>
      <c r="E1126" t="inlineStr">
        <is>
          <t>TORSBY</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19211-2026</t>
        </is>
      </c>
      <c r="B1127" s="1" t="n">
        <v>46132</v>
      </c>
      <c r="C1127" s="1" t="n">
        <v>46191</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52314-2024</t>
        </is>
      </c>
      <c r="B1128" s="1" t="n">
        <v>45608</v>
      </c>
      <c r="C1128" s="1" t="n">
        <v>46191</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19069-2026</t>
        </is>
      </c>
      <c r="B1129" s="1" t="n">
        <v>46132</v>
      </c>
      <c r="C1129" s="1" t="n">
        <v>46191</v>
      </c>
      <c r="D1129" t="inlineStr">
        <is>
          <t>VÄRMLANDS LÄN</t>
        </is>
      </c>
      <c r="E1129" t="inlineStr">
        <is>
          <t>TORSBY</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61510-2025</t>
        </is>
      </c>
      <c r="B1130" s="1" t="n">
        <v>46001</v>
      </c>
      <c r="C1130" s="1" t="n">
        <v>46191</v>
      </c>
      <c r="D1130" t="inlineStr">
        <is>
          <t>VÄRMLANDS LÄN</t>
        </is>
      </c>
      <c r="E1130" t="inlineStr">
        <is>
          <t>TORSBY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24755-2026</t>
        </is>
      </c>
      <c r="B1131" s="1" t="n">
        <v>46171</v>
      </c>
      <c r="C1131" s="1" t="n">
        <v>46191</v>
      </c>
      <c r="D1131" t="inlineStr">
        <is>
          <t>VÄRMLANDS LÄN</t>
        </is>
      </c>
      <c r="E1131" t="inlineStr">
        <is>
          <t>TORSBY</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30531-2023</t>
        </is>
      </c>
      <c r="B1132" s="1" t="n">
        <v>45111</v>
      </c>
      <c r="C1132" s="1" t="n">
        <v>46191</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24884-2026</t>
        </is>
      </c>
      <c r="B1133" s="1" t="n">
        <v>46174</v>
      </c>
      <c r="C1133" s="1" t="n">
        <v>46191</v>
      </c>
      <c r="D1133" t="inlineStr">
        <is>
          <t>VÄRMLANDS LÄN</t>
        </is>
      </c>
      <c r="E1133" t="inlineStr">
        <is>
          <t>TORSBY</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61367-2025</t>
        </is>
      </c>
      <c r="B1134" s="1" t="n">
        <v>46001</v>
      </c>
      <c r="C1134" s="1" t="n">
        <v>46191</v>
      </c>
      <c r="D1134" t="inlineStr">
        <is>
          <t>VÄRMLANDS LÄN</t>
        </is>
      </c>
      <c r="E1134" t="inlineStr">
        <is>
          <t>TORSBY</t>
        </is>
      </c>
      <c r="F1134" t="inlineStr">
        <is>
          <t>Bergvik skog väst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61368-2025</t>
        </is>
      </c>
      <c r="B1135" s="1" t="n">
        <v>46001</v>
      </c>
      <c r="C1135" s="1" t="n">
        <v>46191</v>
      </c>
      <c r="D1135" t="inlineStr">
        <is>
          <t>VÄRMLANDS LÄN</t>
        </is>
      </c>
      <c r="E1135" t="inlineStr">
        <is>
          <t>TORSBY</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61497-2025</t>
        </is>
      </c>
      <c r="B1136" s="1" t="n">
        <v>46001</v>
      </c>
      <c r="C1136" s="1" t="n">
        <v>46191</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61504-2025</t>
        </is>
      </c>
      <c r="B1137" s="1" t="n">
        <v>46001</v>
      </c>
      <c r="C1137" s="1" t="n">
        <v>46191</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18927-2026</t>
        </is>
      </c>
      <c r="B1138" s="1" t="n">
        <v>46129</v>
      </c>
      <c r="C1138" s="1" t="n">
        <v>46191</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62363-2025</t>
        </is>
      </c>
      <c r="B1139" s="1" t="n">
        <v>46006</v>
      </c>
      <c r="C1139" s="1" t="n">
        <v>46191</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19144-2026</t>
        </is>
      </c>
      <c r="B1140" s="1" t="n">
        <v>46132</v>
      </c>
      <c r="C1140" s="1" t="n">
        <v>46191</v>
      </c>
      <c r="D1140" t="inlineStr">
        <is>
          <t>VÄRMLANDS LÄN</t>
        </is>
      </c>
      <c r="E1140" t="inlineStr">
        <is>
          <t>TORSBY</t>
        </is>
      </c>
      <c r="F1140" t="inlineStr">
        <is>
          <t>Kommuner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62010-2025</t>
        </is>
      </c>
      <c r="B1141" s="1" t="n">
        <v>46003</v>
      </c>
      <c r="C1141" s="1" t="n">
        <v>46191</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62007-2025</t>
        </is>
      </c>
      <c r="B1142" s="1" t="n">
        <v>46003</v>
      </c>
      <c r="C1142" s="1" t="n">
        <v>46191</v>
      </c>
      <c r="D1142" t="inlineStr">
        <is>
          <t>VÄRMLANDS LÄN</t>
        </is>
      </c>
      <c r="E1142" t="inlineStr">
        <is>
          <t>TORSBY</t>
        </is>
      </c>
      <c r="F1142" t="inlineStr">
        <is>
          <t>Kommuner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62015-2025</t>
        </is>
      </c>
      <c r="B1143" s="1" t="n">
        <v>46003</v>
      </c>
      <c r="C1143" s="1" t="n">
        <v>46191</v>
      </c>
      <c r="D1143" t="inlineStr">
        <is>
          <t>VÄRMLANDS LÄN</t>
        </is>
      </c>
      <c r="E1143" t="inlineStr">
        <is>
          <t>TORSBY</t>
        </is>
      </c>
      <c r="F1143" t="inlineStr">
        <is>
          <t>Kommuner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18690-2026</t>
        </is>
      </c>
      <c r="B1144" s="1" t="n">
        <v>46128</v>
      </c>
      <c r="C1144" s="1" t="n">
        <v>46191</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62120-2025</t>
        </is>
      </c>
      <c r="B1145" s="1" t="n">
        <v>46006</v>
      </c>
      <c r="C1145" s="1" t="n">
        <v>46191</v>
      </c>
      <c r="D1145" t="inlineStr">
        <is>
          <t>VÄRMLANDS LÄN</t>
        </is>
      </c>
      <c r="E1145" t="inlineStr">
        <is>
          <t>TORSBY</t>
        </is>
      </c>
      <c r="F1145" t="inlineStr">
        <is>
          <t>Övriga statliga verk och myndigheter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62016-2025</t>
        </is>
      </c>
      <c r="B1146" s="1" t="n">
        <v>46003</v>
      </c>
      <c r="C1146" s="1" t="n">
        <v>46191</v>
      </c>
      <c r="D1146" t="inlineStr">
        <is>
          <t>VÄRMLANDS LÄN</t>
        </is>
      </c>
      <c r="E1146" t="inlineStr">
        <is>
          <t>TORSBY</t>
        </is>
      </c>
      <c r="F1146" t="inlineStr">
        <is>
          <t>Kommuner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24739-2026</t>
        </is>
      </c>
      <c r="B1147" s="1" t="n">
        <v>46171</v>
      </c>
      <c r="C1147" s="1" t="n">
        <v>46191</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56880-2023</t>
        </is>
      </c>
      <c r="B1148" s="1" t="n">
        <v>45244</v>
      </c>
      <c r="C1148" s="1" t="n">
        <v>46191</v>
      </c>
      <c r="D1148" t="inlineStr">
        <is>
          <t>VÄRMLANDS LÄN</t>
        </is>
      </c>
      <c r="E1148" t="inlineStr">
        <is>
          <t>TORSBY</t>
        </is>
      </c>
      <c r="F1148" t="inlineStr">
        <is>
          <t>Övriga Aktiebolag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56170-2023</t>
        </is>
      </c>
      <c r="B1149" s="1" t="n">
        <v>45240</v>
      </c>
      <c r="C1149" s="1" t="n">
        <v>46191</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6646-2024</t>
        </is>
      </c>
      <c r="B1150" s="1" t="n">
        <v>45341</v>
      </c>
      <c r="C1150" s="1" t="n">
        <v>46191</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6648-2024</t>
        </is>
      </c>
      <c r="B1151" s="1" t="n">
        <v>45341</v>
      </c>
      <c r="C1151" s="1" t="n">
        <v>46191</v>
      </c>
      <c r="D1151" t="inlineStr">
        <is>
          <t>VÄRMLANDS LÄN</t>
        </is>
      </c>
      <c r="E1151" t="inlineStr">
        <is>
          <t>TORSBY</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18337-2024</t>
        </is>
      </c>
      <c r="B1152" s="1" t="n">
        <v>45422</v>
      </c>
      <c r="C1152" s="1" t="n">
        <v>46191</v>
      </c>
      <c r="D1152" t="inlineStr">
        <is>
          <t>VÄRMLANDS LÄN</t>
        </is>
      </c>
      <c r="E1152" t="inlineStr">
        <is>
          <t>TORSBY</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62629-2025</t>
        </is>
      </c>
      <c r="B1153" s="1" t="n">
        <v>46008</v>
      </c>
      <c r="C1153" s="1" t="n">
        <v>46191</v>
      </c>
      <c r="D1153" t="inlineStr">
        <is>
          <t>VÄRMLANDS LÄN</t>
        </is>
      </c>
      <c r="E1153" t="inlineStr">
        <is>
          <t>TORSBY</t>
        </is>
      </c>
      <c r="F1153" t="inlineStr">
        <is>
          <t>Bergvik skog väst AB</t>
        </is>
      </c>
      <c r="G1153" t="n">
        <v>16.2</v>
      </c>
      <c r="H1153" t="n">
        <v>0</v>
      </c>
      <c r="I1153" t="n">
        <v>0</v>
      </c>
      <c r="J1153" t="n">
        <v>0</v>
      </c>
      <c r="K1153" t="n">
        <v>0</v>
      </c>
      <c r="L1153" t="n">
        <v>0</v>
      </c>
      <c r="M1153" t="n">
        <v>0</v>
      </c>
      <c r="N1153" t="n">
        <v>0</v>
      </c>
      <c r="O1153" t="n">
        <v>0</v>
      </c>
      <c r="P1153" t="n">
        <v>0</v>
      </c>
      <c r="Q1153" t="n">
        <v>0</v>
      </c>
      <c r="R1153" s="2" t="inlineStr"/>
    </row>
    <row r="1154" ht="15" customHeight="1">
      <c r="A1154" t="inlineStr">
        <is>
          <t>A 19191-2026</t>
        </is>
      </c>
      <c r="B1154" s="1" t="n">
        <v>46132</v>
      </c>
      <c r="C1154" s="1" t="n">
        <v>46191</v>
      </c>
      <c r="D1154" t="inlineStr">
        <is>
          <t>VÄRMLANDS LÄN</t>
        </is>
      </c>
      <c r="E1154" t="inlineStr">
        <is>
          <t>TORSBY</t>
        </is>
      </c>
      <c r="F1154" t="inlineStr">
        <is>
          <t>Bergvik skog väst AB</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55428-2022</t>
        </is>
      </c>
      <c r="B1155" s="1" t="n">
        <v>44887</v>
      </c>
      <c r="C1155" s="1" t="n">
        <v>46191</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19096-2026</t>
        </is>
      </c>
      <c r="B1156" s="1" t="n">
        <v>46132</v>
      </c>
      <c r="C1156" s="1" t="n">
        <v>46191</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18912-2026</t>
        </is>
      </c>
      <c r="B1157" s="1" t="n">
        <v>46129</v>
      </c>
      <c r="C1157" s="1" t="n">
        <v>46191</v>
      </c>
      <c r="D1157" t="inlineStr">
        <is>
          <t>VÄRMLANDS LÄN</t>
        </is>
      </c>
      <c r="E1157" t="inlineStr">
        <is>
          <t>TORSBY</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19023-2026</t>
        </is>
      </c>
      <c r="B1158" s="1" t="n">
        <v>46131</v>
      </c>
      <c r="C1158" s="1" t="n">
        <v>46191</v>
      </c>
      <c r="D1158" t="inlineStr">
        <is>
          <t>VÄRMLANDS LÄN</t>
        </is>
      </c>
      <c r="E1158" t="inlineStr">
        <is>
          <t>TORSBY</t>
        </is>
      </c>
      <c r="F1158" t="inlineStr">
        <is>
          <t>Bergvik skog väst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52901-2022</t>
        </is>
      </c>
      <c r="B1159" s="1" t="n">
        <v>44872</v>
      </c>
      <c r="C1159" s="1" t="n">
        <v>46191</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57452-2022</t>
        </is>
      </c>
      <c r="B1160" s="1" t="n">
        <v>44896</v>
      </c>
      <c r="C1160" s="1" t="n">
        <v>46191</v>
      </c>
      <c r="D1160" t="inlineStr">
        <is>
          <t>VÄRMLANDS LÄN</t>
        </is>
      </c>
      <c r="E1160" t="inlineStr">
        <is>
          <t>TORSBY</t>
        </is>
      </c>
      <c r="F1160" t="inlineStr">
        <is>
          <t>Bergvik skog väst AB</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32747-2021</t>
        </is>
      </c>
      <c r="B1161" s="1" t="n">
        <v>44375</v>
      </c>
      <c r="C1161" s="1" t="n">
        <v>46191</v>
      </c>
      <c r="D1161" t="inlineStr">
        <is>
          <t>VÄRMLANDS LÄN</t>
        </is>
      </c>
      <c r="E1161" t="inlineStr">
        <is>
          <t>TORSBY</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39069-2022</t>
        </is>
      </c>
      <c r="B1162" s="1" t="n">
        <v>44816</v>
      </c>
      <c r="C1162" s="1" t="n">
        <v>46191</v>
      </c>
      <c r="D1162" t="inlineStr">
        <is>
          <t>VÄRMLANDS LÄN</t>
        </is>
      </c>
      <c r="E1162" t="inlineStr">
        <is>
          <t>TORSBY</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10584-2023</t>
        </is>
      </c>
      <c r="B1163" s="1" t="n">
        <v>44988</v>
      </c>
      <c r="C1163" s="1" t="n">
        <v>46191</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25257-2026</t>
        </is>
      </c>
      <c r="B1164" s="1" t="n">
        <v>46175</v>
      </c>
      <c r="C1164" s="1" t="n">
        <v>46191</v>
      </c>
      <c r="D1164" t="inlineStr">
        <is>
          <t>VÄRMLANDS LÄN</t>
        </is>
      </c>
      <c r="E1164" t="inlineStr">
        <is>
          <t>TORSBY</t>
        </is>
      </c>
      <c r="F1164" t="inlineStr">
        <is>
          <t>Bergvik skog väst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19594-2026</t>
        </is>
      </c>
      <c r="B1165" s="1" t="n">
        <v>46134</v>
      </c>
      <c r="C1165" s="1" t="n">
        <v>46191</v>
      </c>
      <c r="D1165" t="inlineStr">
        <is>
          <t>VÄRMLANDS LÄN</t>
        </is>
      </c>
      <c r="E1165" t="inlineStr">
        <is>
          <t>TORSBY</t>
        </is>
      </c>
      <c r="F1165" t="inlineStr">
        <is>
          <t>Bergvik skog väst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67147-2021</t>
        </is>
      </c>
      <c r="B1166" s="1" t="n">
        <v>44523</v>
      </c>
      <c r="C1166" s="1" t="n">
        <v>46191</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63379-2025</t>
        </is>
      </c>
      <c r="B1167" s="1" t="n">
        <v>46010</v>
      </c>
      <c r="C1167" s="1" t="n">
        <v>46191</v>
      </c>
      <c r="D1167" t="inlineStr">
        <is>
          <t>VÄRMLANDS LÄN</t>
        </is>
      </c>
      <c r="E1167" t="inlineStr">
        <is>
          <t>TORSBY</t>
        </is>
      </c>
      <c r="F1167" t="inlineStr">
        <is>
          <t>Bergvik skog väst AB</t>
        </is>
      </c>
      <c r="G1167" t="n">
        <v>21.9</v>
      </c>
      <c r="H1167" t="n">
        <v>0</v>
      </c>
      <c r="I1167" t="n">
        <v>0</v>
      </c>
      <c r="J1167" t="n">
        <v>0</v>
      </c>
      <c r="K1167" t="n">
        <v>0</v>
      </c>
      <c r="L1167" t="n">
        <v>0</v>
      </c>
      <c r="M1167" t="n">
        <v>0</v>
      </c>
      <c r="N1167" t="n">
        <v>0</v>
      </c>
      <c r="O1167" t="n">
        <v>0</v>
      </c>
      <c r="P1167" t="n">
        <v>0</v>
      </c>
      <c r="Q1167" t="n">
        <v>0</v>
      </c>
      <c r="R1167" s="2" t="inlineStr"/>
    </row>
    <row r="1168" ht="15" customHeight="1">
      <c r="A1168" t="inlineStr">
        <is>
          <t>A 19652-2026</t>
        </is>
      </c>
      <c r="B1168" s="1" t="n">
        <v>46134</v>
      </c>
      <c r="C1168" s="1" t="n">
        <v>46191</v>
      </c>
      <c r="D1168" t="inlineStr">
        <is>
          <t>VÄRMLANDS LÄN</t>
        </is>
      </c>
      <c r="E1168" t="inlineStr">
        <is>
          <t>TORSBY</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25270-2026</t>
        </is>
      </c>
      <c r="B1169" s="1" t="n">
        <v>46176</v>
      </c>
      <c r="C1169" s="1" t="n">
        <v>46191</v>
      </c>
      <c r="D1169" t="inlineStr">
        <is>
          <t>VÄRMLANDS LÄN</t>
        </is>
      </c>
      <c r="E1169" t="inlineStr">
        <is>
          <t>TORSBY</t>
        </is>
      </c>
      <c r="F1169" t="inlineStr">
        <is>
          <t>Bergvik skog väst AB</t>
        </is>
      </c>
      <c r="G1169" t="n">
        <v>59.1</v>
      </c>
      <c r="H1169" t="n">
        <v>0</v>
      </c>
      <c r="I1169" t="n">
        <v>0</v>
      </c>
      <c r="J1169" t="n">
        <v>0</v>
      </c>
      <c r="K1169" t="n">
        <v>0</v>
      </c>
      <c r="L1169" t="n">
        <v>0</v>
      </c>
      <c r="M1169" t="n">
        <v>0</v>
      </c>
      <c r="N1169" t="n">
        <v>0</v>
      </c>
      <c r="O1169" t="n">
        <v>0</v>
      </c>
      <c r="P1169" t="n">
        <v>0</v>
      </c>
      <c r="Q1169" t="n">
        <v>0</v>
      </c>
      <c r="R1169" s="2" t="inlineStr"/>
    </row>
    <row r="1170" ht="15" customHeight="1">
      <c r="A1170" t="inlineStr">
        <is>
          <t>A 16591-2024</t>
        </is>
      </c>
      <c r="B1170" s="1" t="n">
        <v>45408</v>
      </c>
      <c r="C1170" s="1" t="n">
        <v>46191</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19646-2026</t>
        </is>
      </c>
      <c r="B1171" s="1" t="n">
        <v>46134</v>
      </c>
      <c r="C1171" s="1" t="n">
        <v>46191</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52581-2024</t>
        </is>
      </c>
      <c r="B1172" s="1" t="n">
        <v>45609</v>
      </c>
      <c r="C1172" s="1" t="n">
        <v>46191</v>
      </c>
      <c r="D1172" t="inlineStr">
        <is>
          <t>VÄRMLANDS LÄN</t>
        </is>
      </c>
      <c r="E1172" t="inlineStr">
        <is>
          <t>TORSBY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24244-2023</t>
        </is>
      </c>
      <c r="B1173" s="1" t="n">
        <v>45079</v>
      </c>
      <c r="C1173" s="1" t="n">
        <v>46191</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62210-2023</t>
        </is>
      </c>
      <c r="B1174" s="1" t="n">
        <v>45267</v>
      </c>
      <c r="C1174" s="1" t="n">
        <v>46191</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19627-2026</t>
        </is>
      </c>
      <c r="B1175" s="1" t="n">
        <v>46134</v>
      </c>
      <c r="C1175" s="1" t="n">
        <v>46191</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19675-2026</t>
        </is>
      </c>
      <c r="B1176" s="1" t="n">
        <v>46134</v>
      </c>
      <c r="C1176" s="1" t="n">
        <v>46191</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60148-2024</t>
        </is>
      </c>
      <c r="B1177" s="1" t="n">
        <v>45642</v>
      </c>
      <c r="C1177" s="1" t="n">
        <v>46191</v>
      </c>
      <c r="D1177" t="inlineStr">
        <is>
          <t>VÄRMLANDS LÄN</t>
        </is>
      </c>
      <c r="E1177" t="inlineStr">
        <is>
          <t>TORSBY</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27101-2024</t>
        </is>
      </c>
      <c r="B1178" s="1" t="n">
        <v>45471</v>
      </c>
      <c r="C1178" s="1" t="n">
        <v>46191</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27116-2024</t>
        </is>
      </c>
      <c r="B1179" s="1" t="n">
        <v>45471</v>
      </c>
      <c r="C1179" s="1" t="n">
        <v>46191</v>
      </c>
      <c r="D1179" t="inlineStr">
        <is>
          <t>VÄRMLANDS LÄN</t>
        </is>
      </c>
      <c r="E1179" t="inlineStr">
        <is>
          <t>TORSBY</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63626-2025</t>
        </is>
      </c>
      <c r="B1180" s="1" t="n">
        <v>46014</v>
      </c>
      <c r="C1180" s="1" t="n">
        <v>46191</v>
      </c>
      <c r="D1180" t="inlineStr">
        <is>
          <t>VÄRMLANDS LÄN</t>
        </is>
      </c>
      <c r="E1180" t="inlineStr">
        <is>
          <t>TORSBY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19423-2026</t>
        </is>
      </c>
      <c r="B1181" s="1" t="n">
        <v>46133</v>
      </c>
      <c r="C1181" s="1" t="n">
        <v>46191</v>
      </c>
      <c r="D1181" t="inlineStr">
        <is>
          <t>VÄRMLANDS LÄN</t>
        </is>
      </c>
      <c r="E1181" t="inlineStr">
        <is>
          <t>TORSBY</t>
        </is>
      </c>
      <c r="F1181" t="inlineStr">
        <is>
          <t>Bergvik skog väst AB</t>
        </is>
      </c>
      <c r="G1181" t="n">
        <v>10.7</v>
      </c>
      <c r="H1181" t="n">
        <v>0</v>
      </c>
      <c r="I1181" t="n">
        <v>0</v>
      </c>
      <c r="J1181" t="n">
        <v>0</v>
      </c>
      <c r="K1181" t="n">
        <v>0</v>
      </c>
      <c r="L1181" t="n">
        <v>0</v>
      </c>
      <c r="M1181" t="n">
        <v>0</v>
      </c>
      <c r="N1181" t="n">
        <v>0</v>
      </c>
      <c r="O1181" t="n">
        <v>0</v>
      </c>
      <c r="P1181" t="n">
        <v>0</v>
      </c>
      <c r="Q1181" t="n">
        <v>0</v>
      </c>
      <c r="R1181" s="2" t="inlineStr"/>
    </row>
    <row r="1182" ht="15" customHeight="1">
      <c r="A1182" t="inlineStr">
        <is>
          <t>A 63697-2025</t>
        </is>
      </c>
      <c r="B1182" s="1" t="n">
        <v>46014</v>
      </c>
      <c r="C1182" s="1" t="n">
        <v>46191</v>
      </c>
      <c r="D1182" t="inlineStr">
        <is>
          <t>VÄRMLANDS LÄN</t>
        </is>
      </c>
      <c r="E1182" t="inlineStr">
        <is>
          <t>TORSBY</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19385-2026</t>
        </is>
      </c>
      <c r="B1183" s="1" t="n">
        <v>46133</v>
      </c>
      <c r="C1183" s="1" t="n">
        <v>46191</v>
      </c>
      <c r="D1183" t="inlineStr">
        <is>
          <t>VÄRMLANDS LÄN</t>
        </is>
      </c>
      <c r="E1183" t="inlineStr">
        <is>
          <t>TORSBY</t>
        </is>
      </c>
      <c r="F1183" t="inlineStr">
        <is>
          <t>Bergvik skog väst AB</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19434-2026</t>
        </is>
      </c>
      <c r="B1184" s="1" t="n">
        <v>46133</v>
      </c>
      <c r="C1184" s="1" t="n">
        <v>46191</v>
      </c>
      <c r="D1184" t="inlineStr">
        <is>
          <t>VÄRMLANDS LÄN</t>
        </is>
      </c>
      <c r="E1184" t="inlineStr">
        <is>
          <t>TORSBY</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63636-2025</t>
        </is>
      </c>
      <c r="B1185" s="1" t="n">
        <v>46014</v>
      </c>
      <c r="C1185" s="1" t="n">
        <v>46191</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20872-2024</t>
        </is>
      </c>
      <c r="B1186" s="1" t="n">
        <v>45439</v>
      </c>
      <c r="C1186" s="1" t="n">
        <v>46191</v>
      </c>
      <c r="D1186" t="inlineStr">
        <is>
          <t>VÄRMLANDS LÄN</t>
        </is>
      </c>
      <c r="E1186" t="inlineStr">
        <is>
          <t>TORSBY</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61138-2022</t>
        </is>
      </c>
      <c r="B1187" s="1" t="n">
        <v>44915</v>
      </c>
      <c r="C1187" s="1" t="n">
        <v>46191</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64902-2021</t>
        </is>
      </c>
      <c r="B1188" s="1" t="n">
        <v>44512</v>
      </c>
      <c r="C1188" s="1" t="n">
        <v>46191</v>
      </c>
      <c r="D1188" t="inlineStr">
        <is>
          <t>VÄRMLANDS LÄN</t>
        </is>
      </c>
      <c r="E1188" t="inlineStr">
        <is>
          <t>TORSBY</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22662-2022</t>
        </is>
      </c>
      <c r="B1189" s="1" t="n">
        <v>44714</v>
      </c>
      <c r="C1189" s="1" t="n">
        <v>46191</v>
      </c>
      <c r="D1189" t="inlineStr">
        <is>
          <t>VÄRMLANDS LÄN</t>
        </is>
      </c>
      <c r="E1189" t="inlineStr">
        <is>
          <t>TORSBY</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51661-2024</t>
        </is>
      </c>
      <c r="B1190" s="1" t="n">
        <v>45606</v>
      </c>
      <c r="C1190" s="1" t="n">
        <v>46191</v>
      </c>
      <c r="D1190" t="inlineStr">
        <is>
          <t>VÄRMLANDS LÄN</t>
        </is>
      </c>
      <c r="E1190" t="inlineStr">
        <is>
          <t>TORSBY</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51663-2024</t>
        </is>
      </c>
      <c r="B1191" s="1" t="n">
        <v>45606</v>
      </c>
      <c r="C1191" s="1" t="n">
        <v>46191</v>
      </c>
      <c r="D1191" t="inlineStr">
        <is>
          <t>VÄRMLANDS LÄN</t>
        </is>
      </c>
      <c r="E1191" t="inlineStr">
        <is>
          <t>TORSBY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25493-2026</t>
        </is>
      </c>
      <c r="B1192" s="1" t="n">
        <v>46177</v>
      </c>
      <c r="C1192" s="1" t="n">
        <v>46191</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14292-2023</t>
        </is>
      </c>
      <c r="B1193" s="1" t="n">
        <v>45011</v>
      </c>
      <c r="C1193" s="1" t="n">
        <v>46191</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14293-2023</t>
        </is>
      </c>
      <c r="B1194" s="1" t="n">
        <v>45011</v>
      </c>
      <c r="C1194" s="1" t="n">
        <v>46191</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20054-2026</t>
        </is>
      </c>
      <c r="B1195" s="1" t="n">
        <v>46136</v>
      </c>
      <c r="C1195" s="1" t="n">
        <v>46191</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20072-2026</t>
        </is>
      </c>
      <c r="B1196" s="1" t="n">
        <v>46136</v>
      </c>
      <c r="C1196" s="1" t="n">
        <v>46191</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25496-2026</t>
        </is>
      </c>
      <c r="B1197" s="1" t="n">
        <v>46177</v>
      </c>
      <c r="C1197" s="1" t="n">
        <v>46191</v>
      </c>
      <c r="D1197" t="inlineStr">
        <is>
          <t>VÄRMLANDS LÄN</t>
        </is>
      </c>
      <c r="E1197" t="inlineStr">
        <is>
          <t>TORSBY</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26887-2024</t>
        </is>
      </c>
      <c r="B1198" s="1" t="n">
        <v>45470</v>
      </c>
      <c r="C1198" s="1" t="n">
        <v>46191</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21280-2024</t>
        </is>
      </c>
      <c r="B1199" s="1" t="n">
        <v>45440</v>
      </c>
      <c r="C1199" s="1" t="n">
        <v>46191</v>
      </c>
      <c r="D1199" t="inlineStr">
        <is>
          <t>VÄRMLANDS LÄN</t>
        </is>
      </c>
      <c r="E1199" t="inlineStr">
        <is>
          <t>TORSBY</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63781-2025</t>
        </is>
      </c>
      <c r="B1200" s="1" t="n">
        <v>46019</v>
      </c>
      <c r="C1200" s="1" t="n">
        <v>46191</v>
      </c>
      <c r="D1200" t="inlineStr">
        <is>
          <t>VÄRMLANDS LÄN</t>
        </is>
      </c>
      <c r="E1200" t="inlineStr">
        <is>
          <t>TORSBY</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47271-2021</t>
        </is>
      </c>
      <c r="B1201" s="1" t="n">
        <v>44447</v>
      </c>
      <c r="C1201" s="1" t="n">
        <v>46191</v>
      </c>
      <c r="D1201" t="inlineStr">
        <is>
          <t>VÄRMLANDS LÄN</t>
        </is>
      </c>
      <c r="E1201" t="inlineStr">
        <is>
          <t>TORSBY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53988-2022</t>
        </is>
      </c>
      <c r="B1202" s="1" t="n">
        <v>44876</v>
      </c>
      <c r="C1202" s="1" t="n">
        <v>46191</v>
      </c>
      <c r="D1202" t="inlineStr">
        <is>
          <t>VÄRMLANDS LÄN</t>
        </is>
      </c>
      <c r="E1202" t="inlineStr">
        <is>
          <t>TORSBY</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25949-2024</t>
        </is>
      </c>
      <c r="B1203" s="1" t="n">
        <v>45467</v>
      </c>
      <c r="C1203" s="1" t="n">
        <v>46191</v>
      </c>
      <c r="D1203" t="inlineStr">
        <is>
          <t>VÄRMLANDS LÄN</t>
        </is>
      </c>
      <c r="E1203" t="inlineStr">
        <is>
          <t>TORSBY</t>
        </is>
      </c>
      <c r="F1203" t="inlineStr">
        <is>
          <t>Bergvik skog väst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47465-2024</t>
        </is>
      </c>
      <c r="B1204" s="1" t="n">
        <v>45587</v>
      </c>
      <c r="C1204" s="1" t="n">
        <v>46191</v>
      </c>
      <c r="D1204" t="inlineStr">
        <is>
          <t>VÄRMLANDS LÄN</t>
        </is>
      </c>
      <c r="E1204" t="inlineStr">
        <is>
          <t>TORSBY</t>
        </is>
      </c>
      <c r="F1204" t="inlineStr">
        <is>
          <t>Övriga Aktiebolag</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20130-2026</t>
        </is>
      </c>
      <c r="B1205" s="1" t="n">
        <v>46136</v>
      </c>
      <c r="C1205" s="1" t="n">
        <v>46191</v>
      </c>
      <c r="D1205" t="inlineStr">
        <is>
          <t>VÄRMLANDS LÄN</t>
        </is>
      </c>
      <c r="E1205" t="inlineStr">
        <is>
          <t>TORSBY</t>
        </is>
      </c>
      <c r="F1205" t="inlineStr">
        <is>
          <t>Bergvik skog väst AB</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63908-2025</t>
        </is>
      </c>
      <c r="B1206" s="1" t="n">
        <v>46020</v>
      </c>
      <c r="C1206" s="1" t="n">
        <v>46191</v>
      </c>
      <c r="D1206" t="inlineStr">
        <is>
          <t>VÄRMLANDS LÄN</t>
        </is>
      </c>
      <c r="E1206" t="inlineStr">
        <is>
          <t>TORSBY</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25651-2026</t>
        </is>
      </c>
      <c r="B1207" s="1" t="n">
        <v>46177</v>
      </c>
      <c r="C1207" s="1" t="n">
        <v>46191</v>
      </c>
      <c r="D1207" t="inlineStr">
        <is>
          <t>VÄRMLANDS LÄN</t>
        </is>
      </c>
      <c r="E1207" t="inlineStr">
        <is>
          <t>TORSBY</t>
        </is>
      </c>
      <c r="F1207" t="inlineStr">
        <is>
          <t>Kyrkan</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29256-2023</t>
        </is>
      </c>
      <c r="B1208" s="1" t="n">
        <v>45105</v>
      </c>
      <c r="C1208" s="1" t="n">
        <v>46191</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13723-2023</t>
        </is>
      </c>
      <c r="B1209" s="1" t="n">
        <v>45007</v>
      </c>
      <c r="C1209" s="1" t="n">
        <v>46191</v>
      </c>
      <c r="D1209" t="inlineStr">
        <is>
          <t>VÄRMLANDS LÄN</t>
        </is>
      </c>
      <c r="E1209" t="inlineStr">
        <is>
          <t>TORSBY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19866-2026</t>
        </is>
      </c>
      <c r="B1210" s="1" t="n">
        <v>46135</v>
      </c>
      <c r="C1210" s="1" t="n">
        <v>46191</v>
      </c>
      <c r="D1210" t="inlineStr">
        <is>
          <t>VÄRMLANDS LÄN</t>
        </is>
      </c>
      <c r="E1210" t="inlineStr">
        <is>
          <t>TORSBY</t>
        </is>
      </c>
      <c r="F1210" t="inlineStr">
        <is>
          <t>Bergvik skog väst AB</t>
        </is>
      </c>
      <c r="G1210" t="n">
        <v>20.2</v>
      </c>
      <c r="H1210" t="n">
        <v>0</v>
      </c>
      <c r="I1210" t="n">
        <v>0</v>
      </c>
      <c r="J1210" t="n">
        <v>0</v>
      </c>
      <c r="K1210" t="n">
        <v>0</v>
      </c>
      <c r="L1210" t="n">
        <v>0</v>
      </c>
      <c r="M1210" t="n">
        <v>0</v>
      </c>
      <c r="N1210" t="n">
        <v>0</v>
      </c>
      <c r="O1210" t="n">
        <v>0</v>
      </c>
      <c r="P1210" t="n">
        <v>0</v>
      </c>
      <c r="Q1210" t="n">
        <v>0</v>
      </c>
      <c r="R1210" s="2" t="inlineStr"/>
    </row>
    <row r="1211" ht="15" customHeight="1">
      <c r="A1211" t="inlineStr">
        <is>
          <t>A 1104-2025</t>
        </is>
      </c>
      <c r="B1211" s="1" t="n">
        <v>45666</v>
      </c>
      <c r="C1211" s="1" t="n">
        <v>46191</v>
      </c>
      <c r="D1211" t="inlineStr">
        <is>
          <t>VÄRMLANDS LÄN</t>
        </is>
      </c>
      <c r="E1211" t="inlineStr">
        <is>
          <t>TORSBY</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16433-2023</t>
        </is>
      </c>
      <c r="B1212" s="1" t="n">
        <v>45022</v>
      </c>
      <c r="C1212" s="1" t="n">
        <v>46191</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21411-2023</t>
        </is>
      </c>
      <c r="B1213" s="1" t="n">
        <v>45063</v>
      </c>
      <c r="C1213" s="1" t="n">
        <v>46191</v>
      </c>
      <c r="D1213" t="inlineStr">
        <is>
          <t>VÄRMLANDS LÄN</t>
        </is>
      </c>
      <c r="E1213" t="inlineStr">
        <is>
          <t>TORSBY</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19961-2026</t>
        </is>
      </c>
      <c r="B1214" s="1" t="n">
        <v>46136</v>
      </c>
      <c r="C1214" s="1" t="n">
        <v>46191</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19755-2026</t>
        </is>
      </c>
      <c r="B1215" s="1" t="n">
        <v>46135</v>
      </c>
      <c r="C1215" s="1" t="n">
        <v>46191</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19756-2026</t>
        </is>
      </c>
      <c r="B1216" s="1" t="n">
        <v>46135</v>
      </c>
      <c r="C1216" s="1" t="n">
        <v>46191</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235-2026</t>
        </is>
      </c>
      <c r="B1217" s="1" t="n">
        <v>46027</v>
      </c>
      <c r="C1217" s="1" t="n">
        <v>46191</v>
      </c>
      <c r="D1217" t="inlineStr">
        <is>
          <t>VÄRMLANDS LÄN</t>
        </is>
      </c>
      <c r="E1217" t="inlineStr">
        <is>
          <t>TORSBY</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25747-2026</t>
        </is>
      </c>
      <c r="B1218" s="1" t="n">
        <v>46178</v>
      </c>
      <c r="C1218" s="1" t="n">
        <v>46191</v>
      </c>
      <c r="D1218" t="inlineStr">
        <is>
          <t>VÄRMLANDS LÄN</t>
        </is>
      </c>
      <c r="E1218" t="inlineStr">
        <is>
          <t>TORSBY</t>
        </is>
      </c>
      <c r="F1218" t="inlineStr">
        <is>
          <t>Bergvik skog väst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748-2026</t>
        </is>
      </c>
      <c r="B1219" s="1" t="n">
        <v>46029</v>
      </c>
      <c r="C1219" s="1" t="n">
        <v>46191</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19877-2026</t>
        </is>
      </c>
      <c r="B1220" s="1" t="n">
        <v>46135</v>
      </c>
      <c r="C1220" s="1" t="n">
        <v>46191</v>
      </c>
      <c r="D1220" t="inlineStr">
        <is>
          <t>VÄRMLANDS LÄN</t>
        </is>
      </c>
      <c r="E1220" t="inlineStr">
        <is>
          <t>TORSBY</t>
        </is>
      </c>
      <c r="F1220" t="inlineStr">
        <is>
          <t>Bergvik skog väst AB</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35057-2023</t>
        </is>
      </c>
      <c r="B1221" s="1" t="n">
        <v>45145</v>
      </c>
      <c r="C1221" s="1" t="n">
        <v>46191</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1045-2026</t>
        </is>
      </c>
      <c r="B1222" s="1" t="n">
        <v>46030</v>
      </c>
      <c r="C1222" s="1" t="n">
        <v>46191</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3442-2025</t>
        </is>
      </c>
      <c r="B1223" s="1" t="n">
        <v>45680</v>
      </c>
      <c r="C1223" s="1" t="n">
        <v>46191</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21365-2023</t>
        </is>
      </c>
      <c r="B1224" s="1" t="n">
        <v>45063</v>
      </c>
      <c r="C1224" s="1" t="n">
        <v>46191</v>
      </c>
      <c r="D1224" t="inlineStr">
        <is>
          <t>VÄRMLANDS LÄN</t>
        </is>
      </c>
      <c r="E1224" t="inlineStr">
        <is>
          <t>TORSBY</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3409-2025</t>
        </is>
      </c>
      <c r="B1225" s="1" t="n">
        <v>45680</v>
      </c>
      <c r="C1225" s="1" t="n">
        <v>46191</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1148-2026</t>
        </is>
      </c>
      <c r="B1226" s="1" t="n">
        <v>46030</v>
      </c>
      <c r="C1226" s="1" t="n">
        <v>46191</v>
      </c>
      <c r="D1226" t="inlineStr">
        <is>
          <t>VÄRMLANDS LÄN</t>
        </is>
      </c>
      <c r="E1226" t="inlineStr">
        <is>
          <t>TORSBY</t>
        </is>
      </c>
      <c r="F1226" t="inlineStr">
        <is>
          <t>Bergvik skog väst AB</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60781-2024</t>
        </is>
      </c>
      <c r="B1227" s="1" t="n">
        <v>45642</v>
      </c>
      <c r="C1227" s="1" t="n">
        <v>46191</v>
      </c>
      <c r="D1227" t="inlineStr">
        <is>
          <t>VÄRMLANDS LÄN</t>
        </is>
      </c>
      <c r="E1227" t="inlineStr">
        <is>
          <t>TORSBY</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19900-2026</t>
        </is>
      </c>
      <c r="B1228" s="1" t="n">
        <v>46136</v>
      </c>
      <c r="C1228" s="1" t="n">
        <v>46191</v>
      </c>
      <c r="D1228" t="inlineStr">
        <is>
          <t>VÄRMLANDS LÄN</t>
        </is>
      </c>
      <c r="E1228" t="inlineStr">
        <is>
          <t>TORSBY</t>
        </is>
      </c>
      <c r="F1228" t="inlineStr">
        <is>
          <t>Bergvik skog väst AB</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48239-2022</t>
        </is>
      </c>
      <c r="B1229" s="1" t="n">
        <v>44858</v>
      </c>
      <c r="C1229" s="1" t="n">
        <v>46191</v>
      </c>
      <c r="D1229" t="inlineStr">
        <is>
          <t>VÄRMLANDS LÄN</t>
        </is>
      </c>
      <c r="E1229" t="inlineStr">
        <is>
          <t>TORSBY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25653-2026</t>
        </is>
      </c>
      <c r="B1230" s="1" t="n">
        <v>46178</v>
      </c>
      <c r="C1230" s="1" t="n">
        <v>46191</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22124-2022</t>
        </is>
      </c>
      <c r="B1231" s="1" t="n">
        <v>44712</v>
      </c>
      <c r="C1231" s="1" t="n">
        <v>46191</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991-2026</t>
        </is>
      </c>
      <c r="B1232" s="1" t="n">
        <v>46030</v>
      </c>
      <c r="C1232" s="1" t="n">
        <v>46191</v>
      </c>
      <c r="D1232" t="inlineStr">
        <is>
          <t>VÄRMLANDS LÄN</t>
        </is>
      </c>
      <c r="E1232" t="inlineStr">
        <is>
          <t>TORSBY</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6708-2023</t>
        </is>
      </c>
      <c r="B1233" s="1" t="n">
        <v>44960</v>
      </c>
      <c r="C1233" s="1" t="n">
        <v>46191</v>
      </c>
      <c r="D1233" t="inlineStr">
        <is>
          <t>VÄRMLANDS LÄN</t>
        </is>
      </c>
      <c r="E1233" t="inlineStr">
        <is>
          <t>TORSBY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53744-2024</t>
        </is>
      </c>
      <c r="B1234" s="1" t="n">
        <v>45615</v>
      </c>
      <c r="C1234" s="1" t="n">
        <v>46191</v>
      </c>
      <c r="D1234" t="inlineStr">
        <is>
          <t>VÄRMLANDS LÄN</t>
        </is>
      </c>
      <c r="E1234" t="inlineStr">
        <is>
          <t>TORSBY</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1100-2025</t>
        </is>
      </c>
      <c r="B1235" s="1" t="n">
        <v>45666</v>
      </c>
      <c r="C1235" s="1" t="n">
        <v>46191</v>
      </c>
      <c r="D1235" t="inlineStr">
        <is>
          <t>VÄRMLANDS LÄN</t>
        </is>
      </c>
      <c r="E1235" t="inlineStr">
        <is>
          <t>TORSBY</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10895-2024</t>
        </is>
      </c>
      <c r="B1236" s="1" t="n">
        <v>45370</v>
      </c>
      <c r="C1236" s="1" t="n">
        <v>46191</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58728-2021</t>
        </is>
      </c>
      <c r="B1237" s="1" t="n">
        <v>44489</v>
      </c>
      <c r="C1237" s="1" t="n">
        <v>46191</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62445-2023</t>
        </is>
      </c>
      <c r="B1238" s="1" t="n">
        <v>45268</v>
      </c>
      <c r="C1238" s="1" t="n">
        <v>46191</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28624-2024</t>
        </is>
      </c>
      <c r="B1239" s="1" t="n">
        <v>45478</v>
      </c>
      <c r="C1239" s="1" t="n">
        <v>46191</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34655-2022</t>
        </is>
      </c>
      <c r="B1240" s="1" t="n">
        <v>44795</v>
      </c>
      <c r="C1240" s="1" t="n">
        <v>46191</v>
      </c>
      <c r="D1240" t="inlineStr">
        <is>
          <t>VÄRMLANDS LÄN</t>
        </is>
      </c>
      <c r="E1240" t="inlineStr">
        <is>
          <t>TORSBY</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25603-2026</t>
        </is>
      </c>
      <c r="B1241" s="1" t="n">
        <v>46177</v>
      </c>
      <c r="C1241" s="1" t="n">
        <v>46191</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522-2023</t>
        </is>
      </c>
      <c r="B1242" s="1" t="n">
        <v>44930</v>
      </c>
      <c r="C1242" s="1" t="n">
        <v>46191</v>
      </c>
      <c r="D1242" t="inlineStr">
        <is>
          <t>VÄRMLANDS LÄN</t>
        </is>
      </c>
      <c r="E1242" t="inlineStr">
        <is>
          <t>TORSBY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66978-2021</t>
        </is>
      </c>
      <c r="B1243" s="1" t="n">
        <v>44522</v>
      </c>
      <c r="C1243" s="1" t="n">
        <v>46191</v>
      </c>
      <c r="D1243" t="inlineStr">
        <is>
          <t>VÄRMLANDS LÄN</t>
        </is>
      </c>
      <c r="E1243" t="inlineStr">
        <is>
          <t>TORSBY</t>
        </is>
      </c>
      <c r="F1243" t="inlineStr">
        <is>
          <t>Kommuner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1428-2026</t>
        </is>
      </c>
      <c r="B1244" s="1" t="n">
        <v>46032</v>
      </c>
      <c r="C1244" s="1" t="n">
        <v>46191</v>
      </c>
      <c r="D1244" t="inlineStr">
        <is>
          <t>VÄRMLANDS LÄN</t>
        </is>
      </c>
      <c r="E1244" t="inlineStr">
        <is>
          <t>TORSBY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1635-2026</t>
        </is>
      </c>
      <c r="B1245" s="1" t="n">
        <v>46034</v>
      </c>
      <c r="C1245" s="1" t="n">
        <v>46191</v>
      </c>
      <c r="D1245" t="inlineStr">
        <is>
          <t>VÄRMLANDS LÄN</t>
        </is>
      </c>
      <c r="E1245" t="inlineStr">
        <is>
          <t>TORSBY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25502-2026</t>
        </is>
      </c>
      <c r="B1246" s="1" t="n">
        <v>46177</v>
      </c>
      <c r="C1246" s="1" t="n">
        <v>46191</v>
      </c>
      <c r="D1246" t="inlineStr">
        <is>
          <t>VÄRMLANDS LÄN</t>
        </is>
      </c>
      <c r="E1246" t="inlineStr">
        <is>
          <t>TORSBY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21089-2022</t>
        </is>
      </c>
      <c r="B1247" s="1" t="n">
        <v>44704</v>
      </c>
      <c r="C1247" s="1" t="n">
        <v>46191</v>
      </c>
      <c r="D1247" t="inlineStr">
        <is>
          <t>VÄRMLANDS LÄN</t>
        </is>
      </c>
      <c r="E1247" t="inlineStr">
        <is>
          <t>TORSBY</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34667-2022</t>
        </is>
      </c>
      <c r="B1248" s="1" t="n">
        <v>44795</v>
      </c>
      <c r="C1248" s="1" t="n">
        <v>46191</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26124-2024</t>
        </is>
      </c>
      <c r="B1249" s="1" t="n">
        <v>45468</v>
      </c>
      <c r="C1249" s="1" t="n">
        <v>46191</v>
      </c>
      <c r="D1249" t="inlineStr">
        <is>
          <t>VÄRMLANDS LÄN</t>
        </is>
      </c>
      <c r="E1249" t="inlineStr">
        <is>
          <t>TORSBY</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25898-2026</t>
        </is>
      </c>
      <c r="B1250" s="1" t="n">
        <v>46178</v>
      </c>
      <c r="C1250" s="1" t="n">
        <v>46191</v>
      </c>
      <c r="D1250" t="inlineStr">
        <is>
          <t>VÄRMLANDS LÄN</t>
        </is>
      </c>
      <c r="E1250" t="inlineStr">
        <is>
          <t>TORSBY</t>
        </is>
      </c>
      <c r="F1250" t="inlineStr">
        <is>
          <t>Bergvik skog väst AB</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19971-2026</t>
        </is>
      </c>
      <c r="B1251" s="1" t="n">
        <v>46136</v>
      </c>
      <c r="C1251" s="1" t="n">
        <v>46191</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25454-2026</t>
        </is>
      </c>
      <c r="B1252" s="1" t="n">
        <v>46177</v>
      </c>
      <c r="C1252" s="1" t="n">
        <v>46191</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37340-2022</t>
        </is>
      </c>
      <c r="B1253" s="1" t="n">
        <v>44809</v>
      </c>
      <c r="C1253" s="1" t="n">
        <v>46191</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61428-2022</t>
        </is>
      </c>
      <c r="B1254" s="1" t="n">
        <v>44910</v>
      </c>
      <c r="C1254" s="1" t="n">
        <v>46191</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61432-2022</t>
        </is>
      </c>
      <c r="B1255" s="1" t="n">
        <v>44910</v>
      </c>
      <c r="C1255" s="1" t="n">
        <v>46191</v>
      </c>
      <c r="D1255" t="inlineStr">
        <is>
          <t>VÄRMLANDS LÄN</t>
        </is>
      </c>
      <c r="E1255" t="inlineStr">
        <is>
          <t>TORSBY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25547-2026</t>
        </is>
      </c>
      <c r="B1256" s="1" t="n">
        <v>46177</v>
      </c>
      <c r="C1256" s="1" t="n">
        <v>46191</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25904-2026</t>
        </is>
      </c>
      <c r="B1257" s="1" t="n">
        <v>46178</v>
      </c>
      <c r="C1257" s="1" t="n">
        <v>46191</v>
      </c>
      <c r="D1257" t="inlineStr">
        <is>
          <t>VÄRMLANDS LÄN</t>
        </is>
      </c>
      <c r="E1257" t="inlineStr">
        <is>
          <t>TORSBY</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11121-2024</t>
        </is>
      </c>
      <c r="B1258" s="1" t="n">
        <v>45371</v>
      </c>
      <c r="C1258" s="1" t="n">
        <v>46191</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19967-2026</t>
        </is>
      </c>
      <c r="B1259" s="1" t="n">
        <v>46136</v>
      </c>
      <c r="C1259" s="1" t="n">
        <v>46191</v>
      </c>
      <c r="D1259" t="inlineStr">
        <is>
          <t>VÄRMLANDS LÄN</t>
        </is>
      </c>
      <c r="E1259" t="inlineStr">
        <is>
          <t>TORSBY</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21974-2025</t>
        </is>
      </c>
      <c r="B1260" s="1" t="n">
        <v>45784</v>
      </c>
      <c r="C1260" s="1" t="n">
        <v>46191</v>
      </c>
      <c r="D1260" t="inlineStr">
        <is>
          <t>VÄRMLANDS LÄN</t>
        </is>
      </c>
      <c r="E1260" t="inlineStr">
        <is>
          <t>TORSBY</t>
        </is>
      </c>
      <c r="F1260" t="inlineStr">
        <is>
          <t>Bergvik skog väst AB</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7643-2025</t>
        </is>
      </c>
      <c r="B1261" s="1" t="n">
        <v>45705</v>
      </c>
      <c r="C1261" s="1" t="n">
        <v>46191</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61128-2022</t>
        </is>
      </c>
      <c r="B1262" s="1" t="n">
        <v>44915</v>
      </c>
      <c r="C1262" s="1" t="n">
        <v>46191</v>
      </c>
      <c r="D1262" t="inlineStr">
        <is>
          <t>VÄRMLANDS LÄN</t>
        </is>
      </c>
      <c r="E1262" t="inlineStr">
        <is>
          <t>TORSBY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41671-2021</t>
        </is>
      </c>
      <c r="B1263" s="1" t="n">
        <v>44425</v>
      </c>
      <c r="C1263" s="1" t="n">
        <v>46191</v>
      </c>
      <c r="D1263" t="inlineStr">
        <is>
          <t>VÄRMLANDS LÄN</t>
        </is>
      </c>
      <c r="E1263" t="inlineStr">
        <is>
          <t>TORSBY</t>
        </is>
      </c>
      <c r="F1263" t="inlineStr">
        <is>
          <t>Övriga Aktiebolag</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27086-2024</t>
        </is>
      </c>
      <c r="B1264" s="1" t="n">
        <v>45471</v>
      </c>
      <c r="C1264" s="1" t="n">
        <v>46191</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14025-2025</t>
        </is>
      </c>
      <c r="B1265" s="1" t="n">
        <v>45740</v>
      </c>
      <c r="C1265" s="1" t="n">
        <v>46191</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38232-2025</t>
        </is>
      </c>
      <c r="B1266" s="1" t="n">
        <v>45883</v>
      </c>
      <c r="C1266" s="1" t="n">
        <v>46191</v>
      </c>
      <c r="D1266" t="inlineStr">
        <is>
          <t>VÄRMLANDS LÄN</t>
        </is>
      </c>
      <c r="E1266" t="inlineStr">
        <is>
          <t>TORSBY</t>
        </is>
      </c>
      <c r="F1266" t="inlineStr">
        <is>
          <t>Bergvik skog väst AB</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35367-2025</t>
        </is>
      </c>
      <c r="B1267" s="1" t="n">
        <v>45854</v>
      </c>
      <c r="C1267" s="1" t="n">
        <v>46191</v>
      </c>
      <c r="D1267" t="inlineStr">
        <is>
          <t>VÄRMLANDS LÄN</t>
        </is>
      </c>
      <c r="E1267" t="inlineStr">
        <is>
          <t>TORSBY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21580-2024</t>
        </is>
      </c>
      <c r="B1268" s="1" t="n">
        <v>45441</v>
      </c>
      <c r="C1268" s="1" t="n">
        <v>46191</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12402-2025</t>
        </is>
      </c>
      <c r="B1269" s="1" t="n">
        <v>45730</v>
      </c>
      <c r="C1269" s="1" t="n">
        <v>46191</v>
      </c>
      <c r="D1269" t="inlineStr">
        <is>
          <t>VÄRMLANDS LÄN</t>
        </is>
      </c>
      <c r="E1269" t="inlineStr">
        <is>
          <t>TORSBY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40221-2022</t>
        </is>
      </c>
      <c r="B1270" s="1" t="n">
        <v>44820</v>
      </c>
      <c r="C1270" s="1" t="n">
        <v>46191</v>
      </c>
      <c r="D1270" t="inlineStr">
        <is>
          <t>VÄRMLANDS LÄN</t>
        </is>
      </c>
      <c r="E1270" t="inlineStr">
        <is>
          <t>TORSBY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21576-2025</t>
        </is>
      </c>
      <c r="B1271" s="1" t="n">
        <v>45782</v>
      </c>
      <c r="C1271" s="1" t="n">
        <v>46191</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14581-2023</t>
        </is>
      </c>
      <c r="B1272" s="1" t="n">
        <v>45013</v>
      </c>
      <c r="C1272" s="1" t="n">
        <v>46191</v>
      </c>
      <c r="D1272" t="inlineStr">
        <is>
          <t>VÄRMLANDS LÄN</t>
        </is>
      </c>
      <c r="E1272" t="inlineStr">
        <is>
          <t>TORSBY</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30607-2025</t>
        </is>
      </c>
      <c r="B1273" s="1" t="n">
        <v>45831</v>
      </c>
      <c r="C1273" s="1" t="n">
        <v>46191</v>
      </c>
      <c r="D1273" t="inlineStr">
        <is>
          <t>VÄRMLANDS LÄN</t>
        </is>
      </c>
      <c r="E1273" t="inlineStr">
        <is>
          <t>TORSBY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20538-2026</t>
        </is>
      </c>
      <c r="B1274" s="1" t="n">
        <v>46140</v>
      </c>
      <c r="C1274" s="1" t="n">
        <v>46191</v>
      </c>
      <c r="D1274" t="inlineStr">
        <is>
          <t>VÄRMLANDS LÄN</t>
        </is>
      </c>
      <c r="E1274" t="inlineStr">
        <is>
          <t>TORSBY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2279-2026</t>
        </is>
      </c>
      <c r="B1275" s="1" t="n">
        <v>46036</v>
      </c>
      <c r="C1275" s="1" t="n">
        <v>46191</v>
      </c>
      <c r="D1275" t="inlineStr">
        <is>
          <t>VÄRMLANDS LÄN</t>
        </is>
      </c>
      <c r="E1275" t="inlineStr">
        <is>
          <t>TORSBY</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3387-2025</t>
        </is>
      </c>
      <c r="B1276" s="1" t="n">
        <v>45680</v>
      </c>
      <c r="C1276" s="1" t="n">
        <v>46191</v>
      </c>
      <c r="D1276" t="inlineStr">
        <is>
          <t>VÄRMLANDS LÄN</t>
        </is>
      </c>
      <c r="E1276" t="inlineStr">
        <is>
          <t>TORSBY</t>
        </is>
      </c>
      <c r="F1276" t="inlineStr">
        <is>
          <t>Kommuner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30433-2025</t>
        </is>
      </c>
      <c r="B1277" s="1" t="n">
        <v>45827</v>
      </c>
      <c r="C1277" s="1" t="n">
        <v>46191</v>
      </c>
      <c r="D1277" t="inlineStr">
        <is>
          <t>VÄRMLANDS LÄN</t>
        </is>
      </c>
      <c r="E1277" t="inlineStr">
        <is>
          <t>TORSBY</t>
        </is>
      </c>
      <c r="G1277" t="n">
        <v>13.4</v>
      </c>
      <c r="H1277" t="n">
        <v>0</v>
      </c>
      <c r="I1277" t="n">
        <v>0</v>
      </c>
      <c r="J1277" t="n">
        <v>0</v>
      </c>
      <c r="K1277" t="n">
        <v>0</v>
      </c>
      <c r="L1277" t="n">
        <v>0</v>
      </c>
      <c r="M1277" t="n">
        <v>0</v>
      </c>
      <c r="N1277" t="n">
        <v>0</v>
      </c>
      <c r="O1277" t="n">
        <v>0</v>
      </c>
      <c r="P1277" t="n">
        <v>0</v>
      </c>
      <c r="Q1277" t="n">
        <v>0</v>
      </c>
      <c r="R1277" s="2" t="inlineStr"/>
    </row>
    <row r="1278" ht="15" customHeight="1">
      <c r="A1278" t="inlineStr">
        <is>
          <t>A 2351-2026</t>
        </is>
      </c>
      <c r="B1278" s="1" t="n">
        <v>46036</v>
      </c>
      <c r="C1278" s="1" t="n">
        <v>46191</v>
      </c>
      <c r="D1278" t="inlineStr">
        <is>
          <t>VÄRMLANDS LÄN</t>
        </is>
      </c>
      <c r="E1278" t="inlineStr">
        <is>
          <t>TORSBY</t>
        </is>
      </c>
      <c r="F1278" t="inlineStr">
        <is>
          <t>Bergvik skog väst AB</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45587-2023</t>
        </is>
      </c>
      <c r="B1279" s="1" t="n">
        <v>45194</v>
      </c>
      <c r="C1279" s="1" t="n">
        <v>46191</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42834-2024</t>
        </is>
      </c>
      <c r="B1280" s="1" t="n">
        <v>45566</v>
      </c>
      <c r="C1280" s="1" t="n">
        <v>46191</v>
      </c>
      <c r="D1280" t="inlineStr">
        <is>
          <t>VÄRMLANDS LÄN</t>
        </is>
      </c>
      <c r="E1280" t="inlineStr">
        <is>
          <t>TORSBY</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24004-2024</t>
        </is>
      </c>
      <c r="B1281" s="1" t="n">
        <v>45456</v>
      </c>
      <c r="C1281" s="1" t="n">
        <v>46191</v>
      </c>
      <c r="D1281" t="inlineStr">
        <is>
          <t>VÄRMLANDS LÄN</t>
        </is>
      </c>
      <c r="E1281" t="inlineStr">
        <is>
          <t>TORSBY</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56430-2024</t>
        </is>
      </c>
      <c r="B1282" s="1" t="n">
        <v>45625</v>
      </c>
      <c r="C1282" s="1" t="n">
        <v>46191</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10888-2023</t>
        </is>
      </c>
      <c r="B1283" s="1" t="n">
        <v>44985</v>
      </c>
      <c r="C1283" s="1" t="n">
        <v>46191</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44448-2024</t>
        </is>
      </c>
      <c r="B1284" s="1" t="n">
        <v>45574</v>
      </c>
      <c r="C1284" s="1" t="n">
        <v>46191</v>
      </c>
      <c r="D1284" t="inlineStr">
        <is>
          <t>VÄRMLANDS LÄN</t>
        </is>
      </c>
      <c r="E1284" t="inlineStr">
        <is>
          <t>TORSBY</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36917-2024</t>
        </is>
      </c>
      <c r="B1285" s="1" t="n">
        <v>45538</v>
      </c>
      <c r="C1285" s="1" t="n">
        <v>46191</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36922-2024</t>
        </is>
      </c>
      <c r="B1286" s="1" t="n">
        <v>45538</v>
      </c>
      <c r="C1286" s="1" t="n">
        <v>46191</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3841-2022</t>
        </is>
      </c>
      <c r="B1287" s="1" t="n">
        <v>44587</v>
      </c>
      <c r="C1287" s="1" t="n">
        <v>46191</v>
      </c>
      <c r="D1287" t="inlineStr">
        <is>
          <t>VÄRMLANDS LÄN</t>
        </is>
      </c>
      <c r="E1287" t="inlineStr">
        <is>
          <t>TORSBY</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50973-2023</t>
        </is>
      </c>
      <c r="B1288" s="1" t="n">
        <v>45218</v>
      </c>
      <c r="C1288" s="1" t="n">
        <v>46191</v>
      </c>
      <c r="D1288" t="inlineStr">
        <is>
          <t>VÄRMLANDS LÄN</t>
        </is>
      </c>
      <c r="E1288" t="inlineStr">
        <is>
          <t>TORSBY</t>
        </is>
      </c>
      <c r="G1288" t="n">
        <v>10.7</v>
      </c>
      <c r="H1288" t="n">
        <v>0</v>
      </c>
      <c r="I1288" t="n">
        <v>0</v>
      </c>
      <c r="J1288" t="n">
        <v>0</v>
      </c>
      <c r="K1288" t="n">
        <v>0</v>
      </c>
      <c r="L1288" t="n">
        <v>0</v>
      </c>
      <c r="M1288" t="n">
        <v>0</v>
      </c>
      <c r="N1288" t="n">
        <v>0</v>
      </c>
      <c r="O1288" t="n">
        <v>0</v>
      </c>
      <c r="P1288" t="n">
        <v>0</v>
      </c>
      <c r="Q1288" t="n">
        <v>0</v>
      </c>
      <c r="R1288" s="2" t="inlineStr"/>
    </row>
    <row r="1289" ht="15" customHeight="1">
      <c r="A1289" t="inlineStr">
        <is>
          <t>A 47355-2023</t>
        </is>
      </c>
      <c r="B1289" s="1" t="n">
        <v>45202</v>
      </c>
      <c r="C1289" s="1" t="n">
        <v>46191</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60537-2024</t>
        </is>
      </c>
      <c r="B1290" s="1" t="n">
        <v>45643</v>
      </c>
      <c r="C1290" s="1" t="n">
        <v>46191</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15773-2023</t>
        </is>
      </c>
      <c r="B1291" s="1" t="n">
        <v>45021</v>
      </c>
      <c r="C1291" s="1" t="n">
        <v>46191</v>
      </c>
      <c r="D1291" t="inlineStr">
        <is>
          <t>VÄRMLANDS LÄN</t>
        </is>
      </c>
      <c r="E1291" t="inlineStr">
        <is>
          <t>TORSBY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3667-2023</t>
        </is>
      </c>
      <c r="B1292" s="1" t="n">
        <v>44950</v>
      </c>
      <c r="C1292" s="1" t="n">
        <v>46191</v>
      </c>
      <c r="D1292" t="inlineStr">
        <is>
          <t>VÄRMLANDS LÄN</t>
        </is>
      </c>
      <c r="E1292" t="inlineStr">
        <is>
          <t>TORSBY</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57393-2022</t>
        </is>
      </c>
      <c r="B1293" s="1" t="n">
        <v>44896</v>
      </c>
      <c r="C1293" s="1" t="n">
        <v>46191</v>
      </c>
      <c r="D1293" t="inlineStr">
        <is>
          <t>VÄRMLANDS LÄN</t>
        </is>
      </c>
      <c r="E1293" t="inlineStr">
        <is>
          <t>TORSBY</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63032-2023</t>
        </is>
      </c>
      <c r="B1294" s="1" t="n">
        <v>45272</v>
      </c>
      <c r="C1294" s="1" t="n">
        <v>46191</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58951-2022</t>
        </is>
      </c>
      <c r="B1295" s="1" t="n">
        <v>44903</v>
      </c>
      <c r="C1295" s="1" t="n">
        <v>46191</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1120-2023</t>
        </is>
      </c>
      <c r="B1296" s="1" t="n">
        <v>44935</v>
      </c>
      <c r="C1296" s="1" t="n">
        <v>46191</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2008-2026</t>
        </is>
      </c>
      <c r="B1297" s="1" t="n">
        <v>46035</v>
      </c>
      <c r="C1297" s="1" t="n">
        <v>46191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33338-2024</t>
        </is>
      </c>
      <c r="B1298" s="1" t="n">
        <v>45519</v>
      </c>
      <c r="C1298" s="1" t="n">
        <v>46191</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54023-2024</t>
        </is>
      </c>
      <c r="B1299" s="1" t="n">
        <v>45616</v>
      </c>
      <c r="C1299" s="1" t="n">
        <v>46191</v>
      </c>
      <c r="D1299" t="inlineStr">
        <is>
          <t>VÄRMLANDS LÄN</t>
        </is>
      </c>
      <c r="E1299" t="inlineStr">
        <is>
          <t>TORSBY</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54027-2024</t>
        </is>
      </c>
      <c r="B1300" s="1" t="n">
        <v>45616</v>
      </c>
      <c r="C1300" s="1" t="n">
        <v>46191</v>
      </c>
      <c r="D1300" t="inlineStr">
        <is>
          <t>VÄRMLANDS LÄN</t>
        </is>
      </c>
      <c r="E1300" t="inlineStr">
        <is>
          <t>TORSBY</t>
        </is>
      </c>
      <c r="F1300" t="inlineStr">
        <is>
          <t>Bergvik skog väst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14614-2025</t>
        </is>
      </c>
      <c r="B1301" s="1" t="n">
        <v>45742</v>
      </c>
      <c r="C1301" s="1" t="n">
        <v>46191</v>
      </c>
      <c r="D1301" t="inlineStr">
        <is>
          <t>VÄRMLANDS LÄN</t>
        </is>
      </c>
      <c r="E1301" t="inlineStr">
        <is>
          <t>TORSBY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43179-2023</t>
        </is>
      </c>
      <c r="B1302" s="1" t="n">
        <v>45183</v>
      </c>
      <c r="C1302" s="1" t="n">
        <v>46191</v>
      </c>
      <c r="D1302" t="inlineStr">
        <is>
          <t>VÄRMLANDS LÄN</t>
        </is>
      </c>
      <c r="E1302" t="inlineStr">
        <is>
          <t>TORSBY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17687-2024</t>
        </is>
      </c>
      <c r="B1303" s="1" t="n">
        <v>45418</v>
      </c>
      <c r="C1303" s="1" t="n">
        <v>46191</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68136-2021</t>
        </is>
      </c>
      <c r="B1304" s="1" t="n">
        <v>44526</v>
      </c>
      <c r="C1304" s="1" t="n">
        <v>46191</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11214-2024</t>
        </is>
      </c>
      <c r="B1305" s="1" t="n">
        <v>45371</v>
      </c>
      <c r="C1305" s="1" t="n">
        <v>46191</v>
      </c>
      <c r="D1305" t="inlineStr">
        <is>
          <t>VÄRMLANDS LÄN</t>
        </is>
      </c>
      <c r="E1305" t="inlineStr">
        <is>
          <t>TORSBY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37904-2025</t>
        </is>
      </c>
      <c r="B1306" s="1" t="n">
        <v>45881</v>
      </c>
      <c r="C1306" s="1" t="n">
        <v>46191</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46293-2025</t>
        </is>
      </c>
      <c r="B1307" s="1" t="n">
        <v>45925</v>
      </c>
      <c r="C1307" s="1" t="n">
        <v>46191</v>
      </c>
      <c r="D1307" t="inlineStr">
        <is>
          <t>VÄRMLANDS LÄN</t>
        </is>
      </c>
      <c r="E1307" t="inlineStr">
        <is>
          <t>TORSBY</t>
        </is>
      </c>
      <c r="G1307" t="n">
        <v>24.3</v>
      </c>
      <c r="H1307" t="n">
        <v>0</v>
      </c>
      <c r="I1307" t="n">
        <v>0</v>
      </c>
      <c r="J1307" t="n">
        <v>0</v>
      </c>
      <c r="K1307" t="n">
        <v>0</v>
      </c>
      <c r="L1307" t="n">
        <v>0</v>
      </c>
      <c r="M1307" t="n">
        <v>0</v>
      </c>
      <c r="N1307" t="n">
        <v>0</v>
      </c>
      <c r="O1307" t="n">
        <v>0</v>
      </c>
      <c r="P1307" t="n">
        <v>0</v>
      </c>
      <c r="Q1307" t="n">
        <v>0</v>
      </c>
      <c r="R1307" s="2" t="inlineStr"/>
    </row>
    <row r="1308" ht="15" customHeight="1">
      <c r="A1308" t="inlineStr">
        <is>
          <t>A 34430-2023</t>
        </is>
      </c>
      <c r="B1308" s="1" t="n">
        <v>45139</v>
      </c>
      <c r="C1308" s="1" t="n">
        <v>46191</v>
      </c>
      <c r="D1308" t="inlineStr">
        <is>
          <t>VÄRMLANDS LÄN</t>
        </is>
      </c>
      <c r="E1308" t="inlineStr">
        <is>
          <t>TORSBY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36327-2021</t>
        </is>
      </c>
      <c r="B1309" s="1" t="n">
        <v>44390</v>
      </c>
      <c r="C1309" s="1" t="n">
        <v>46191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52483-2022</t>
        </is>
      </c>
      <c r="B1310" s="1" t="n">
        <v>44874</v>
      </c>
      <c r="C1310" s="1" t="n">
        <v>46191</v>
      </c>
      <c r="D1310" t="inlineStr">
        <is>
          <t>VÄRMLANDS LÄN</t>
        </is>
      </c>
      <c r="E1310" t="inlineStr">
        <is>
          <t>TORSBY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49073-2022</t>
        </is>
      </c>
      <c r="B1311" s="1" t="n">
        <v>44860</v>
      </c>
      <c r="C1311" s="1" t="n">
        <v>46191</v>
      </c>
      <c r="D1311" t="inlineStr">
        <is>
          <t>VÄRMLANDS LÄN</t>
        </is>
      </c>
      <c r="E1311" t="inlineStr">
        <is>
          <t>TORSBY</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54452-2022</t>
        </is>
      </c>
      <c r="B1312" s="1" t="n">
        <v>44880</v>
      </c>
      <c r="C1312" s="1" t="n">
        <v>46191</v>
      </c>
      <c r="D1312" t="inlineStr">
        <is>
          <t>VÄRMLANDS LÄN</t>
        </is>
      </c>
      <c r="E1312" t="inlineStr">
        <is>
          <t>TORSBY</t>
        </is>
      </c>
      <c r="F1312" t="inlineStr">
        <is>
          <t>Kyrkan</t>
        </is>
      </c>
      <c r="G1312" t="n">
        <v>10.6</v>
      </c>
      <c r="H1312" t="n">
        <v>0</v>
      </c>
      <c r="I1312" t="n">
        <v>0</v>
      </c>
      <c r="J1312" t="n">
        <v>0</v>
      </c>
      <c r="K1312" t="n">
        <v>0</v>
      </c>
      <c r="L1312" t="n">
        <v>0</v>
      </c>
      <c r="M1312" t="n">
        <v>0</v>
      </c>
      <c r="N1312" t="n">
        <v>0</v>
      </c>
      <c r="O1312" t="n">
        <v>0</v>
      </c>
      <c r="P1312" t="n">
        <v>0</v>
      </c>
      <c r="Q1312" t="n">
        <v>0</v>
      </c>
      <c r="R1312" s="2" t="inlineStr"/>
    </row>
    <row r="1313" ht="15" customHeight="1">
      <c r="A1313" t="inlineStr">
        <is>
          <t>A 40546-2024</t>
        </is>
      </c>
      <c r="B1313" s="1" t="n">
        <v>45555</v>
      </c>
      <c r="C1313" s="1" t="n">
        <v>46191</v>
      </c>
      <c r="D1313" t="inlineStr">
        <is>
          <t>VÄRMLANDS LÄN</t>
        </is>
      </c>
      <c r="E1313" t="inlineStr">
        <is>
          <t>TORSBY</t>
        </is>
      </c>
      <c r="F1313" t="inlineStr">
        <is>
          <t>Bergvik skog väst AB</t>
        </is>
      </c>
      <c r="G1313" t="n">
        <v>13.9</v>
      </c>
      <c r="H1313" t="n">
        <v>0</v>
      </c>
      <c r="I1313" t="n">
        <v>0</v>
      </c>
      <c r="J1313" t="n">
        <v>0</v>
      </c>
      <c r="K1313" t="n">
        <v>0</v>
      </c>
      <c r="L1313" t="n">
        <v>0</v>
      </c>
      <c r="M1313" t="n">
        <v>0</v>
      </c>
      <c r="N1313" t="n">
        <v>0</v>
      </c>
      <c r="O1313" t="n">
        <v>0</v>
      </c>
      <c r="P1313" t="n">
        <v>0</v>
      </c>
      <c r="Q1313" t="n">
        <v>0</v>
      </c>
      <c r="R1313" s="2" t="inlineStr"/>
    </row>
    <row r="1314" ht="15" customHeight="1">
      <c r="A1314" t="inlineStr">
        <is>
          <t>A 54556-2023</t>
        </is>
      </c>
      <c r="B1314" s="1" t="n">
        <v>45233</v>
      </c>
      <c r="C1314" s="1" t="n">
        <v>46191</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34405-2023</t>
        </is>
      </c>
      <c r="B1315" s="1" t="n">
        <v>45139</v>
      </c>
      <c r="C1315" s="1" t="n">
        <v>46191</v>
      </c>
      <c r="D1315" t="inlineStr">
        <is>
          <t>VÄRMLANDS LÄN</t>
        </is>
      </c>
      <c r="E1315" t="inlineStr">
        <is>
          <t>TORSBY</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46191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55436-2022</t>
        </is>
      </c>
      <c r="B1317" s="1" t="n">
        <v>44887</v>
      </c>
      <c r="C1317" s="1" t="n">
        <v>46191</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44290-2025</t>
        </is>
      </c>
      <c r="B1318" s="1" t="n">
        <v>45916</v>
      </c>
      <c r="C1318" s="1" t="n">
        <v>46191</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13848-2024</t>
        </is>
      </c>
      <c r="B1319" s="1" t="n">
        <v>45390</v>
      </c>
      <c r="C1319" s="1" t="n">
        <v>46191</v>
      </c>
      <c r="D1319" t="inlineStr">
        <is>
          <t>VÄRMLANDS LÄN</t>
        </is>
      </c>
      <c r="E1319" t="inlineStr">
        <is>
          <t>TORSBY</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59425-2021</t>
        </is>
      </c>
      <c r="B1320" s="1" t="n">
        <v>44491</v>
      </c>
      <c r="C1320" s="1" t="n">
        <v>46191</v>
      </c>
      <c r="D1320" t="inlineStr">
        <is>
          <t>VÄRMLANDS LÄN</t>
        </is>
      </c>
      <c r="E1320" t="inlineStr">
        <is>
          <t>TORSBY</t>
        </is>
      </c>
      <c r="F1320" t="inlineStr">
        <is>
          <t>Bergvik skog väst AB</t>
        </is>
      </c>
      <c r="G1320" t="n">
        <v>14.9</v>
      </c>
      <c r="H1320" t="n">
        <v>0</v>
      </c>
      <c r="I1320" t="n">
        <v>0</v>
      </c>
      <c r="J1320" t="n">
        <v>0</v>
      </c>
      <c r="K1320" t="n">
        <v>0</v>
      </c>
      <c r="L1320" t="n">
        <v>0</v>
      </c>
      <c r="M1320" t="n">
        <v>0</v>
      </c>
      <c r="N1320" t="n">
        <v>0</v>
      </c>
      <c r="O1320" t="n">
        <v>0</v>
      </c>
      <c r="P1320" t="n">
        <v>0</v>
      </c>
      <c r="Q1320" t="n">
        <v>0</v>
      </c>
      <c r="R1320" s="2" t="inlineStr"/>
    </row>
    <row r="1321" ht="15" customHeight="1">
      <c r="A1321" t="inlineStr">
        <is>
          <t>A 53945-2023</t>
        </is>
      </c>
      <c r="B1321" s="1" t="n">
        <v>45231</v>
      </c>
      <c r="C1321" s="1" t="n">
        <v>46191</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52564-2025</t>
        </is>
      </c>
      <c r="B1322" s="1" t="n">
        <v>45954</v>
      </c>
      <c r="C1322" s="1" t="n">
        <v>46191</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30104-2023</t>
        </is>
      </c>
      <c r="B1323" s="1" t="n">
        <v>45110</v>
      </c>
      <c r="C1323" s="1" t="n">
        <v>46191</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20239-2026</t>
        </is>
      </c>
      <c r="B1324" s="1" t="n">
        <v>46139</v>
      </c>
      <c r="C1324" s="1" t="n">
        <v>46191</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20588-2026</t>
        </is>
      </c>
      <c r="B1325" s="1" t="n">
        <v>46140</v>
      </c>
      <c r="C1325" s="1" t="n">
        <v>46191</v>
      </c>
      <c r="D1325" t="inlineStr">
        <is>
          <t>VÄRMLANDS LÄN</t>
        </is>
      </c>
      <c r="E1325" t="inlineStr">
        <is>
          <t>TORSBY</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52239-2024</t>
        </is>
      </c>
      <c r="B1326" s="1" t="n">
        <v>45608</v>
      </c>
      <c r="C1326" s="1" t="n">
        <v>46191</v>
      </c>
      <c r="D1326" t="inlineStr">
        <is>
          <t>VÄRMLANDS LÄN</t>
        </is>
      </c>
      <c r="E1326" t="inlineStr">
        <is>
          <t>TORSBY</t>
        </is>
      </c>
      <c r="F1326" t="inlineStr">
        <is>
          <t>Bergvik skog väst AB</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56473-2022</t>
        </is>
      </c>
      <c r="B1327" s="1" t="n">
        <v>44893</v>
      </c>
      <c r="C1327" s="1" t="n">
        <v>46191</v>
      </c>
      <c r="D1327" t="inlineStr">
        <is>
          <t>VÄRMLANDS LÄN</t>
        </is>
      </c>
      <c r="E1327" t="inlineStr">
        <is>
          <t>TORSBY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46191</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49717-2023</t>
        </is>
      </c>
      <c r="B1329" s="1" t="n">
        <v>45208</v>
      </c>
      <c r="C1329" s="1" t="n">
        <v>46191</v>
      </c>
      <c r="D1329" t="inlineStr">
        <is>
          <t>VÄRMLANDS LÄN</t>
        </is>
      </c>
      <c r="E1329" t="inlineStr">
        <is>
          <t>TORSBY</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492-2025</t>
        </is>
      </c>
      <c r="B1330" s="1" t="n">
        <v>45664</v>
      </c>
      <c r="C1330" s="1" t="n">
        <v>46191</v>
      </c>
      <c r="D1330" t="inlineStr">
        <is>
          <t>VÄRMLANDS LÄN</t>
        </is>
      </c>
      <c r="E1330" t="inlineStr">
        <is>
          <t>TORSBY</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60710-2024</t>
        </is>
      </c>
      <c r="B1331" s="1" t="n">
        <v>45643</v>
      </c>
      <c r="C1331" s="1" t="n">
        <v>46191</v>
      </c>
      <c r="D1331" t="inlineStr">
        <is>
          <t>VÄRMLANDS LÄN</t>
        </is>
      </c>
      <c r="E1331" t="inlineStr">
        <is>
          <t>TORSBY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10329-2025</t>
        </is>
      </c>
      <c r="B1332" s="1" t="n">
        <v>45720</v>
      </c>
      <c r="C1332" s="1" t="n">
        <v>46191</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25355-2024</t>
        </is>
      </c>
      <c r="B1333" s="1" t="n">
        <v>45462</v>
      </c>
      <c r="C1333" s="1" t="n">
        <v>46191</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41634-2025</t>
        </is>
      </c>
      <c r="B1334" s="1" t="n">
        <v>45902</v>
      </c>
      <c r="C1334" s="1" t="n">
        <v>46191</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42457-2024</t>
        </is>
      </c>
      <c r="B1335" s="1" t="n">
        <v>45565</v>
      </c>
      <c r="C1335" s="1" t="n">
        <v>46191</v>
      </c>
      <c r="D1335" t="inlineStr">
        <is>
          <t>VÄRMLANDS LÄN</t>
        </is>
      </c>
      <c r="E1335" t="inlineStr">
        <is>
          <t>TORSBY</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16488-2024</t>
        </is>
      </c>
      <c r="B1336" s="1" t="n">
        <v>45408</v>
      </c>
      <c r="C1336" s="1" t="n">
        <v>46191</v>
      </c>
      <c r="D1336" t="inlineStr">
        <is>
          <t>VÄRMLANDS LÄN</t>
        </is>
      </c>
      <c r="E1336" t="inlineStr">
        <is>
          <t>TORSBY</t>
        </is>
      </c>
      <c r="F1336" t="inlineStr">
        <is>
          <t>Bergvik skog väst AB</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42414-2024</t>
        </is>
      </c>
      <c r="B1337" s="1" t="n">
        <v>45565</v>
      </c>
      <c r="C1337" s="1" t="n">
        <v>46191</v>
      </c>
      <c r="D1337" t="inlineStr">
        <is>
          <t>VÄRMLANDS LÄN</t>
        </is>
      </c>
      <c r="E1337" t="inlineStr">
        <is>
          <t>TORSBY</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39771-2024</t>
        </is>
      </c>
      <c r="B1338" s="1" t="n">
        <v>45552</v>
      </c>
      <c r="C1338" s="1" t="n">
        <v>46191</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58840-2025</t>
        </is>
      </c>
      <c r="B1339" s="1" t="n">
        <v>45987</v>
      </c>
      <c r="C1339" s="1" t="n">
        <v>46191</v>
      </c>
      <c r="D1339" t="inlineStr">
        <is>
          <t>VÄRMLANDS LÄN</t>
        </is>
      </c>
      <c r="E1339" t="inlineStr">
        <is>
          <t>TORSBY</t>
        </is>
      </c>
      <c r="F1339" t="inlineStr">
        <is>
          <t>Bergvik skog väst AB</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36175-2024</t>
        </is>
      </c>
      <c r="B1340" s="1" t="n">
        <v>45534</v>
      </c>
      <c r="C1340" s="1" t="n">
        <v>46191</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61510-2022</t>
        </is>
      </c>
      <c r="B1341" s="1" t="n">
        <v>44916</v>
      </c>
      <c r="C1341" s="1" t="n">
        <v>46191</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26158-2025</t>
        </is>
      </c>
      <c r="B1342" s="1" t="n">
        <v>45805</v>
      </c>
      <c r="C1342" s="1" t="n">
        <v>46191</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26293-2026</t>
        </is>
      </c>
      <c r="B1343" s="1" t="n">
        <v>46182</v>
      </c>
      <c r="C1343" s="1" t="n">
        <v>46191</v>
      </c>
      <c r="D1343" t="inlineStr">
        <is>
          <t>VÄRMLANDS LÄN</t>
        </is>
      </c>
      <c r="E1343" t="inlineStr">
        <is>
          <t>TORSBY</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60737-2022</t>
        </is>
      </c>
      <c r="B1344" s="1" t="n">
        <v>44913</v>
      </c>
      <c r="C1344" s="1" t="n">
        <v>46191</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26304-2026</t>
        </is>
      </c>
      <c r="B1345" s="1" t="n">
        <v>46182</v>
      </c>
      <c r="C1345" s="1" t="n">
        <v>46191</v>
      </c>
      <c r="D1345" t="inlineStr">
        <is>
          <t>VÄRMLANDS LÄN</t>
        </is>
      </c>
      <c r="E1345" t="inlineStr">
        <is>
          <t>TORSBY</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30074-2024</t>
        </is>
      </c>
      <c r="B1346" s="1" t="n">
        <v>45489</v>
      </c>
      <c r="C1346" s="1" t="n">
        <v>46191</v>
      </c>
      <c r="D1346" t="inlineStr">
        <is>
          <t>VÄRMLANDS LÄN</t>
        </is>
      </c>
      <c r="E1346" t="inlineStr">
        <is>
          <t>TORSBY</t>
        </is>
      </c>
      <c r="F1346" t="inlineStr">
        <is>
          <t>Kyrkan</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52587-2025</t>
        </is>
      </c>
      <c r="B1347" s="1" t="n">
        <v>45954</v>
      </c>
      <c r="C1347" s="1" t="n">
        <v>46191</v>
      </c>
      <c r="D1347" t="inlineStr">
        <is>
          <t>VÄRMLANDS LÄN</t>
        </is>
      </c>
      <c r="E1347" t="inlineStr">
        <is>
          <t>TORSBY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30377-2025</t>
        </is>
      </c>
      <c r="B1348" s="1" t="n">
        <v>45827</v>
      </c>
      <c r="C1348" s="1" t="n">
        <v>46191</v>
      </c>
      <c r="D1348" t="inlineStr">
        <is>
          <t>VÄRMLANDS LÄN</t>
        </is>
      </c>
      <c r="E1348" t="inlineStr">
        <is>
          <t>TORSBY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26020-2026</t>
        </is>
      </c>
      <c r="B1349" s="1" t="n">
        <v>46181</v>
      </c>
      <c r="C1349" s="1" t="n">
        <v>46191</v>
      </c>
      <c r="D1349" t="inlineStr">
        <is>
          <t>VÄRMLANDS LÄN</t>
        </is>
      </c>
      <c r="E1349" t="inlineStr">
        <is>
          <t>TORSBY</t>
        </is>
      </c>
      <c r="F1349" t="inlineStr">
        <is>
          <t>Bergvik skog väst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41501-2024</t>
        </is>
      </c>
      <c r="B1350" s="1" t="n">
        <v>45560</v>
      </c>
      <c r="C1350" s="1" t="n">
        <v>46191</v>
      </c>
      <c r="D1350" t="inlineStr">
        <is>
          <t>VÄRMLANDS LÄN</t>
        </is>
      </c>
      <c r="E1350" t="inlineStr">
        <is>
          <t>TORSBY</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15169-2025</t>
        </is>
      </c>
      <c r="B1351" s="1" t="n">
        <v>45744</v>
      </c>
      <c r="C1351" s="1" t="n">
        <v>46191</v>
      </c>
      <c r="D1351" t="inlineStr">
        <is>
          <t>VÄRMLANDS LÄN</t>
        </is>
      </c>
      <c r="E1351" t="inlineStr">
        <is>
          <t>TORSBY</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55485-2023</t>
        </is>
      </c>
      <c r="B1352" s="1" t="n">
        <v>45238</v>
      </c>
      <c r="C1352" s="1" t="n">
        <v>46191</v>
      </c>
      <c r="D1352" t="inlineStr">
        <is>
          <t>VÄRMLANDS LÄN</t>
        </is>
      </c>
      <c r="E1352" t="inlineStr">
        <is>
          <t>TORSBY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21258-2023</t>
        </is>
      </c>
      <c r="B1353" s="1" t="n">
        <v>45058</v>
      </c>
      <c r="C1353" s="1" t="n">
        <v>46191</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41148-2025</t>
        </is>
      </c>
      <c r="B1354" s="1" t="n">
        <v>45898</v>
      </c>
      <c r="C1354" s="1" t="n">
        <v>46191</v>
      </c>
      <c r="D1354" t="inlineStr">
        <is>
          <t>VÄRMLANDS LÄN</t>
        </is>
      </c>
      <c r="E1354" t="inlineStr">
        <is>
          <t>TORSBY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392-2025</t>
        </is>
      </c>
      <c r="B1355" s="1" t="n">
        <v>45663</v>
      </c>
      <c r="C1355" s="1" t="n">
        <v>46191</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23803-2022</t>
        </is>
      </c>
      <c r="B1356" s="1" t="n">
        <v>44720</v>
      </c>
      <c r="C1356" s="1" t="n">
        <v>46191</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23823-2022</t>
        </is>
      </c>
      <c r="B1357" s="1" t="n">
        <v>44722</v>
      </c>
      <c r="C1357" s="1" t="n">
        <v>46191</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50147-2023</t>
        </is>
      </c>
      <c r="B1358" s="1" t="n">
        <v>45215</v>
      </c>
      <c r="C1358" s="1" t="n">
        <v>46191</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42705-2025</t>
        </is>
      </c>
      <c r="B1359" s="1" t="n">
        <v>45908</v>
      </c>
      <c r="C1359" s="1" t="n">
        <v>46191</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21581-2024</t>
        </is>
      </c>
      <c r="B1360" s="1" t="n">
        <v>45441</v>
      </c>
      <c r="C1360" s="1" t="n">
        <v>46191</v>
      </c>
      <c r="D1360" t="inlineStr">
        <is>
          <t>VÄRMLANDS LÄN</t>
        </is>
      </c>
      <c r="E1360" t="inlineStr">
        <is>
          <t>TORSBY</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26320-2026</t>
        </is>
      </c>
      <c r="B1361" s="1" t="n">
        <v>46182</v>
      </c>
      <c r="C1361" s="1" t="n">
        <v>46191</v>
      </c>
      <c r="D1361" t="inlineStr">
        <is>
          <t>VÄRMLANDS LÄN</t>
        </is>
      </c>
      <c r="E1361" t="inlineStr">
        <is>
          <t>TORSBY</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38086-2023</t>
        </is>
      </c>
      <c r="B1362" s="1" t="n">
        <v>45160</v>
      </c>
      <c r="C1362" s="1" t="n">
        <v>46191</v>
      </c>
      <c r="D1362" t="inlineStr">
        <is>
          <t>VÄRMLANDS LÄN</t>
        </is>
      </c>
      <c r="E1362" t="inlineStr">
        <is>
          <t>TORSBY</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33078-2024</t>
        </is>
      </c>
      <c r="B1363" s="1" t="n">
        <v>45517</v>
      </c>
      <c r="C1363" s="1" t="n">
        <v>46191</v>
      </c>
      <c r="D1363" t="inlineStr">
        <is>
          <t>VÄRMLANDS LÄN</t>
        </is>
      </c>
      <c r="E1363" t="inlineStr">
        <is>
          <t>TORSBY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20721-2023</t>
        </is>
      </c>
      <c r="B1364" s="1" t="n">
        <v>45058</v>
      </c>
      <c r="C1364" s="1" t="n">
        <v>46191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13207-2022</t>
        </is>
      </c>
      <c r="B1365" s="1" t="n">
        <v>44644</v>
      </c>
      <c r="C1365" s="1" t="n">
        <v>46191</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58897-2025</t>
        </is>
      </c>
      <c r="B1366" s="1" t="n">
        <v>45987</v>
      </c>
      <c r="C1366" s="1" t="n">
        <v>46191</v>
      </c>
      <c r="D1366" t="inlineStr">
        <is>
          <t>VÄRMLANDS LÄN</t>
        </is>
      </c>
      <c r="E1366" t="inlineStr">
        <is>
          <t>TORSBY</t>
        </is>
      </c>
      <c r="F1366" t="inlineStr">
        <is>
          <t>Bergvik skog väst AB</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24742-2026</t>
        </is>
      </c>
      <c r="B1367" s="1" t="n">
        <v>46171</v>
      </c>
      <c r="C1367" s="1" t="n">
        <v>46191</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22090-2025</t>
        </is>
      </c>
      <c r="B1368" s="1" t="n">
        <v>45785</v>
      </c>
      <c r="C1368" s="1" t="n">
        <v>46191</v>
      </c>
      <c r="D1368" t="inlineStr">
        <is>
          <t>VÄRMLANDS LÄN</t>
        </is>
      </c>
      <c r="E1368" t="inlineStr">
        <is>
          <t>TORSBY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18314-2025</t>
        </is>
      </c>
      <c r="B1369" s="1" t="n">
        <v>45762</v>
      </c>
      <c r="C1369" s="1" t="n">
        <v>46191</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235-2024</t>
        </is>
      </c>
      <c r="B1370" s="1" t="n">
        <v>45294</v>
      </c>
      <c r="C1370" s="1" t="n">
        <v>46191</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20429-2026</t>
        </is>
      </c>
      <c r="B1371" s="1" t="n">
        <v>46140</v>
      </c>
      <c r="C1371" s="1" t="n">
        <v>46191</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27038-2024</t>
        </is>
      </c>
      <c r="B1372" s="1" t="n">
        <v>45471</v>
      </c>
      <c r="C1372" s="1" t="n">
        <v>46191</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20232-2026</t>
        </is>
      </c>
      <c r="B1373" s="1" t="n">
        <v>46139</v>
      </c>
      <c r="C1373" s="1" t="n">
        <v>46191</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20273-2026</t>
        </is>
      </c>
      <c r="B1374" s="1" t="n">
        <v>46139</v>
      </c>
      <c r="C1374" s="1" t="n">
        <v>46191</v>
      </c>
      <c r="D1374" t="inlineStr">
        <is>
          <t>VÄRMLANDS LÄN</t>
        </is>
      </c>
      <c r="E1374" t="inlineStr">
        <is>
          <t>TORSBY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47452-2024</t>
        </is>
      </c>
      <c r="B1375" s="1" t="n">
        <v>45587</v>
      </c>
      <c r="C1375" s="1" t="n">
        <v>46191</v>
      </c>
      <c r="D1375" t="inlineStr">
        <is>
          <t>VÄRMLANDS LÄN</t>
        </is>
      </c>
      <c r="E1375" t="inlineStr">
        <is>
          <t>TORSBY</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28774-2025</t>
        </is>
      </c>
      <c r="B1376" s="1" t="n">
        <v>45820</v>
      </c>
      <c r="C1376" s="1" t="n">
        <v>46191</v>
      </c>
      <c r="D1376" t="inlineStr">
        <is>
          <t>VÄRMLANDS LÄN</t>
        </is>
      </c>
      <c r="E1376" t="inlineStr">
        <is>
          <t>TORSBY</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34105-2023</t>
        </is>
      </c>
      <c r="B1377" s="1" t="n">
        <v>45126</v>
      </c>
      <c r="C1377" s="1" t="n">
        <v>46191</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44262-2023</t>
        </is>
      </c>
      <c r="B1378" s="1" t="n">
        <v>45188</v>
      </c>
      <c r="C1378" s="1" t="n">
        <v>46191</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24411-2025</t>
        </is>
      </c>
      <c r="B1379" s="1" t="n">
        <v>45797</v>
      </c>
      <c r="C1379" s="1" t="n">
        <v>46191</v>
      </c>
      <c r="D1379" t="inlineStr">
        <is>
          <t>VÄRMLANDS LÄN</t>
        </is>
      </c>
      <c r="E1379" t="inlineStr">
        <is>
          <t>TORSBY</t>
        </is>
      </c>
      <c r="F1379" t="inlineStr">
        <is>
          <t>Övriga statliga verk och myndigheter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51587-2025</t>
        </is>
      </c>
      <c r="B1380" s="1" t="n">
        <v>45951</v>
      </c>
      <c r="C1380" s="1" t="n">
        <v>46191</v>
      </c>
      <c r="D1380" t="inlineStr">
        <is>
          <t>VÄRMLANDS LÄN</t>
        </is>
      </c>
      <c r="E1380" t="inlineStr">
        <is>
          <t>TORSBY</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58707-2024</t>
        </is>
      </c>
      <c r="B1381" s="1" t="n">
        <v>45635</v>
      </c>
      <c r="C1381" s="1" t="n">
        <v>46191</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8284-2023</t>
        </is>
      </c>
      <c r="B1382" s="1" t="n">
        <v>44974</v>
      </c>
      <c r="C1382" s="1" t="n">
        <v>46191</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45812-2024</t>
        </is>
      </c>
      <c r="B1383" s="1" t="n">
        <v>45579</v>
      </c>
      <c r="C1383" s="1" t="n">
        <v>46191</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56634-2024</t>
        </is>
      </c>
      <c r="B1384" s="1" t="n">
        <v>45625</v>
      </c>
      <c r="C1384" s="1" t="n">
        <v>46191</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20414-2026</t>
        </is>
      </c>
      <c r="B1385" s="1" t="n">
        <v>46140</v>
      </c>
      <c r="C1385" s="1" t="n">
        <v>46191</v>
      </c>
      <c r="D1385" t="inlineStr">
        <is>
          <t>VÄRMLANDS LÄN</t>
        </is>
      </c>
      <c r="E1385" t="inlineStr">
        <is>
          <t>TORSBY</t>
        </is>
      </c>
      <c r="G1385" t="n">
        <v>23.8</v>
      </c>
      <c r="H1385" t="n">
        <v>0</v>
      </c>
      <c r="I1385" t="n">
        <v>0</v>
      </c>
      <c r="J1385" t="n">
        <v>0</v>
      </c>
      <c r="K1385" t="n">
        <v>0</v>
      </c>
      <c r="L1385" t="n">
        <v>0</v>
      </c>
      <c r="M1385" t="n">
        <v>0</v>
      </c>
      <c r="N1385" t="n">
        <v>0</v>
      </c>
      <c r="O1385" t="n">
        <v>0</v>
      </c>
      <c r="P1385" t="n">
        <v>0</v>
      </c>
      <c r="Q1385" t="n">
        <v>0</v>
      </c>
      <c r="R1385" s="2" t="inlineStr"/>
    </row>
    <row r="1386" ht="15" customHeight="1">
      <c r="A1386" t="inlineStr">
        <is>
          <t>A 8016-2023</t>
        </is>
      </c>
      <c r="B1386" s="1" t="n">
        <v>44973</v>
      </c>
      <c r="C1386" s="1" t="n">
        <v>46191</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37945-2025</t>
        </is>
      </c>
      <c r="B1387" s="1" t="n">
        <v>45881</v>
      </c>
      <c r="C1387" s="1" t="n">
        <v>46191</v>
      </c>
      <c r="D1387" t="inlineStr">
        <is>
          <t>VÄRMLANDS LÄN</t>
        </is>
      </c>
      <c r="E1387" t="inlineStr">
        <is>
          <t>TORSBY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54011-2024</t>
        </is>
      </c>
      <c r="B1388" s="1" t="n">
        <v>45616</v>
      </c>
      <c r="C1388" s="1" t="n">
        <v>46191</v>
      </c>
      <c r="D1388" t="inlineStr">
        <is>
          <t>VÄRMLANDS LÄN</t>
        </is>
      </c>
      <c r="E1388" t="inlineStr">
        <is>
          <t>TORSBY</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54026-2024</t>
        </is>
      </c>
      <c r="B1389" s="1" t="n">
        <v>45616</v>
      </c>
      <c r="C1389" s="1" t="n">
        <v>46191</v>
      </c>
      <c r="D1389" t="inlineStr">
        <is>
          <t>VÄRMLANDS LÄN</t>
        </is>
      </c>
      <c r="E1389" t="inlineStr">
        <is>
          <t>TORSBY</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61259-2024</t>
        </is>
      </c>
      <c r="B1390" s="1" t="n">
        <v>45645</v>
      </c>
      <c r="C1390" s="1" t="n">
        <v>46191</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36477-2025</t>
        </is>
      </c>
      <c r="B1391" s="1" t="n">
        <v>45869</v>
      </c>
      <c r="C1391" s="1" t="n">
        <v>46191</v>
      </c>
      <c r="D1391" t="inlineStr">
        <is>
          <t>VÄRMLANDS LÄN</t>
        </is>
      </c>
      <c r="E1391" t="inlineStr">
        <is>
          <t>TORSBY</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53368-2024</t>
        </is>
      </c>
      <c r="B1392" s="1" t="n">
        <v>45614</v>
      </c>
      <c r="C1392" s="1" t="n">
        <v>46191</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22826-2022</t>
        </is>
      </c>
      <c r="B1393" s="1" t="n">
        <v>44714</v>
      </c>
      <c r="C1393" s="1" t="n">
        <v>46191</v>
      </c>
      <c r="D1393" t="inlineStr">
        <is>
          <t>VÄRMLANDS LÄN</t>
        </is>
      </c>
      <c r="E1393" t="inlineStr">
        <is>
          <t>TORSBY</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2616-2025</t>
        </is>
      </c>
      <c r="B1394" s="1" t="n">
        <v>45675</v>
      </c>
      <c r="C1394" s="1" t="n">
        <v>46191</v>
      </c>
      <c r="D1394" t="inlineStr">
        <is>
          <t>VÄRMLANDS LÄN</t>
        </is>
      </c>
      <c r="E1394" t="inlineStr">
        <is>
          <t>TORSBY</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34961-2024</t>
        </is>
      </c>
      <c r="B1395" s="1" t="n">
        <v>45527</v>
      </c>
      <c r="C1395" s="1" t="n">
        <v>46191</v>
      </c>
      <c r="D1395" t="inlineStr">
        <is>
          <t>VÄRMLANDS LÄN</t>
        </is>
      </c>
      <c r="E1395" t="inlineStr">
        <is>
          <t>TORSBY</t>
        </is>
      </c>
      <c r="F1395" t="inlineStr">
        <is>
          <t>Bergvik skog väst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11569-2025</t>
        </is>
      </c>
      <c r="B1396" s="1" t="n">
        <v>45727</v>
      </c>
      <c r="C1396" s="1" t="n">
        <v>46191</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54777-2023</t>
        </is>
      </c>
      <c r="B1397" s="1" t="n">
        <v>45236</v>
      </c>
      <c r="C1397" s="1" t="n">
        <v>46191</v>
      </c>
      <c r="D1397" t="inlineStr">
        <is>
          <t>VÄRMLANDS LÄN</t>
        </is>
      </c>
      <c r="E1397" t="inlineStr">
        <is>
          <t>TORSBY</t>
        </is>
      </c>
      <c r="F1397" t="inlineStr">
        <is>
          <t>Bergvik skog väst AB</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32845-2024</t>
        </is>
      </c>
      <c r="B1398" s="1" t="n">
        <v>45516</v>
      </c>
      <c r="C1398" s="1" t="n">
        <v>46191</v>
      </c>
      <c r="D1398" t="inlineStr">
        <is>
          <t>VÄRMLANDS LÄN</t>
        </is>
      </c>
      <c r="E1398" t="inlineStr">
        <is>
          <t>TORSBY</t>
        </is>
      </c>
      <c r="F1398" t="inlineStr">
        <is>
          <t>Bergvik skog väst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3904-2025</t>
        </is>
      </c>
      <c r="B1399" s="1" t="n">
        <v>45684</v>
      </c>
      <c r="C1399" s="1" t="n">
        <v>46191</v>
      </c>
      <c r="D1399" t="inlineStr">
        <is>
          <t>VÄRMLANDS LÄN</t>
        </is>
      </c>
      <c r="E1399" t="inlineStr">
        <is>
          <t>TORSBY</t>
        </is>
      </c>
      <c r="F1399" t="inlineStr">
        <is>
          <t>Övriga statliga verk och myndigheter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56098-2024</t>
        </is>
      </c>
      <c r="B1400" s="1" t="n">
        <v>45624</v>
      </c>
      <c r="C1400" s="1" t="n">
        <v>46191</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26232-2026</t>
        </is>
      </c>
      <c r="B1401" s="1" t="n">
        <v>46182</v>
      </c>
      <c r="C1401" s="1" t="n">
        <v>46191</v>
      </c>
      <c r="D1401" t="inlineStr">
        <is>
          <t>VÄRMLANDS LÄN</t>
        </is>
      </c>
      <c r="E1401" t="inlineStr">
        <is>
          <t>TORSBY</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26269-2026</t>
        </is>
      </c>
      <c r="B1402" s="1" t="n">
        <v>46182</v>
      </c>
      <c r="C1402" s="1" t="n">
        <v>46191</v>
      </c>
      <c r="D1402" t="inlineStr">
        <is>
          <t>VÄRMLANDS LÄN</t>
        </is>
      </c>
      <c r="E1402" t="inlineStr">
        <is>
          <t>TORSBY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26204-2026</t>
        </is>
      </c>
      <c r="B1403" s="1" t="n">
        <v>46182</v>
      </c>
      <c r="C1403" s="1" t="n">
        <v>46191</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26225-2026</t>
        </is>
      </c>
      <c r="B1404" s="1" t="n">
        <v>46182</v>
      </c>
      <c r="C1404" s="1" t="n">
        <v>46191</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20968-2024</t>
        </is>
      </c>
      <c r="B1405" s="1" t="n">
        <v>45439</v>
      </c>
      <c r="C1405" s="1" t="n">
        <v>46191</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26533-2025</t>
        </is>
      </c>
      <c r="B1406" s="1" t="n">
        <v>45807</v>
      </c>
      <c r="C1406" s="1" t="n">
        <v>46191</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41631-2024</t>
        </is>
      </c>
      <c r="B1407" s="1" t="n">
        <v>45560</v>
      </c>
      <c r="C1407" s="1" t="n">
        <v>46191</v>
      </c>
      <c r="D1407" t="inlineStr">
        <is>
          <t>VÄRMLANDS LÄN</t>
        </is>
      </c>
      <c r="E1407" t="inlineStr">
        <is>
          <t>TORSBY</t>
        </is>
      </c>
      <c r="F1407" t="inlineStr">
        <is>
          <t>Bergvik skog väst AB</t>
        </is>
      </c>
      <c r="G1407" t="n">
        <v>16.3</v>
      </c>
      <c r="H1407" t="n">
        <v>0</v>
      </c>
      <c r="I1407" t="n">
        <v>0</v>
      </c>
      <c r="J1407" t="n">
        <v>0</v>
      </c>
      <c r="K1407" t="n">
        <v>0</v>
      </c>
      <c r="L1407" t="n">
        <v>0</v>
      </c>
      <c r="M1407" t="n">
        <v>0</v>
      </c>
      <c r="N1407" t="n">
        <v>0</v>
      </c>
      <c r="O1407" t="n">
        <v>0</v>
      </c>
      <c r="P1407" t="n">
        <v>0</v>
      </c>
      <c r="Q1407" t="n">
        <v>0</v>
      </c>
      <c r="R1407" s="2" t="inlineStr"/>
    </row>
    <row r="1408" ht="15" customHeight="1">
      <c r="A1408" t="inlineStr">
        <is>
          <t>A 21542-2024</t>
        </is>
      </c>
      <c r="B1408" s="1" t="n">
        <v>45441</v>
      </c>
      <c r="C1408" s="1" t="n">
        <v>46191</v>
      </c>
      <c r="D1408" t="inlineStr">
        <is>
          <t>VÄRMLANDS LÄN</t>
        </is>
      </c>
      <c r="E1408" t="inlineStr">
        <is>
          <t>TORSBY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3326-2024</t>
        </is>
      </c>
      <c r="B1409" s="1" t="n">
        <v>45317</v>
      </c>
      <c r="C1409" s="1" t="n">
        <v>46191</v>
      </c>
      <c r="D1409" t="inlineStr">
        <is>
          <t>VÄRMLANDS LÄN</t>
        </is>
      </c>
      <c r="E1409" t="inlineStr">
        <is>
          <t>TORSBY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55808-2024</t>
        </is>
      </c>
      <c r="B1410" s="1" t="n">
        <v>45622</v>
      </c>
      <c r="C1410" s="1" t="n">
        <v>46191</v>
      </c>
      <c r="D1410" t="inlineStr">
        <is>
          <t>VÄRMLANDS LÄN</t>
        </is>
      </c>
      <c r="E1410" t="inlineStr">
        <is>
          <t>TORSBY</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56299-2025</t>
        </is>
      </c>
      <c r="B1411" s="1" t="n">
        <v>45974</v>
      </c>
      <c r="C1411" s="1" t="n">
        <v>46191</v>
      </c>
      <c r="D1411" t="inlineStr">
        <is>
          <t>VÄRMLANDS LÄN</t>
        </is>
      </c>
      <c r="E1411" t="inlineStr">
        <is>
          <t>TORSBY</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14419-2025</t>
        </is>
      </c>
      <c r="B1412" s="1" t="n">
        <v>45741</v>
      </c>
      <c r="C1412" s="1" t="n">
        <v>46191</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59080-2024</t>
        </is>
      </c>
      <c r="B1413" s="1" t="n">
        <v>45637</v>
      </c>
      <c r="C1413" s="1" t="n">
        <v>46191</v>
      </c>
      <c r="D1413" t="inlineStr">
        <is>
          <t>VÄRMLANDS LÄN</t>
        </is>
      </c>
      <c r="E1413" t="inlineStr">
        <is>
          <t>TORSBY</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26273-2026</t>
        </is>
      </c>
      <c r="B1414" s="1" t="n">
        <v>46182</v>
      </c>
      <c r="C1414" s="1" t="n">
        <v>46191</v>
      </c>
      <c r="D1414" t="inlineStr">
        <is>
          <t>VÄRMLANDS LÄN</t>
        </is>
      </c>
      <c r="E1414" t="inlineStr">
        <is>
          <t>TORSBY</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28380-2025</t>
        </is>
      </c>
      <c r="B1415" s="1" t="n">
        <v>45819</v>
      </c>
      <c r="C1415" s="1" t="n">
        <v>46191</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5763-2023</t>
        </is>
      </c>
      <c r="B1416" s="1" t="n">
        <v>44963</v>
      </c>
      <c r="C1416" s="1" t="n">
        <v>46191</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56240-2024</t>
        </is>
      </c>
      <c r="B1417" s="1" t="n">
        <v>45624</v>
      </c>
      <c r="C1417" s="1" t="n">
        <v>46191</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41936-2024</t>
        </is>
      </c>
      <c r="B1418" s="1" t="n">
        <v>45561</v>
      </c>
      <c r="C1418" s="1" t="n">
        <v>46191</v>
      </c>
      <c r="D1418" t="inlineStr">
        <is>
          <t>VÄRMLANDS LÄN</t>
        </is>
      </c>
      <c r="E1418" t="inlineStr">
        <is>
          <t>TORSBY</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3536-2024</t>
        </is>
      </c>
      <c r="B1419" s="1" t="n">
        <v>45320</v>
      </c>
      <c r="C1419" s="1" t="n">
        <v>46191</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25973-2026</t>
        </is>
      </c>
      <c r="B1420" s="1" t="n">
        <v>46181</v>
      </c>
      <c r="C1420" s="1" t="n">
        <v>46191</v>
      </c>
      <c r="D1420" t="inlineStr">
        <is>
          <t>VÄRMLANDS LÄN</t>
        </is>
      </c>
      <c r="E1420" t="inlineStr">
        <is>
          <t>TORSBY</t>
        </is>
      </c>
      <c r="G1420" t="n">
        <v>20.8</v>
      </c>
      <c r="H1420" t="n">
        <v>0</v>
      </c>
      <c r="I1420" t="n">
        <v>0</v>
      </c>
      <c r="J1420" t="n">
        <v>0</v>
      </c>
      <c r="K1420" t="n">
        <v>0</v>
      </c>
      <c r="L1420" t="n">
        <v>0</v>
      </c>
      <c r="M1420" t="n">
        <v>0</v>
      </c>
      <c r="N1420" t="n">
        <v>0</v>
      </c>
      <c r="O1420" t="n">
        <v>0</v>
      </c>
      <c r="P1420" t="n">
        <v>0</v>
      </c>
      <c r="Q1420" t="n">
        <v>0</v>
      </c>
      <c r="R1420" s="2" t="inlineStr"/>
    </row>
    <row r="1421" ht="15" customHeight="1">
      <c r="A1421" t="inlineStr">
        <is>
          <t>A 54306-2024</t>
        </is>
      </c>
      <c r="B1421" s="1" t="n">
        <v>45617</v>
      </c>
      <c r="C1421" s="1" t="n">
        <v>46191</v>
      </c>
      <c r="D1421" t="inlineStr">
        <is>
          <t>VÄRMLANDS LÄN</t>
        </is>
      </c>
      <c r="E1421" t="inlineStr">
        <is>
          <t>TORSBY</t>
        </is>
      </c>
      <c r="F1421" t="inlineStr">
        <is>
          <t>Bergvik skog väst AB</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61531-2025</t>
        </is>
      </c>
      <c r="B1422" s="1" t="n">
        <v>46001</v>
      </c>
      <c r="C1422" s="1" t="n">
        <v>46191</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62186-2025</t>
        </is>
      </c>
      <c r="B1423" s="1" t="n">
        <v>46006</v>
      </c>
      <c r="C1423" s="1" t="n">
        <v>46191</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20120-2023</t>
        </is>
      </c>
      <c r="B1424" s="1" t="n">
        <v>45055</v>
      </c>
      <c r="C1424" s="1" t="n">
        <v>46191</v>
      </c>
      <c r="D1424" t="inlineStr">
        <is>
          <t>VÄRMLANDS LÄN</t>
        </is>
      </c>
      <c r="E1424" t="inlineStr">
        <is>
          <t>TORSBY</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44423-2024</t>
        </is>
      </c>
      <c r="B1425" s="1" t="n">
        <v>45573</v>
      </c>
      <c r="C1425" s="1" t="n">
        <v>46191</v>
      </c>
      <c r="D1425" t="inlineStr">
        <is>
          <t>VÄRMLANDS LÄN</t>
        </is>
      </c>
      <c r="E1425" t="inlineStr">
        <is>
          <t>TORSBY</t>
        </is>
      </c>
      <c r="G1425" t="n">
        <v>34.1</v>
      </c>
      <c r="H1425" t="n">
        <v>0</v>
      </c>
      <c r="I1425" t="n">
        <v>0</v>
      </c>
      <c r="J1425" t="n">
        <v>0</v>
      </c>
      <c r="K1425" t="n">
        <v>0</v>
      </c>
      <c r="L1425" t="n">
        <v>0</v>
      </c>
      <c r="M1425" t="n">
        <v>0</v>
      </c>
      <c r="N1425" t="n">
        <v>0</v>
      </c>
      <c r="O1425" t="n">
        <v>0</v>
      </c>
      <c r="P1425" t="n">
        <v>0</v>
      </c>
      <c r="Q1425" t="n">
        <v>0</v>
      </c>
      <c r="R1425" s="2" t="inlineStr"/>
    </row>
    <row r="1426" ht="15" customHeight="1">
      <c r="A1426" t="inlineStr">
        <is>
          <t>A 54265-2024</t>
        </is>
      </c>
      <c r="B1426" s="1" t="n">
        <v>45616</v>
      </c>
      <c r="C1426" s="1" t="n">
        <v>46191</v>
      </c>
      <c r="D1426" t="inlineStr">
        <is>
          <t>VÄRMLANDS LÄN</t>
        </is>
      </c>
      <c r="E1426" t="inlineStr">
        <is>
          <t>TORSBY</t>
        </is>
      </c>
      <c r="F1426" t="inlineStr">
        <is>
          <t>Kommuner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1828-2026</t>
        </is>
      </c>
      <c r="B1427" s="1" t="n">
        <v>46035</v>
      </c>
      <c r="C1427" s="1" t="n">
        <v>46191</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6534-2025</t>
        </is>
      </c>
      <c r="B1428" s="1" t="n">
        <v>45699</v>
      </c>
      <c r="C1428" s="1" t="n">
        <v>46191</v>
      </c>
      <c r="D1428" t="inlineStr">
        <is>
          <t>VÄRMLANDS LÄN</t>
        </is>
      </c>
      <c r="E1428" t="inlineStr">
        <is>
          <t>TORSBY</t>
        </is>
      </c>
      <c r="F1428" t="inlineStr">
        <is>
          <t>Kommuner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57642-2023</t>
        </is>
      </c>
      <c r="B1429" s="1" t="n">
        <v>45246</v>
      </c>
      <c r="C1429" s="1" t="n">
        <v>46191</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54822-2023</t>
        </is>
      </c>
      <c r="B1430" s="1" t="n">
        <v>45229</v>
      </c>
      <c r="C1430" s="1" t="n">
        <v>46191</v>
      </c>
      <c r="D1430" t="inlineStr">
        <is>
          <t>VÄRMLANDS LÄN</t>
        </is>
      </c>
      <c r="E1430" t="inlineStr">
        <is>
          <t>TORSBY</t>
        </is>
      </c>
      <c r="F1430" t="inlineStr">
        <is>
          <t>Övriga Aktiebolag</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8033-2022</t>
        </is>
      </c>
      <c r="B1431" s="1" t="n">
        <v>44609</v>
      </c>
      <c r="C1431" s="1" t="n">
        <v>46191</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22973-2024</t>
        </is>
      </c>
      <c r="B1432" s="1" t="n">
        <v>45449</v>
      </c>
      <c r="C1432" s="1" t="n">
        <v>46191</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33499-2024</t>
        </is>
      </c>
      <c r="B1433" s="1" t="n">
        <v>45519</v>
      </c>
      <c r="C1433" s="1" t="n">
        <v>46191</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34378-2022</t>
        </is>
      </c>
      <c r="B1434" s="1" t="n">
        <v>44792</v>
      </c>
      <c r="C1434" s="1" t="n">
        <v>46191</v>
      </c>
      <c r="D1434" t="inlineStr">
        <is>
          <t>VÄRMLANDS LÄN</t>
        </is>
      </c>
      <c r="E1434" t="inlineStr">
        <is>
          <t>TORSBY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33897-2025</t>
        </is>
      </c>
      <c r="B1435" s="1" t="n">
        <v>45842</v>
      </c>
      <c r="C1435" s="1" t="n">
        <v>46191</v>
      </c>
      <c r="D1435" t="inlineStr">
        <is>
          <t>VÄRMLANDS LÄN</t>
        </is>
      </c>
      <c r="E1435" t="inlineStr">
        <is>
          <t>TORSBY</t>
        </is>
      </c>
      <c r="G1435" t="n">
        <v>13.7</v>
      </c>
      <c r="H1435" t="n">
        <v>0</v>
      </c>
      <c r="I1435" t="n">
        <v>0</v>
      </c>
      <c r="J1435" t="n">
        <v>0</v>
      </c>
      <c r="K1435" t="n">
        <v>0</v>
      </c>
      <c r="L1435" t="n">
        <v>0</v>
      </c>
      <c r="M1435" t="n">
        <v>0</v>
      </c>
      <c r="N1435" t="n">
        <v>0</v>
      </c>
      <c r="O1435" t="n">
        <v>0</v>
      </c>
      <c r="P1435" t="n">
        <v>0</v>
      </c>
      <c r="Q1435" t="n">
        <v>0</v>
      </c>
      <c r="R1435" s="2" t="inlineStr"/>
    </row>
    <row r="1436" ht="15" customHeight="1">
      <c r="A1436" t="inlineStr">
        <is>
          <t>A 62401-2025</t>
        </is>
      </c>
      <c r="B1436" s="1" t="n">
        <v>46007</v>
      </c>
      <c r="C1436" s="1" t="n">
        <v>46191</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17024-2024</t>
        </is>
      </c>
      <c r="B1437" s="1" t="n">
        <v>45412</v>
      </c>
      <c r="C1437" s="1" t="n">
        <v>46191</v>
      </c>
      <c r="D1437" t="inlineStr">
        <is>
          <t>VÄRMLANDS LÄN</t>
        </is>
      </c>
      <c r="E1437" t="inlineStr">
        <is>
          <t>TORSBY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26311-2026</t>
        </is>
      </c>
      <c r="B1438" s="1" t="n">
        <v>46182</v>
      </c>
      <c r="C1438" s="1" t="n">
        <v>46191</v>
      </c>
      <c r="D1438" t="inlineStr">
        <is>
          <t>VÄRMLANDS LÄN</t>
        </is>
      </c>
      <c r="E1438" t="inlineStr">
        <is>
          <t>TORSBY</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38467-2021</t>
        </is>
      </c>
      <c r="B1439" s="1" t="n">
        <v>44405</v>
      </c>
      <c r="C1439" s="1" t="n">
        <v>46191</v>
      </c>
      <c r="D1439" t="inlineStr">
        <is>
          <t>VÄRMLANDS LÄN</t>
        </is>
      </c>
      <c r="E1439" t="inlineStr">
        <is>
          <t>TORSBY</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3223-2025</t>
        </is>
      </c>
      <c r="B1440" s="1" t="n">
        <v>45679</v>
      </c>
      <c r="C1440" s="1" t="n">
        <v>46191</v>
      </c>
      <c r="D1440" t="inlineStr">
        <is>
          <t>VÄRMLANDS LÄN</t>
        </is>
      </c>
      <c r="E1440" t="inlineStr">
        <is>
          <t>TORSBY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3226-2025</t>
        </is>
      </c>
      <c r="B1441" s="1" t="n">
        <v>45679</v>
      </c>
      <c r="C1441" s="1" t="n">
        <v>46191</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13006-2025</t>
        </is>
      </c>
      <c r="B1442" s="1" t="n">
        <v>45734</v>
      </c>
      <c r="C1442" s="1" t="n">
        <v>46191</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38315-2025</t>
        </is>
      </c>
      <c r="B1443" s="1" t="n">
        <v>45883</v>
      </c>
      <c r="C1443" s="1" t="n">
        <v>46191</v>
      </c>
      <c r="D1443" t="inlineStr">
        <is>
          <t>VÄRMLANDS LÄN</t>
        </is>
      </c>
      <c r="E1443" t="inlineStr">
        <is>
          <t>TORSBY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20081-2026</t>
        </is>
      </c>
      <c r="B1444" s="1" t="n">
        <v>46136</v>
      </c>
      <c r="C1444" s="1" t="n">
        <v>46191</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11135-2024</t>
        </is>
      </c>
      <c r="B1445" s="1" t="n">
        <v>45371</v>
      </c>
      <c r="C1445" s="1" t="n">
        <v>46191</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28117-2025</t>
        </is>
      </c>
      <c r="B1446" s="1" t="n">
        <v>45818</v>
      </c>
      <c r="C1446" s="1" t="n">
        <v>46191</v>
      </c>
      <c r="D1446" t="inlineStr">
        <is>
          <t>VÄRMLANDS LÄN</t>
        </is>
      </c>
      <c r="E1446" t="inlineStr">
        <is>
          <t>TORSBY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23423-2024</t>
        </is>
      </c>
      <c r="B1447" s="1" t="n">
        <v>45453</v>
      </c>
      <c r="C1447" s="1" t="n">
        <v>46191</v>
      </c>
      <c r="D1447" t="inlineStr">
        <is>
          <t>VÄRMLANDS LÄN</t>
        </is>
      </c>
      <c r="E1447" t="inlineStr">
        <is>
          <t>TORSBY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49936-2024</t>
        </is>
      </c>
      <c r="B1448" s="1" t="n">
        <v>45597</v>
      </c>
      <c r="C1448" s="1" t="n">
        <v>46191</v>
      </c>
      <c r="D1448" t="inlineStr">
        <is>
          <t>VÄRMLANDS LÄN</t>
        </is>
      </c>
      <c r="E1448" t="inlineStr">
        <is>
          <t>TORSBY</t>
        </is>
      </c>
      <c r="F1448" t="inlineStr">
        <is>
          <t>Bergvik skog väst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18365-2025</t>
        </is>
      </c>
      <c r="B1449" s="1" t="n">
        <v>45762</v>
      </c>
      <c r="C1449" s="1" t="n">
        <v>46191</v>
      </c>
      <c r="D1449" t="inlineStr">
        <is>
          <t>VÄRMLANDS LÄN</t>
        </is>
      </c>
      <c r="E1449" t="inlineStr">
        <is>
          <t>TORSBY</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47619-2024</t>
        </is>
      </c>
      <c r="B1450" s="1" t="n">
        <v>45588</v>
      </c>
      <c r="C1450" s="1" t="n">
        <v>46191</v>
      </c>
      <c r="D1450" t="inlineStr">
        <is>
          <t>VÄRMLANDS LÄN</t>
        </is>
      </c>
      <c r="E1450" t="inlineStr">
        <is>
          <t>TORSBY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40997-2022</t>
        </is>
      </c>
      <c r="B1451" s="1" t="n">
        <v>44825</v>
      </c>
      <c r="C1451" s="1" t="n">
        <v>46191</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46326-2025</t>
        </is>
      </c>
      <c r="B1452" s="1" t="n">
        <v>45925</v>
      </c>
      <c r="C1452" s="1" t="n">
        <v>46191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4172-2022</t>
        </is>
      </c>
      <c r="B1453" s="1" t="n">
        <v>44588</v>
      </c>
      <c r="C1453" s="1" t="n">
        <v>46191</v>
      </c>
      <c r="D1453" t="inlineStr">
        <is>
          <t>VÄRMLANDS LÄN</t>
        </is>
      </c>
      <c r="E1453" t="inlineStr">
        <is>
          <t>TORSBY</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21825-2024</t>
        </is>
      </c>
      <c r="B1454" s="1" t="n">
        <v>45442</v>
      </c>
      <c r="C1454" s="1" t="n">
        <v>46191</v>
      </c>
      <c r="D1454" t="inlineStr">
        <is>
          <t>VÄRMLANDS LÄN</t>
        </is>
      </c>
      <c r="E1454" t="inlineStr">
        <is>
          <t>TORSBY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15873-2025</t>
        </is>
      </c>
      <c r="B1455" s="1" t="n">
        <v>45749</v>
      </c>
      <c r="C1455" s="1" t="n">
        <v>46191</v>
      </c>
      <c r="D1455" t="inlineStr">
        <is>
          <t>VÄRMLANDS LÄN</t>
        </is>
      </c>
      <c r="E1455" t="inlineStr">
        <is>
          <t>TORSBY</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57536-2024</t>
        </is>
      </c>
      <c r="B1456" s="1" t="n">
        <v>45630</v>
      </c>
      <c r="C1456" s="1" t="n">
        <v>46191</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40858-2023</t>
        </is>
      </c>
      <c r="B1457" s="1" t="n">
        <v>45173</v>
      </c>
      <c r="C1457" s="1" t="n">
        <v>46191</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46191</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27450-2025</t>
        </is>
      </c>
      <c r="B1459" s="1" t="n">
        <v>45813</v>
      </c>
      <c r="C1459" s="1" t="n">
        <v>46191</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11235-2024</t>
        </is>
      </c>
      <c r="B1460" s="1" t="n">
        <v>45371</v>
      </c>
      <c r="C1460" s="1" t="n">
        <v>46191</v>
      </c>
      <c r="D1460" t="inlineStr">
        <is>
          <t>VÄRMLANDS LÄN</t>
        </is>
      </c>
      <c r="E1460" t="inlineStr">
        <is>
          <t>TORSBY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47241-2023</t>
        </is>
      </c>
      <c r="B1461" s="1" t="n">
        <v>45202</v>
      </c>
      <c r="C1461" s="1" t="n">
        <v>46191</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45425-2025</t>
        </is>
      </c>
      <c r="B1462" s="1" t="n">
        <v>45922</v>
      </c>
      <c r="C1462" s="1" t="n">
        <v>46191</v>
      </c>
      <c r="D1462" t="inlineStr">
        <is>
          <t>VÄRMLANDS LÄN</t>
        </is>
      </c>
      <c r="E1462" t="inlineStr">
        <is>
          <t>TORSBY</t>
        </is>
      </c>
      <c r="F1462" t="inlineStr">
        <is>
          <t>Bergvik skog väst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2390-2025</t>
        </is>
      </c>
      <c r="B1463" s="1" t="n">
        <v>45674</v>
      </c>
      <c r="C1463" s="1" t="n">
        <v>46191</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63098-2025</t>
        </is>
      </c>
      <c r="B1464" s="1" t="n">
        <v>46009</v>
      </c>
      <c r="C1464" s="1" t="n">
        <v>46191</v>
      </c>
      <c r="D1464" t="inlineStr">
        <is>
          <t>VÄRMLANDS LÄN</t>
        </is>
      </c>
      <c r="E1464" t="inlineStr">
        <is>
          <t>TORSBY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11211-2024</t>
        </is>
      </c>
      <c r="B1465" s="1" t="n">
        <v>45371</v>
      </c>
      <c r="C1465" s="1" t="n">
        <v>46191</v>
      </c>
      <c r="D1465" t="inlineStr">
        <is>
          <t>VÄRMLANDS LÄN</t>
        </is>
      </c>
      <c r="E1465" t="inlineStr">
        <is>
          <t>TORSBY</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10218-2023</t>
        </is>
      </c>
      <c r="B1466" s="1" t="n">
        <v>44986</v>
      </c>
      <c r="C1466" s="1" t="n">
        <v>46191</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26025-2026</t>
        </is>
      </c>
      <c r="B1467" s="1" t="n">
        <v>46181</v>
      </c>
      <c r="C1467" s="1" t="n">
        <v>46191</v>
      </c>
      <c r="D1467" t="inlineStr">
        <is>
          <t>VÄRMLANDS LÄN</t>
        </is>
      </c>
      <c r="E1467" t="inlineStr">
        <is>
          <t>TORSBY</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5830-2023</t>
        </is>
      </c>
      <c r="B1468" s="1" t="n">
        <v>44963</v>
      </c>
      <c r="C1468" s="1" t="n">
        <v>46191</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57721-2022</t>
        </is>
      </c>
      <c r="B1469" s="1" t="n">
        <v>44897</v>
      </c>
      <c r="C1469" s="1" t="n">
        <v>46191</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19887-2024</t>
        </is>
      </c>
      <c r="B1470" s="1" t="n">
        <v>45433</v>
      </c>
      <c r="C1470" s="1" t="n">
        <v>46191</v>
      </c>
      <c r="D1470" t="inlineStr">
        <is>
          <t>VÄRMLANDS LÄN</t>
        </is>
      </c>
      <c r="E1470" t="inlineStr">
        <is>
          <t>TORSBY</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42529-2025</t>
        </is>
      </c>
      <c r="B1471" s="1" t="n">
        <v>45905</v>
      </c>
      <c r="C1471" s="1" t="n">
        <v>46191</v>
      </c>
      <c r="D1471" t="inlineStr">
        <is>
          <t>VÄRMLANDS LÄN</t>
        </is>
      </c>
      <c r="E1471" t="inlineStr">
        <is>
          <t>TORSBY</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4640-2022</t>
        </is>
      </c>
      <c r="B1472" s="1" t="n">
        <v>44592</v>
      </c>
      <c r="C1472" s="1" t="n">
        <v>46191</v>
      </c>
      <c r="D1472" t="inlineStr">
        <is>
          <t>VÄRMLANDS LÄN</t>
        </is>
      </c>
      <c r="E1472" t="inlineStr">
        <is>
          <t>TORSBY</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10589-2024</t>
        </is>
      </c>
      <c r="B1473" s="1" t="n">
        <v>45366</v>
      </c>
      <c r="C1473" s="1" t="n">
        <v>46191</v>
      </c>
      <c r="D1473" t="inlineStr">
        <is>
          <t>VÄRMLANDS LÄN</t>
        </is>
      </c>
      <c r="E1473" t="inlineStr">
        <is>
          <t>TORSBY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9057-2022</t>
        </is>
      </c>
      <c r="B1474" s="1" t="n">
        <v>44615</v>
      </c>
      <c r="C1474" s="1" t="n">
        <v>46191</v>
      </c>
      <c r="D1474" t="inlineStr">
        <is>
          <t>VÄRMLANDS LÄN</t>
        </is>
      </c>
      <c r="E1474" t="inlineStr">
        <is>
          <t>TORSBY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35194-2025</t>
        </is>
      </c>
      <c r="B1475" s="1" t="n">
        <v>45853</v>
      </c>
      <c r="C1475" s="1" t="n">
        <v>46191</v>
      </c>
      <c r="D1475" t="inlineStr">
        <is>
          <t>VÄRMLANDS LÄN</t>
        </is>
      </c>
      <c r="E1475" t="inlineStr">
        <is>
          <t>TORSBY</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20808-2026</t>
        </is>
      </c>
      <c r="B1476" s="1" t="n">
        <v>46141</v>
      </c>
      <c r="C1476" s="1" t="n">
        <v>46191</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27347-2024</t>
        </is>
      </c>
      <c r="B1477" s="1" t="n">
        <v>45473</v>
      </c>
      <c r="C1477" s="1" t="n">
        <v>46191</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24580-2025</t>
        </is>
      </c>
      <c r="B1478" s="1" t="n">
        <v>45798</v>
      </c>
      <c r="C1478" s="1" t="n">
        <v>46191</v>
      </c>
      <c r="D1478" t="inlineStr">
        <is>
          <t>VÄRMLANDS LÄN</t>
        </is>
      </c>
      <c r="E1478" t="inlineStr">
        <is>
          <t>TORSBY</t>
        </is>
      </c>
      <c r="G1478" t="n">
        <v>12.2</v>
      </c>
      <c r="H1478" t="n">
        <v>0</v>
      </c>
      <c r="I1478" t="n">
        <v>0</v>
      </c>
      <c r="J1478" t="n">
        <v>0</v>
      </c>
      <c r="K1478" t="n">
        <v>0</v>
      </c>
      <c r="L1478" t="n">
        <v>0</v>
      </c>
      <c r="M1478" t="n">
        <v>0</v>
      </c>
      <c r="N1478" t="n">
        <v>0</v>
      </c>
      <c r="O1478" t="n">
        <v>0</v>
      </c>
      <c r="P1478" t="n">
        <v>0</v>
      </c>
      <c r="Q1478" t="n">
        <v>0</v>
      </c>
      <c r="R1478" s="2" t="inlineStr"/>
    </row>
    <row r="1479" ht="15" customHeight="1">
      <c r="A1479" t="inlineStr">
        <is>
          <t>A 345-2023</t>
        </is>
      </c>
      <c r="B1479" s="1" t="n">
        <v>44923</v>
      </c>
      <c r="C1479" s="1" t="n">
        <v>46191</v>
      </c>
      <c r="D1479" t="inlineStr">
        <is>
          <t>VÄRMLANDS LÄN</t>
        </is>
      </c>
      <c r="E1479" t="inlineStr">
        <is>
          <t>TORSBY</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6715-2023</t>
        </is>
      </c>
      <c r="B1480" s="1" t="n">
        <v>44960</v>
      </c>
      <c r="C1480" s="1" t="n">
        <v>46191</v>
      </c>
      <c r="D1480" t="inlineStr">
        <is>
          <t>VÄRMLANDS LÄN</t>
        </is>
      </c>
      <c r="E1480" t="inlineStr">
        <is>
          <t>TORSBY</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16210-2025</t>
        </is>
      </c>
      <c r="B1481" s="1" t="n">
        <v>45750</v>
      </c>
      <c r="C1481" s="1" t="n">
        <v>46191</v>
      </c>
      <c r="D1481" t="inlineStr">
        <is>
          <t>VÄRMLANDS LÄN</t>
        </is>
      </c>
      <c r="E1481" t="inlineStr">
        <is>
          <t>TORSBY</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2387-2025</t>
        </is>
      </c>
      <c r="B1482" s="1" t="n">
        <v>45674</v>
      </c>
      <c r="C1482" s="1" t="n">
        <v>46191</v>
      </c>
      <c r="D1482" t="inlineStr">
        <is>
          <t>VÄRMLANDS LÄN</t>
        </is>
      </c>
      <c r="E1482" t="inlineStr">
        <is>
          <t>TORSBY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26530-2026</t>
        </is>
      </c>
      <c r="B1483" s="1" t="n">
        <v>46183</v>
      </c>
      <c r="C1483" s="1" t="n">
        <v>46191</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26539-2026</t>
        </is>
      </c>
      <c r="B1484" s="1" t="n">
        <v>46183</v>
      </c>
      <c r="C1484" s="1" t="n">
        <v>46191</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9056-2023</t>
        </is>
      </c>
      <c r="B1485" s="1" t="n">
        <v>44979</v>
      </c>
      <c r="C1485" s="1" t="n">
        <v>46191</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58869-2022</t>
        </is>
      </c>
      <c r="B1486" s="1" t="n">
        <v>44903</v>
      </c>
      <c r="C1486" s="1" t="n">
        <v>46191</v>
      </c>
      <c r="D1486" t="inlineStr">
        <is>
          <t>VÄRMLANDS LÄN</t>
        </is>
      </c>
      <c r="E1486" t="inlineStr">
        <is>
          <t>TORSBY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40034-2025</t>
        </is>
      </c>
      <c r="B1487" s="1" t="n">
        <v>45894</v>
      </c>
      <c r="C1487" s="1" t="n">
        <v>46191</v>
      </c>
      <c r="D1487" t="inlineStr">
        <is>
          <t>VÄRMLANDS LÄN</t>
        </is>
      </c>
      <c r="E1487" t="inlineStr">
        <is>
          <t>TORSBY</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20622-2026</t>
        </is>
      </c>
      <c r="B1488" s="1" t="n">
        <v>46141</v>
      </c>
      <c r="C1488" s="1" t="n">
        <v>46191</v>
      </c>
      <c r="D1488" t="inlineStr">
        <is>
          <t>VÄRMLANDS LÄN</t>
        </is>
      </c>
      <c r="E1488" t="inlineStr">
        <is>
          <t>TORSBY</t>
        </is>
      </c>
      <c r="F1488" t="inlineStr">
        <is>
          <t>Bergvik skog väst AB</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1275-2024</t>
        </is>
      </c>
      <c r="B1489" s="1" t="n">
        <v>45302</v>
      </c>
      <c r="C1489" s="1" t="n">
        <v>46191</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14413-2025</t>
        </is>
      </c>
      <c r="B1490" s="1" t="n">
        <v>45741</v>
      </c>
      <c r="C1490" s="1" t="n">
        <v>46191</v>
      </c>
      <c r="D1490" t="inlineStr">
        <is>
          <t>VÄRMLANDS LÄN</t>
        </is>
      </c>
      <c r="E1490" t="inlineStr">
        <is>
          <t>TORSBY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39919-2025</t>
        </is>
      </c>
      <c r="B1491" s="1" t="n">
        <v>45891</v>
      </c>
      <c r="C1491" s="1" t="n">
        <v>46191</v>
      </c>
      <c r="D1491" t="inlineStr">
        <is>
          <t>VÄRMLANDS LÄN</t>
        </is>
      </c>
      <c r="E1491" t="inlineStr">
        <is>
          <t>TORSBY</t>
        </is>
      </c>
      <c r="F1491" t="inlineStr">
        <is>
          <t>Bergvik skog väst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11575-2024</t>
        </is>
      </c>
      <c r="B1492" s="1" t="n">
        <v>45373</v>
      </c>
      <c r="C1492" s="1" t="n">
        <v>46191</v>
      </c>
      <c r="D1492" t="inlineStr">
        <is>
          <t>VÄRMLANDS LÄN</t>
        </is>
      </c>
      <c r="E1492" t="inlineStr">
        <is>
          <t>TORSBY</t>
        </is>
      </c>
      <c r="G1492" t="n">
        <v>14.2</v>
      </c>
      <c r="H1492" t="n">
        <v>0</v>
      </c>
      <c r="I1492" t="n">
        <v>0</v>
      </c>
      <c r="J1492" t="n">
        <v>0</v>
      </c>
      <c r="K1492" t="n">
        <v>0</v>
      </c>
      <c r="L1492" t="n">
        <v>0</v>
      </c>
      <c r="M1492" t="n">
        <v>0</v>
      </c>
      <c r="N1492" t="n">
        <v>0</v>
      </c>
      <c r="O1492" t="n">
        <v>0</v>
      </c>
      <c r="P1492" t="n">
        <v>0</v>
      </c>
      <c r="Q1492" t="n">
        <v>0</v>
      </c>
      <c r="R1492" s="2" t="inlineStr"/>
    </row>
    <row r="1493" ht="15" customHeight="1">
      <c r="A1493" t="inlineStr">
        <is>
          <t>A 46695-2025</t>
        </is>
      </c>
      <c r="B1493" s="1" t="n">
        <v>45926</v>
      </c>
      <c r="C1493" s="1" t="n">
        <v>46191</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57726-2022</t>
        </is>
      </c>
      <c r="B1494" s="1" t="n">
        <v>44897</v>
      </c>
      <c r="C1494" s="1" t="n">
        <v>46191</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44710-2025</t>
        </is>
      </c>
      <c r="B1495" s="1" t="n">
        <v>45917</v>
      </c>
      <c r="C1495" s="1" t="n">
        <v>46191</v>
      </c>
      <c r="D1495" t="inlineStr">
        <is>
          <t>VÄRMLANDS LÄN</t>
        </is>
      </c>
      <c r="E1495" t="inlineStr">
        <is>
          <t>TORSBY</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48185-2024</t>
        </is>
      </c>
      <c r="B1496" s="1" t="n">
        <v>45589</v>
      </c>
      <c r="C1496" s="1" t="n">
        <v>46191</v>
      </c>
      <c r="D1496" t="inlineStr">
        <is>
          <t>VÄRMLANDS LÄN</t>
        </is>
      </c>
      <c r="E1496" t="inlineStr">
        <is>
          <t>TORSBY</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36879-2024</t>
        </is>
      </c>
      <c r="B1497" s="1" t="n">
        <v>45538</v>
      </c>
      <c r="C1497" s="1" t="n">
        <v>46191</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22943-2023</t>
        </is>
      </c>
      <c r="B1498" s="1" t="n">
        <v>45072</v>
      </c>
      <c r="C1498" s="1" t="n">
        <v>46191</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22301-2023</t>
        </is>
      </c>
      <c r="B1499" s="1" t="n">
        <v>45070</v>
      </c>
      <c r="C1499" s="1" t="n">
        <v>46191</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51510-2021</t>
        </is>
      </c>
      <c r="B1500" s="1" t="n">
        <v>44460</v>
      </c>
      <c r="C1500" s="1" t="n">
        <v>46191</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20991-2026</t>
        </is>
      </c>
      <c r="B1501" s="1" t="n">
        <v>46142</v>
      </c>
      <c r="C1501" s="1" t="n">
        <v>46191</v>
      </c>
      <c r="D1501" t="inlineStr">
        <is>
          <t>VÄRMLANDS LÄN</t>
        </is>
      </c>
      <c r="E1501" t="inlineStr">
        <is>
          <t>TORSBY</t>
        </is>
      </c>
      <c r="F1501" t="inlineStr">
        <is>
          <t>Bergvik skog väst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18505-2026</t>
        </is>
      </c>
      <c r="B1502" s="1" t="n">
        <v>46127</v>
      </c>
      <c r="C1502" s="1" t="n">
        <v>46191</v>
      </c>
      <c r="D1502" t="inlineStr">
        <is>
          <t>VÄRMLANDS LÄN</t>
        </is>
      </c>
      <c r="E1502" t="inlineStr">
        <is>
          <t>TORSBY</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21006-2026</t>
        </is>
      </c>
      <c r="B1503" s="1" t="n">
        <v>46142</v>
      </c>
      <c r="C1503" s="1" t="n">
        <v>46191</v>
      </c>
      <c r="D1503" t="inlineStr">
        <is>
          <t>VÄRMLANDS LÄN</t>
        </is>
      </c>
      <c r="E1503" t="inlineStr">
        <is>
          <t>TORSBY</t>
        </is>
      </c>
      <c r="F1503" t="inlineStr">
        <is>
          <t>Bergvik skog väst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24965-2023</t>
        </is>
      </c>
      <c r="B1504" s="1" t="n">
        <v>45085</v>
      </c>
      <c r="C1504" s="1" t="n">
        <v>46191</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24969-2023</t>
        </is>
      </c>
      <c r="B1505" s="1" t="n">
        <v>45085</v>
      </c>
      <c r="C1505" s="1" t="n">
        <v>46191</v>
      </c>
      <c r="D1505" t="inlineStr">
        <is>
          <t>VÄRMLANDS LÄN</t>
        </is>
      </c>
      <c r="E1505" t="inlineStr">
        <is>
          <t>TORSBY</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15126-2024</t>
        </is>
      </c>
      <c r="B1506" s="1" t="n">
        <v>45399</v>
      </c>
      <c r="C1506" s="1" t="n">
        <v>46191</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15127-2024</t>
        </is>
      </c>
      <c r="B1507" s="1" t="n">
        <v>45399</v>
      </c>
      <c r="C1507" s="1" t="n">
        <v>46191</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51386-2023</t>
        </is>
      </c>
      <c r="B1508" s="1" t="n">
        <v>45219</v>
      </c>
      <c r="C1508" s="1" t="n">
        <v>46191</v>
      </c>
      <c r="D1508" t="inlineStr">
        <is>
          <t>VÄRMLANDS LÄN</t>
        </is>
      </c>
      <c r="E1508" t="inlineStr">
        <is>
          <t>TORSBY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38914-2022</t>
        </is>
      </c>
      <c r="B1509" s="1" t="n">
        <v>44816</v>
      </c>
      <c r="C1509" s="1" t="n">
        <v>46191</v>
      </c>
      <c r="D1509" t="inlineStr">
        <is>
          <t>VÄRMLANDS LÄN</t>
        </is>
      </c>
      <c r="E1509" t="inlineStr">
        <is>
          <t>TORSBY</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24827-2025</t>
        </is>
      </c>
      <c r="B1510" s="1" t="n">
        <v>45799</v>
      </c>
      <c r="C1510" s="1" t="n">
        <v>46191</v>
      </c>
      <c r="D1510" t="inlineStr">
        <is>
          <t>VÄRMLANDS LÄN</t>
        </is>
      </c>
      <c r="E1510" t="inlineStr">
        <is>
          <t>TORSBY</t>
        </is>
      </c>
      <c r="G1510" t="n">
        <v>27.5</v>
      </c>
      <c r="H1510" t="n">
        <v>0</v>
      </c>
      <c r="I1510" t="n">
        <v>0</v>
      </c>
      <c r="J1510" t="n">
        <v>0</v>
      </c>
      <c r="K1510" t="n">
        <v>0</v>
      </c>
      <c r="L1510" t="n">
        <v>0</v>
      </c>
      <c r="M1510" t="n">
        <v>0</v>
      </c>
      <c r="N1510" t="n">
        <v>0</v>
      </c>
      <c r="O1510" t="n">
        <v>0</v>
      </c>
      <c r="P1510" t="n">
        <v>0</v>
      </c>
      <c r="Q1510" t="n">
        <v>0</v>
      </c>
      <c r="R1510" s="2" t="inlineStr"/>
    </row>
    <row r="1511" ht="15" customHeight="1">
      <c r="A1511" t="inlineStr">
        <is>
          <t>A 14800-2025</t>
        </is>
      </c>
      <c r="B1511" s="1" t="n">
        <v>45743</v>
      </c>
      <c r="C1511" s="1" t="n">
        <v>46191</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46152-2024</t>
        </is>
      </c>
      <c r="B1512" s="1" t="n">
        <v>45581</v>
      </c>
      <c r="C1512" s="1" t="n">
        <v>46191</v>
      </c>
      <c r="D1512" t="inlineStr">
        <is>
          <t>VÄRMLANDS LÄN</t>
        </is>
      </c>
      <c r="E1512" t="inlineStr">
        <is>
          <t>TORSBY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1997-2025</t>
        </is>
      </c>
      <c r="B1513" s="1" t="n">
        <v>45672</v>
      </c>
      <c r="C1513" s="1" t="n">
        <v>46191</v>
      </c>
      <c r="D1513" t="inlineStr">
        <is>
          <t>VÄRMLANDS LÄN</t>
        </is>
      </c>
      <c r="E1513" t="inlineStr">
        <is>
          <t>TORSBY</t>
        </is>
      </c>
      <c r="G1513" t="n">
        <v>20.1</v>
      </c>
      <c r="H1513" t="n">
        <v>0</v>
      </c>
      <c r="I1513" t="n">
        <v>0</v>
      </c>
      <c r="J1513" t="n">
        <v>0</v>
      </c>
      <c r="K1513" t="n">
        <v>0</v>
      </c>
      <c r="L1513" t="n">
        <v>0</v>
      </c>
      <c r="M1513" t="n">
        <v>0</v>
      </c>
      <c r="N1513" t="n">
        <v>0</v>
      </c>
      <c r="O1513" t="n">
        <v>0</v>
      </c>
      <c r="P1513" t="n">
        <v>0</v>
      </c>
      <c r="Q1513" t="n">
        <v>0</v>
      </c>
      <c r="R1513" s="2" t="inlineStr"/>
    </row>
    <row r="1514" ht="15" customHeight="1">
      <c r="A1514" t="inlineStr">
        <is>
          <t>A 47651-2024</t>
        </is>
      </c>
      <c r="B1514" s="1" t="n">
        <v>45588</v>
      </c>
      <c r="C1514" s="1" t="n">
        <v>46191</v>
      </c>
      <c r="D1514" t="inlineStr">
        <is>
          <t>VÄRMLANDS LÄN</t>
        </is>
      </c>
      <c r="E1514" t="inlineStr">
        <is>
          <t>TORSBY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18682-2024</t>
        </is>
      </c>
      <c r="B1515" s="1" t="n">
        <v>45426</v>
      </c>
      <c r="C1515" s="1" t="n">
        <v>46191</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7378-2025</t>
        </is>
      </c>
      <c r="B1516" s="1" t="n">
        <v>45705</v>
      </c>
      <c r="C1516" s="1" t="n">
        <v>46191</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1947-2023</t>
        </is>
      </c>
      <c r="B1517" s="1" t="n">
        <v>44939</v>
      </c>
      <c r="C1517" s="1" t="n">
        <v>46191</v>
      </c>
      <c r="D1517" t="inlineStr">
        <is>
          <t>VÄRMLANDS LÄN</t>
        </is>
      </c>
      <c r="E1517" t="inlineStr">
        <is>
          <t>TORSBY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24425-2025</t>
        </is>
      </c>
      <c r="B1518" s="1" t="n">
        <v>45797</v>
      </c>
      <c r="C1518" s="1" t="n">
        <v>46191</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41746-2025</t>
        </is>
      </c>
      <c r="B1519" s="1" t="n">
        <v>45902</v>
      </c>
      <c r="C1519" s="1" t="n">
        <v>46191</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42615-2021</t>
        </is>
      </c>
      <c r="B1520" s="1" t="n">
        <v>44428</v>
      </c>
      <c r="C1520" s="1" t="n">
        <v>46191</v>
      </c>
      <c r="D1520" t="inlineStr">
        <is>
          <t>VÄRMLANDS LÄN</t>
        </is>
      </c>
      <c r="E1520" t="inlineStr">
        <is>
          <t>TORSBY</t>
        </is>
      </c>
      <c r="F1520" t="inlineStr">
        <is>
          <t>Bergvik skog väst AB</t>
        </is>
      </c>
      <c r="G1520" t="n">
        <v>37.2</v>
      </c>
      <c r="H1520" t="n">
        <v>0</v>
      </c>
      <c r="I1520" t="n">
        <v>0</v>
      </c>
      <c r="J1520" t="n">
        <v>0</v>
      </c>
      <c r="K1520" t="n">
        <v>0</v>
      </c>
      <c r="L1520" t="n">
        <v>0</v>
      </c>
      <c r="M1520" t="n">
        <v>0</v>
      </c>
      <c r="N1520" t="n">
        <v>0</v>
      </c>
      <c r="O1520" t="n">
        <v>0</v>
      </c>
      <c r="P1520" t="n">
        <v>0</v>
      </c>
      <c r="Q1520" t="n">
        <v>0</v>
      </c>
      <c r="R1520" s="2" t="inlineStr"/>
    </row>
    <row r="1521" ht="15" customHeight="1">
      <c r="A1521" t="inlineStr">
        <is>
          <t>A 39768-2024</t>
        </is>
      </c>
      <c r="B1521" s="1" t="n">
        <v>45552</v>
      </c>
      <c r="C1521" s="1" t="n">
        <v>46191</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54489-2024</t>
        </is>
      </c>
      <c r="B1522" s="1" t="n">
        <v>45617</v>
      </c>
      <c r="C1522" s="1" t="n">
        <v>46191</v>
      </c>
      <c r="D1522" t="inlineStr">
        <is>
          <t>VÄRMLANDS LÄN</t>
        </is>
      </c>
      <c r="E1522" t="inlineStr">
        <is>
          <t>TORSBY</t>
        </is>
      </c>
      <c r="F1522" t="inlineStr">
        <is>
          <t>Bergvik skog väst AB</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20635-2026</t>
        </is>
      </c>
      <c r="B1523" s="1" t="n">
        <v>46141</v>
      </c>
      <c r="C1523" s="1" t="n">
        <v>46191</v>
      </c>
      <c r="D1523" t="inlineStr">
        <is>
          <t>VÄRMLANDS LÄN</t>
        </is>
      </c>
      <c r="E1523" t="inlineStr">
        <is>
          <t>TORSBY</t>
        </is>
      </c>
      <c r="F1523" t="inlineStr">
        <is>
          <t>Kyrkan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26785-2026</t>
        </is>
      </c>
      <c r="B1524" s="1" t="n">
        <v>46183</v>
      </c>
      <c r="C1524" s="1" t="n">
        <v>46191</v>
      </c>
      <c r="D1524" t="inlineStr">
        <is>
          <t>VÄRMLANDS LÄN</t>
        </is>
      </c>
      <c r="E1524" t="inlineStr">
        <is>
          <t>TORSBY</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3606-2026</t>
        </is>
      </c>
      <c r="B1525" s="1" t="n">
        <v>46042</v>
      </c>
      <c r="C1525" s="1" t="n">
        <v>46191</v>
      </c>
      <c r="D1525" t="inlineStr">
        <is>
          <t>VÄRMLANDS LÄN</t>
        </is>
      </c>
      <c r="E1525" t="inlineStr">
        <is>
          <t>TORSBY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3672-2024</t>
        </is>
      </c>
      <c r="B1526" s="1" t="n">
        <v>45321</v>
      </c>
      <c r="C1526" s="1" t="n">
        <v>46191</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44670-2023</t>
        </is>
      </c>
      <c r="B1527" s="1" t="n">
        <v>45189</v>
      </c>
      <c r="C1527" s="1" t="n">
        <v>46191</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26509-2026</t>
        </is>
      </c>
      <c r="B1528" s="1" t="n">
        <v>46183</v>
      </c>
      <c r="C1528" s="1" t="n">
        <v>46191</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53652-2023</t>
        </is>
      </c>
      <c r="B1529" s="1" t="n">
        <v>45224</v>
      </c>
      <c r="C1529" s="1" t="n">
        <v>46191</v>
      </c>
      <c r="D1529" t="inlineStr">
        <is>
          <t>VÄRMLANDS LÄN</t>
        </is>
      </c>
      <c r="E1529" t="inlineStr">
        <is>
          <t>TORSBY</t>
        </is>
      </c>
      <c r="F1529" t="inlineStr">
        <is>
          <t>Övriga statliga verk och myndigheter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35334-2025</t>
        </is>
      </c>
      <c r="B1530" s="1" t="n">
        <v>45854</v>
      </c>
      <c r="C1530" s="1" t="n">
        <v>46191</v>
      </c>
      <c r="D1530" t="inlineStr">
        <is>
          <t>VÄRMLANDS LÄN</t>
        </is>
      </c>
      <c r="E1530" t="inlineStr">
        <is>
          <t>TORSBY</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57364-2025</t>
        </is>
      </c>
      <c r="B1531" s="1" t="n">
        <v>45980</v>
      </c>
      <c r="C1531" s="1" t="n">
        <v>46191</v>
      </c>
      <c r="D1531" t="inlineStr">
        <is>
          <t>VÄRMLANDS LÄN</t>
        </is>
      </c>
      <c r="E1531" t="inlineStr">
        <is>
          <t>TORSBY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26754-2026</t>
        </is>
      </c>
      <c r="B1532" s="1" t="n">
        <v>46184</v>
      </c>
      <c r="C1532" s="1" t="n">
        <v>46191</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40971-2023</t>
        </is>
      </c>
      <c r="B1533" s="1" t="n">
        <v>45173</v>
      </c>
      <c r="C1533" s="1" t="n">
        <v>46191</v>
      </c>
      <c r="D1533" t="inlineStr">
        <is>
          <t>VÄRMLANDS LÄN</t>
        </is>
      </c>
      <c r="E1533" t="inlineStr">
        <is>
          <t>TORSBY</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69275-2021</t>
        </is>
      </c>
      <c r="B1534" s="1" t="n">
        <v>44526</v>
      </c>
      <c r="C1534" s="1" t="n">
        <v>46191</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8728-2024</t>
        </is>
      </c>
      <c r="B1535" s="1" t="n">
        <v>45356</v>
      </c>
      <c r="C1535" s="1" t="n">
        <v>46191</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26663-2026</t>
        </is>
      </c>
      <c r="B1536" s="1" t="n">
        <v>46184</v>
      </c>
      <c r="C1536" s="1" t="n">
        <v>46191</v>
      </c>
      <c r="D1536" t="inlineStr">
        <is>
          <t>VÄRMLANDS LÄN</t>
        </is>
      </c>
      <c r="E1536" t="inlineStr">
        <is>
          <t>TORSBY</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19575-2025</t>
        </is>
      </c>
      <c r="B1537" s="1" t="n">
        <v>45770</v>
      </c>
      <c r="C1537" s="1" t="n">
        <v>46191</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25758-2026</t>
        </is>
      </c>
      <c r="B1538" s="1" t="n">
        <v>46178</v>
      </c>
      <c r="C1538" s="1" t="n">
        <v>46191</v>
      </c>
      <c r="D1538" t="inlineStr">
        <is>
          <t>VÄRMLANDS LÄN</t>
        </is>
      </c>
      <c r="E1538" t="inlineStr">
        <is>
          <t>TORSBY</t>
        </is>
      </c>
      <c r="F1538" t="inlineStr">
        <is>
          <t>Bergvik skog väst AB</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26979-2023</t>
        </is>
      </c>
      <c r="B1539" s="1" t="n">
        <v>45091</v>
      </c>
      <c r="C1539" s="1" t="n">
        <v>46191</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58727-2021</t>
        </is>
      </c>
      <c r="B1540" s="1" t="n">
        <v>44489</v>
      </c>
      <c r="C1540" s="1" t="n">
        <v>46191</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7907-2025</t>
        </is>
      </c>
      <c r="B1541" s="1" t="n">
        <v>45707</v>
      </c>
      <c r="C1541" s="1" t="n">
        <v>46191</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9286-2025</t>
        </is>
      </c>
      <c r="B1542" s="1" t="n">
        <v>45714</v>
      </c>
      <c r="C1542" s="1" t="n">
        <v>46191</v>
      </c>
      <c r="D1542" t="inlineStr">
        <is>
          <t>VÄRMLANDS LÄN</t>
        </is>
      </c>
      <c r="E1542" t="inlineStr">
        <is>
          <t>TORSBY</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13785-2023</t>
        </is>
      </c>
      <c r="B1543" s="1" t="n">
        <v>45007</v>
      </c>
      <c r="C1543" s="1" t="n">
        <v>46191</v>
      </c>
      <c r="D1543" t="inlineStr">
        <is>
          <t>VÄRMLANDS LÄN</t>
        </is>
      </c>
      <c r="E1543" t="inlineStr">
        <is>
          <t>TORSBY</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21114-2026</t>
        </is>
      </c>
      <c r="B1544" s="1" t="n">
        <v>46146</v>
      </c>
      <c r="C1544" s="1" t="n">
        <v>46191</v>
      </c>
      <c r="D1544" t="inlineStr">
        <is>
          <t>VÄRMLANDS LÄN</t>
        </is>
      </c>
      <c r="E1544" t="inlineStr">
        <is>
          <t>TORSBY</t>
        </is>
      </c>
      <c r="F1544" t="inlineStr">
        <is>
          <t>Bergvik skog väst AB</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15154-2025</t>
        </is>
      </c>
      <c r="B1545" s="1" t="n">
        <v>45744</v>
      </c>
      <c r="C1545" s="1" t="n">
        <v>46191</v>
      </c>
      <c r="D1545" t="inlineStr">
        <is>
          <t>VÄRMLANDS LÄN</t>
        </is>
      </c>
      <c r="E1545" t="inlineStr">
        <is>
          <t>TORSBY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26784-2026</t>
        </is>
      </c>
      <c r="B1546" s="1" t="n">
        <v>46183</v>
      </c>
      <c r="C1546" s="1" t="n">
        <v>46191</v>
      </c>
      <c r="D1546" t="inlineStr">
        <is>
          <t>VÄRMLANDS LÄN</t>
        </is>
      </c>
      <c r="E1546" t="inlineStr">
        <is>
          <t>TORSBY</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35777-2024</t>
        </is>
      </c>
      <c r="B1547" s="1" t="n">
        <v>45532</v>
      </c>
      <c r="C1547" s="1" t="n">
        <v>46191</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27303-2026</t>
        </is>
      </c>
      <c r="B1548" s="1" t="n">
        <v>46188</v>
      </c>
      <c r="C1548" s="1" t="n">
        <v>46191</v>
      </c>
      <c r="D1548" t="inlineStr">
        <is>
          <t>VÄRMLANDS LÄN</t>
        </is>
      </c>
      <c r="E1548" t="inlineStr">
        <is>
          <t>TORSBY</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26997-2026</t>
        </is>
      </c>
      <c r="B1549" s="1" t="n">
        <v>46185</v>
      </c>
      <c r="C1549" s="1" t="n">
        <v>46191</v>
      </c>
      <c r="D1549" t="inlineStr">
        <is>
          <t>VÄRMLANDS LÄN</t>
        </is>
      </c>
      <c r="E1549" t="inlineStr">
        <is>
          <t>TORSBY</t>
        </is>
      </c>
      <c r="F1549" t="inlineStr">
        <is>
          <t>Bergvik skog väst AB</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54734-2025</t>
        </is>
      </c>
      <c r="B1550" s="1" t="n">
        <v>45966</v>
      </c>
      <c r="C1550" s="1" t="n">
        <v>46191</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27249-2026</t>
        </is>
      </c>
      <c r="B1551" s="1" t="n">
        <v>46188</v>
      </c>
      <c r="C1551" s="1" t="n">
        <v>46191</v>
      </c>
      <c r="D1551" t="inlineStr">
        <is>
          <t>VÄRMLANDS LÄN</t>
        </is>
      </c>
      <c r="E1551" t="inlineStr">
        <is>
          <t>TORSBY</t>
        </is>
      </c>
      <c r="F1551" t="inlineStr">
        <is>
          <t>Bergvik skog väst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27291-2026</t>
        </is>
      </c>
      <c r="B1552" s="1" t="n">
        <v>46188</v>
      </c>
      <c r="C1552" s="1" t="n">
        <v>46191</v>
      </c>
      <c r="D1552" t="inlineStr">
        <is>
          <t>VÄRMLANDS LÄN</t>
        </is>
      </c>
      <c r="E1552" t="inlineStr">
        <is>
          <t>TORSBY</t>
        </is>
      </c>
      <c r="F1552" t="inlineStr">
        <is>
          <t>Bergvik skog väst AB</t>
        </is>
      </c>
      <c r="G1552" t="n">
        <v>12.6</v>
      </c>
      <c r="H1552" t="n">
        <v>0</v>
      </c>
      <c r="I1552" t="n">
        <v>0</v>
      </c>
      <c r="J1552" t="n">
        <v>0</v>
      </c>
      <c r="K1552" t="n">
        <v>0</v>
      </c>
      <c r="L1552" t="n">
        <v>0</v>
      </c>
      <c r="M1552" t="n">
        <v>0</v>
      </c>
      <c r="N1552" t="n">
        <v>0</v>
      </c>
      <c r="O1552" t="n">
        <v>0</v>
      </c>
      <c r="P1552" t="n">
        <v>0</v>
      </c>
      <c r="Q1552" t="n">
        <v>0</v>
      </c>
      <c r="R1552" s="2" t="inlineStr"/>
    </row>
    <row r="1553" ht="15" customHeight="1">
      <c r="A1553" t="inlineStr">
        <is>
          <t>A 27346-2024</t>
        </is>
      </c>
      <c r="B1553" s="1" t="n">
        <v>45473</v>
      </c>
      <c r="C1553" s="1" t="n">
        <v>46191</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27349-2024</t>
        </is>
      </c>
      <c r="B1554" s="1" t="n">
        <v>45473</v>
      </c>
      <c r="C1554" s="1" t="n">
        <v>46191</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15360-2026</t>
        </is>
      </c>
      <c r="B1555" s="1" t="n">
        <v>46105</v>
      </c>
      <c r="C1555" s="1" t="n">
        <v>46191</v>
      </c>
      <c r="D1555" t="inlineStr">
        <is>
          <t>VÄRMLANDS LÄN</t>
        </is>
      </c>
      <c r="E1555" t="inlineStr">
        <is>
          <t>TORSBY</t>
        </is>
      </c>
      <c r="F1555" t="inlineStr">
        <is>
          <t>Bergvik skog väst AB</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20175-2022</t>
        </is>
      </c>
      <c r="B1556" s="1" t="n">
        <v>44698</v>
      </c>
      <c r="C1556" s="1" t="n">
        <v>46191</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13262-2024</t>
        </is>
      </c>
      <c r="B1557" s="1" t="n">
        <v>45386</v>
      </c>
      <c r="C1557" s="1" t="n">
        <v>46191</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9793-2024</t>
        </is>
      </c>
      <c r="B1558" s="1" t="n">
        <v>45362</v>
      </c>
      <c r="C1558" s="1" t="n">
        <v>46191</v>
      </c>
      <c r="D1558" t="inlineStr">
        <is>
          <t>VÄRMLANDS LÄN</t>
        </is>
      </c>
      <c r="E1558" t="inlineStr">
        <is>
          <t>TORSBY</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27190-2026</t>
        </is>
      </c>
      <c r="B1559" s="1" t="n">
        <v>46188</v>
      </c>
      <c r="C1559" s="1" t="n">
        <v>46191</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27347-2026</t>
        </is>
      </c>
      <c r="B1560" s="1" t="n">
        <v>46188</v>
      </c>
      <c r="C1560" s="1" t="n">
        <v>46191</v>
      </c>
      <c r="D1560" t="inlineStr">
        <is>
          <t>VÄRMLANDS LÄN</t>
        </is>
      </c>
      <c r="E1560" t="inlineStr">
        <is>
          <t>TORSBY</t>
        </is>
      </c>
      <c r="F1560" t="inlineStr">
        <is>
          <t>Bergvik skog väst AB</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2009-2025</t>
        </is>
      </c>
      <c r="B1561" s="1" t="n">
        <v>45672</v>
      </c>
      <c r="C1561" s="1" t="n">
        <v>46191</v>
      </c>
      <c r="D1561" t="inlineStr">
        <is>
          <t>VÄRMLANDS LÄN</t>
        </is>
      </c>
      <c r="E1561" t="inlineStr">
        <is>
          <t>TORSBY</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64432-2023</t>
        </is>
      </c>
      <c r="B1562" s="1" t="n">
        <v>45280</v>
      </c>
      <c r="C1562" s="1" t="n">
        <v>46191</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38100-2024</t>
        </is>
      </c>
      <c r="B1563" s="1" t="n">
        <v>45545</v>
      </c>
      <c r="C1563" s="1" t="n">
        <v>46191</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4231-2024</t>
        </is>
      </c>
      <c r="B1564" s="1" t="n">
        <v>45324</v>
      </c>
      <c r="C1564" s="1" t="n">
        <v>46191</v>
      </c>
      <c r="D1564" t="inlineStr">
        <is>
          <t>VÄRMLANDS LÄN</t>
        </is>
      </c>
      <c r="E1564" t="inlineStr">
        <is>
          <t>TORSBY</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21161-2026</t>
        </is>
      </c>
      <c r="B1565" s="1" t="n">
        <v>46146</v>
      </c>
      <c r="C1565" s="1" t="n">
        <v>46191</v>
      </c>
      <c r="D1565" t="inlineStr">
        <is>
          <t>VÄRMLANDS LÄN</t>
        </is>
      </c>
      <c r="E1565" t="inlineStr">
        <is>
          <t>TORSBY</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21164-2026</t>
        </is>
      </c>
      <c r="B1566" s="1" t="n">
        <v>46146</v>
      </c>
      <c r="C1566" s="1" t="n">
        <v>46191</v>
      </c>
      <c r="D1566" t="inlineStr">
        <is>
          <t>VÄRMLANDS LÄN</t>
        </is>
      </c>
      <c r="E1566" t="inlineStr">
        <is>
          <t>TORSBY</t>
        </is>
      </c>
      <c r="F1566" t="inlineStr">
        <is>
          <t>Bergvik skog väst AB</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53331-2024</t>
        </is>
      </c>
      <c r="B1567" s="1" t="n">
        <v>45614</v>
      </c>
      <c r="C1567" s="1" t="n">
        <v>46191</v>
      </c>
      <c r="D1567" t="inlineStr">
        <is>
          <t>VÄRMLANDS LÄN</t>
        </is>
      </c>
      <c r="E1567" t="inlineStr">
        <is>
          <t>TORSBY</t>
        </is>
      </c>
      <c r="F1567" t="inlineStr">
        <is>
          <t>Bergvik skog väst AB</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9900-2024</t>
        </is>
      </c>
      <c r="B1568" s="1" t="n">
        <v>45363</v>
      </c>
      <c r="C1568" s="1" t="n">
        <v>46191</v>
      </c>
      <c r="D1568" t="inlineStr">
        <is>
          <t>VÄRMLANDS LÄN</t>
        </is>
      </c>
      <c r="E1568" t="inlineStr">
        <is>
          <t>TORSBY</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51987-2024</t>
        </is>
      </c>
      <c r="B1569" s="1" t="n">
        <v>45607</v>
      </c>
      <c r="C1569" s="1" t="n">
        <v>46191</v>
      </c>
      <c r="D1569" t="inlineStr">
        <is>
          <t>VÄRMLANDS LÄN</t>
        </is>
      </c>
      <c r="E1569" t="inlineStr">
        <is>
          <t>TORSBY</t>
        </is>
      </c>
      <c r="G1569" t="n">
        <v>17.7</v>
      </c>
      <c r="H1569" t="n">
        <v>0</v>
      </c>
      <c r="I1569" t="n">
        <v>0</v>
      </c>
      <c r="J1569" t="n">
        <v>0</v>
      </c>
      <c r="K1569" t="n">
        <v>0</v>
      </c>
      <c r="L1569" t="n">
        <v>0</v>
      </c>
      <c r="M1569" t="n">
        <v>0</v>
      </c>
      <c r="N1569" t="n">
        <v>0</v>
      </c>
      <c r="O1569" t="n">
        <v>0</v>
      </c>
      <c r="P1569" t="n">
        <v>0</v>
      </c>
      <c r="Q1569" t="n">
        <v>0</v>
      </c>
      <c r="R1569" s="2" t="inlineStr"/>
    </row>
    <row r="1570" ht="15" customHeight="1">
      <c r="A1570" t="inlineStr">
        <is>
          <t>A 27106-2026</t>
        </is>
      </c>
      <c r="B1570" s="1" t="n">
        <v>46188</v>
      </c>
      <c r="C1570" s="1" t="n">
        <v>46191</v>
      </c>
      <c r="D1570" t="inlineStr">
        <is>
          <t>VÄRMLANDS LÄN</t>
        </is>
      </c>
      <c r="E1570" t="inlineStr">
        <is>
          <t>TORSBY</t>
        </is>
      </c>
      <c r="G1570" t="n">
        <v>10.1</v>
      </c>
      <c r="H1570" t="n">
        <v>0</v>
      </c>
      <c r="I1570" t="n">
        <v>0</v>
      </c>
      <c r="J1570" t="n">
        <v>0</v>
      </c>
      <c r="K1570" t="n">
        <v>0</v>
      </c>
      <c r="L1570" t="n">
        <v>0</v>
      </c>
      <c r="M1570" t="n">
        <v>0</v>
      </c>
      <c r="N1570" t="n">
        <v>0</v>
      </c>
      <c r="O1570" t="n">
        <v>0</v>
      </c>
      <c r="P1570" t="n">
        <v>0</v>
      </c>
      <c r="Q1570" t="n">
        <v>0</v>
      </c>
      <c r="R1570" s="2" t="inlineStr"/>
    </row>
    <row r="1571" ht="15" customHeight="1">
      <c r="A1571" t="inlineStr">
        <is>
          <t>A 15659-2026</t>
        </is>
      </c>
      <c r="B1571" s="1" t="n">
        <v>46106</v>
      </c>
      <c r="C1571" s="1" t="n">
        <v>46191</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27423-2026</t>
        </is>
      </c>
      <c r="B1572" s="1" t="n">
        <v>46189</v>
      </c>
      <c r="C1572" s="1" t="n">
        <v>46191</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53499-2023</t>
        </is>
      </c>
      <c r="B1573" s="1" t="n">
        <v>45223</v>
      </c>
      <c r="C1573" s="1" t="n">
        <v>46191</v>
      </c>
      <c r="D1573" t="inlineStr">
        <is>
          <t>VÄRMLANDS LÄN</t>
        </is>
      </c>
      <c r="E1573" t="inlineStr">
        <is>
          <t>TORSBY</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38257-2023</t>
        </is>
      </c>
      <c r="B1574" s="1" t="n">
        <v>45161</v>
      </c>
      <c r="C1574" s="1" t="n">
        <v>46191</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60525-2023</t>
        </is>
      </c>
      <c r="B1575" s="1" t="n">
        <v>45259</v>
      </c>
      <c r="C1575" s="1" t="n">
        <v>46191</v>
      </c>
      <c r="D1575" t="inlineStr">
        <is>
          <t>VÄRMLANDS LÄN</t>
        </is>
      </c>
      <c r="E1575" t="inlineStr">
        <is>
          <t>TORSBY</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27540-2026</t>
        </is>
      </c>
      <c r="B1576" s="1" t="n">
        <v>46185</v>
      </c>
      <c r="C1576" s="1" t="n">
        <v>46191</v>
      </c>
      <c r="D1576" t="inlineStr">
        <is>
          <t>VÄRMLANDS LÄN</t>
        </is>
      </c>
      <c r="E1576" t="inlineStr">
        <is>
          <t>TORSBY</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4342-2025</t>
        </is>
      </c>
      <c r="B1577" s="1" t="n">
        <v>45685</v>
      </c>
      <c r="C1577" s="1" t="n">
        <v>46191</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63177-2023</t>
        </is>
      </c>
      <c r="B1578" s="1" t="n">
        <v>45272</v>
      </c>
      <c r="C1578" s="1" t="n">
        <v>46191</v>
      </c>
      <c r="D1578" t="inlineStr">
        <is>
          <t>VÄRMLANDS LÄN</t>
        </is>
      </c>
      <c r="E1578" t="inlineStr">
        <is>
          <t>TORSBY</t>
        </is>
      </c>
      <c r="G1578" t="n">
        <v>14.9</v>
      </c>
      <c r="H1578" t="n">
        <v>0</v>
      </c>
      <c r="I1578" t="n">
        <v>0</v>
      </c>
      <c r="J1578" t="n">
        <v>0</v>
      </c>
      <c r="K1578" t="n">
        <v>0</v>
      </c>
      <c r="L1578" t="n">
        <v>0</v>
      </c>
      <c r="M1578" t="n">
        <v>0</v>
      </c>
      <c r="N1578" t="n">
        <v>0</v>
      </c>
      <c r="O1578" t="n">
        <v>0</v>
      </c>
      <c r="P1578" t="n">
        <v>0</v>
      </c>
      <c r="Q1578" t="n">
        <v>0</v>
      </c>
      <c r="R1578" s="2" t="inlineStr"/>
    </row>
    <row r="1579" ht="15" customHeight="1">
      <c r="A1579" t="inlineStr">
        <is>
          <t>A 20740-2025</t>
        </is>
      </c>
      <c r="B1579" s="1" t="n">
        <v>45776</v>
      </c>
      <c r="C1579" s="1" t="n">
        <v>46191</v>
      </c>
      <c r="D1579" t="inlineStr">
        <is>
          <t>VÄRMLANDS LÄN</t>
        </is>
      </c>
      <c r="E1579" t="inlineStr">
        <is>
          <t>TORSBY</t>
        </is>
      </c>
      <c r="F1579" t="inlineStr">
        <is>
          <t>Bergvik skog väst AB</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27158-2026</t>
        </is>
      </c>
      <c r="B1580" s="1" t="n">
        <v>46188</v>
      </c>
      <c r="C1580" s="1" t="n">
        <v>46191</v>
      </c>
      <c r="D1580" t="inlineStr">
        <is>
          <t>VÄRMLANDS LÄN</t>
        </is>
      </c>
      <c r="E1580" t="inlineStr">
        <is>
          <t>TORSBY</t>
        </is>
      </c>
      <c r="F1580" t="inlineStr">
        <is>
          <t>Bergvik skog väst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21471-2026</t>
        </is>
      </c>
      <c r="B1581" s="1" t="n">
        <v>46148</v>
      </c>
      <c r="C1581" s="1" t="n">
        <v>46191</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21489-2026</t>
        </is>
      </c>
      <c r="B1582" s="1" t="n">
        <v>46148</v>
      </c>
      <c r="C1582" s="1" t="n">
        <v>46191</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20816-2025</t>
        </is>
      </c>
      <c r="B1583" s="1" t="n">
        <v>45776</v>
      </c>
      <c r="C1583" s="1" t="n">
        <v>46191</v>
      </c>
      <c r="D1583" t="inlineStr">
        <is>
          <t>VÄRMLANDS LÄN</t>
        </is>
      </c>
      <c r="E1583" t="inlineStr">
        <is>
          <t>TORSBY</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20773-2025</t>
        </is>
      </c>
      <c r="B1584" s="1" t="n">
        <v>45776</v>
      </c>
      <c r="C1584" s="1" t="n">
        <v>46191</v>
      </c>
      <c r="D1584" t="inlineStr">
        <is>
          <t>VÄRMLANDS LÄN</t>
        </is>
      </c>
      <c r="E1584" t="inlineStr">
        <is>
          <t>TORSBY</t>
        </is>
      </c>
      <c r="F1584" t="inlineStr">
        <is>
          <t>Bergvik skog väst AB</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63266-2023</t>
        </is>
      </c>
      <c r="B1585" s="1" t="n">
        <v>45273</v>
      </c>
      <c r="C1585" s="1" t="n">
        <v>46191</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21301-2026</t>
        </is>
      </c>
      <c r="B1586" s="1" t="n">
        <v>46147</v>
      </c>
      <c r="C1586" s="1" t="n">
        <v>46191</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27642-2026</t>
        </is>
      </c>
      <c r="B1587" s="1" t="n">
        <v>46190</v>
      </c>
      <c r="C1587" s="1" t="n">
        <v>46191</v>
      </c>
      <c r="D1587" t="inlineStr">
        <is>
          <t>VÄRMLANDS LÄN</t>
        </is>
      </c>
      <c r="E1587" t="inlineStr">
        <is>
          <t>TORSBY</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21462-2025</t>
        </is>
      </c>
      <c r="B1588" s="1" t="n">
        <v>45782</v>
      </c>
      <c r="C1588" s="1" t="n">
        <v>46191</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21362-2026</t>
        </is>
      </c>
      <c r="B1589" s="1" t="n">
        <v>46147</v>
      </c>
      <c r="C1589" s="1" t="n">
        <v>46191</v>
      </c>
      <c r="D1589" t="inlineStr">
        <is>
          <t>VÄRMLANDS LÄN</t>
        </is>
      </c>
      <c r="E1589" t="inlineStr">
        <is>
          <t>TORSBY</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41633-2021</t>
        </is>
      </c>
      <c r="B1590" s="1" t="n">
        <v>44425</v>
      </c>
      <c r="C1590" s="1" t="n">
        <v>46191</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25313-2024</t>
        </is>
      </c>
      <c r="B1591" s="1" t="n">
        <v>45462</v>
      </c>
      <c r="C1591" s="1" t="n">
        <v>46191</v>
      </c>
      <c r="D1591" t="inlineStr">
        <is>
          <t>VÄRMLANDS LÄN</t>
        </is>
      </c>
      <c r="E1591" t="inlineStr">
        <is>
          <t>TORSBY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1040-2024</t>
        </is>
      </c>
      <c r="B1592" s="1" t="n">
        <v>45301</v>
      </c>
      <c r="C1592" s="1" t="n">
        <v>46191</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56716-2023</t>
        </is>
      </c>
      <c r="B1593" s="1" t="n">
        <v>45238</v>
      </c>
      <c r="C1593" s="1" t="n">
        <v>46191</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31547-2023</t>
        </is>
      </c>
      <c r="B1594" s="1" t="n">
        <v>45117</v>
      </c>
      <c r="C1594" s="1" t="n">
        <v>46191</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21858-2025</t>
        </is>
      </c>
      <c r="B1595" s="1" t="n">
        <v>45784</v>
      </c>
      <c r="C1595" s="1" t="n">
        <v>46191</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14945-2023</t>
        </is>
      </c>
      <c r="B1596" s="1" t="n">
        <v>45014</v>
      </c>
      <c r="C1596" s="1" t="n">
        <v>46191</v>
      </c>
      <c r="D1596" t="inlineStr">
        <is>
          <t>VÄRMLANDS LÄN</t>
        </is>
      </c>
      <c r="E1596" t="inlineStr">
        <is>
          <t>TORSBY</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21808-2025</t>
        </is>
      </c>
      <c r="B1597" s="1" t="n">
        <v>45783</v>
      </c>
      <c r="C1597" s="1" t="n">
        <v>46191</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33088-2024</t>
        </is>
      </c>
      <c r="B1598" s="1" t="n">
        <v>45517</v>
      </c>
      <c r="C1598" s="1" t="n">
        <v>46191</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22269-2025</t>
        </is>
      </c>
      <c r="B1599" s="1" t="n">
        <v>45785</v>
      </c>
      <c r="C1599" s="1" t="n">
        <v>46191</v>
      </c>
      <c r="D1599" t="inlineStr">
        <is>
          <t>VÄRMLANDS LÄN</t>
        </is>
      </c>
      <c r="E1599" t="inlineStr">
        <is>
          <t>TORSBY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21744-2024</t>
        </is>
      </c>
      <c r="B1600" s="1" t="n">
        <v>45442</v>
      </c>
      <c r="C1600" s="1" t="n">
        <v>46191</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56107-2024</t>
        </is>
      </c>
      <c r="B1601" s="1" t="n">
        <v>45624</v>
      </c>
      <c r="C1601" s="1" t="n">
        <v>46191</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55836-2024</t>
        </is>
      </c>
      <c r="B1602" s="1" t="n">
        <v>45623</v>
      </c>
      <c r="C1602" s="1" t="n">
        <v>46191</v>
      </c>
      <c r="D1602" t="inlineStr">
        <is>
          <t>VÄRMLANDS LÄN</t>
        </is>
      </c>
      <c r="E1602" t="inlineStr">
        <is>
          <t>TORSBY</t>
        </is>
      </c>
      <c r="F1602" t="inlineStr">
        <is>
          <t>Kommuner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22320-2025</t>
        </is>
      </c>
      <c r="B1603" s="1" t="n">
        <v>45786</v>
      </c>
      <c r="C1603" s="1" t="n">
        <v>46191</v>
      </c>
      <c r="D1603" t="inlineStr">
        <is>
          <t>VÄRMLANDS LÄN</t>
        </is>
      </c>
      <c r="E1603" t="inlineStr">
        <is>
          <t>TORSBY</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55036-2024</t>
        </is>
      </c>
      <c r="B1604" s="1" t="n">
        <v>45621</v>
      </c>
      <c r="C1604" s="1" t="n">
        <v>46191</v>
      </c>
      <c r="D1604" t="inlineStr">
        <is>
          <t>VÄRMLANDS LÄN</t>
        </is>
      </c>
      <c r="E1604" t="inlineStr">
        <is>
          <t>TORSBY</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13586-2023</t>
        </is>
      </c>
      <c r="B1605" s="1" t="n">
        <v>45006</v>
      </c>
      <c r="C1605" s="1" t="n">
        <v>46191</v>
      </c>
      <c r="D1605" t="inlineStr">
        <is>
          <t>VÄRMLANDS LÄN</t>
        </is>
      </c>
      <c r="E1605" t="inlineStr">
        <is>
          <t>TORSBY</t>
        </is>
      </c>
      <c r="F1605" t="inlineStr">
        <is>
          <t>Kommuner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6448-2025</t>
        </is>
      </c>
      <c r="B1606" s="1" t="n">
        <v>45699</v>
      </c>
      <c r="C1606" s="1" t="n">
        <v>46191</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15014-2025</t>
        </is>
      </c>
      <c r="B1607" s="1" t="n">
        <v>45743</v>
      </c>
      <c r="C1607" s="1" t="n">
        <v>46191</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33085-2024</t>
        </is>
      </c>
      <c r="B1608" s="1" t="n">
        <v>45517</v>
      </c>
      <c r="C1608" s="1" t="n">
        <v>46191</v>
      </c>
      <c r="D1608" t="inlineStr">
        <is>
          <t>VÄRMLANDS LÄN</t>
        </is>
      </c>
      <c r="E1608" t="inlineStr">
        <is>
          <t>TORSBY</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33495-2024</t>
        </is>
      </c>
      <c r="B1609" s="1" t="n">
        <v>45519</v>
      </c>
      <c r="C1609" s="1" t="n">
        <v>46191</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29897-2024</t>
        </is>
      </c>
      <c r="B1610" s="1" t="n">
        <v>45487</v>
      </c>
      <c r="C1610" s="1" t="n">
        <v>46191</v>
      </c>
      <c r="D1610" t="inlineStr">
        <is>
          <t>VÄRMLANDS LÄN</t>
        </is>
      </c>
      <c r="E1610" t="inlineStr">
        <is>
          <t>TORSBY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33620-2024</t>
        </is>
      </c>
      <c r="B1611" s="1" t="n">
        <v>45520</v>
      </c>
      <c r="C1611" s="1" t="n">
        <v>46191</v>
      </c>
      <c r="D1611" t="inlineStr">
        <is>
          <t>VÄRMLANDS LÄN</t>
        </is>
      </c>
      <c r="E1611" t="inlineStr">
        <is>
          <t>TORSBY</t>
        </is>
      </c>
      <c r="F1611" t="inlineStr">
        <is>
          <t>Bergvik skog väst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24113-2024</t>
        </is>
      </c>
      <c r="B1612" s="1" t="n">
        <v>45456</v>
      </c>
      <c r="C1612" s="1" t="n">
        <v>46191</v>
      </c>
      <c r="D1612" t="inlineStr">
        <is>
          <t>VÄRMLANDS LÄN</t>
        </is>
      </c>
      <c r="E1612" t="inlineStr">
        <is>
          <t>TORSBY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60626-2024</t>
        </is>
      </c>
      <c r="B1613" s="1" t="n">
        <v>45642</v>
      </c>
      <c r="C1613" s="1" t="n">
        <v>46191</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60207-2024</t>
        </is>
      </c>
      <c r="B1614" s="1" t="n">
        <v>45642</v>
      </c>
      <c r="C1614" s="1" t="n">
        <v>46191</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22715-2025</t>
        </is>
      </c>
      <c r="B1615" s="1" t="n">
        <v>45789</v>
      </c>
      <c r="C1615" s="1" t="n">
        <v>46191</v>
      </c>
      <c r="D1615" t="inlineStr">
        <is>
          <t>VÄRMLANDS LÄN</t>
        </is>
      </c>
      <c r="E1615" t="inlineStr">
        <is>
          <t>TORSBY</t>
        </is>
      </c>
      <c r="F1615" t="inlineStr">
        <is>
          <t>Kyrkan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51199-2023</t>
        </is>
      </c>
      <c r="B1616" s="1" t="n">
        <v>45219</v>
      </c>
      <c r="C1616" s="1" t="n">
        <v>46191</v>
      </c>
      <c r="D1616" t="inlineStr">
        <is>
          <t>VÄRMLANDS LÄN</t>
        </is>
      </c>
      <c r="E1616" t="inlineStr">
        <is>
          <t>TORSBY</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22593-2025</t>
        </is>
      </c>
      <c r="B1617" s="1" t="n">
        <v>45789</v>
      </c>
      <c r="C1617" s="1" t="n">
        <v>46191</v>
      </c>
      <c r="D1617" t="inlineStr">
        <is>
          <t>VÄRMLANDS LÄN</t>
        </is>
      </c>
      <c r="E1617" t="inlineStr">
        <is>
          <t>TORSBY</t>
        </is>
      </c>
      <c r="F1617" t="inlineStr">
        <is>
          <t>Bergvik skog väst AB</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7101-2025</t>
        </is>
      </c>
      <c r="B1618" s="1" t="n">
        <v>45701</v>
      </c>
      <c r="C1618" s="1" t="n">
        <v>46191</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55811-2021</t>
        </is>
      </c>
      <c r="B1619" s="1" t="n">
        <v>44476</v>
      </c>
      <c r="C1619" s="1" t="n">
        <v>46191</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22845-2025</t>
        </is>
      </c>
      <c r="B1620" s="1" t="n">
        <v>45790</v>
      </c>
      <c r="C1620" s="1" t="n">
        <v>46191</v>
      </c>
      <c r="D1620" t="inlineStr">
        <is>
          <t>VÄRMLANDS LÄN</t>
        </is>
      </c>
      <c r="E1620" t="inlineStr">
        <is>
          <t>TORSBY</t>
        </is>
      </c>
      <c r="F1620" t="inlineStr">
        <is>
          <t>Bergvik skog väst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22708-2025</t>
        </is>
      </c>
      <c r="B1621" s="1" t="n">
        <v>45789</v>
      </c>
      <c r="C1621" s="1" t="n">
        <v>46191</v>
      </c>
      <c r="D1621" t="inlineStr">
        <is>
          <t>VÄRMLANDS LÄN</t>
        </is>
      </c>
      <c r="E1621" t="inlineStr">
        <is>
          <t>TORSBY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22757-2025</t>
        </is>
      </c>
      <c r="B1622" s="1" t="n">
        <v>45789</v>
      </c>
      <c r="C1622" s="1" t="n">
        <v>46191</v>
      </c>
      <c r="D1622" t="inlineStr">
        <is>
          <t>VÄRMLANDS LÄN</t>
        </is>
      </c>
      <c r="E1622" t="inlineStr">
        <is>
          <t>TORSBY</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4070-2024</t>
        </is>
      </c>
      <c r="B1623" s="1" t="n">
        <v>45323</v>
      </c>
      <c r="C1623" s="1" t="n">
        <v>46191</v>
      </c>
      <c r="D1623" t="inlineStr">
        <is>
          <t>VÄRMLANDS LÄN</t>
        </is>
      </c>
      <c r="E1623" t="inlineStr">
        <is>
          <t>TORSBY</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52532-2023</t>
        </is>
      </c>
      <c r="B1624" s="1" t="n">
        <v>45225</v>
      </c>
      <c r="C1624" s="1" t="n">
        <v>46191</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19253-2025</t>
        </is>
      </c>
      <c r="B1625" s="1" t="n">
        <v>45769</v>
      </c>
      <c r="C1625" s="1" t="n">
        <v>46191</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22760-2025</t>
        </is>
      </c>
      <c r="B1626" s="1" t="n">
        <v>45789</v>
      </c>
      <c r="C1626" s="1" t="n">
        <v>46191</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2471-2023</t>
        </is>
      </c>
      <c r="B1627" s="1" t="n">
        <v>44943</v>
      </c>
      <c r="C1627" s="1" t="n">
        <v>46191</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30370-2023</t>
        </is>
      </c>
      <c r="B1628" s="1" t="n">
        <v>45111</v>
      </c>
      <c r="C1628" s="1" t="n">
        <v>46191</v>
      </c>
      <c r="D1628" t="inlineStr">
        <is>
          <t>VÄRMLANDS LÄN</t>
        </is>
      </c>
      <c r="E1628" t="inlineStr">
        <is>
          <t>TORSBY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11364-2023</t>
        </is>
      </c>
      <c r="B1629" s="1" t="n">
        <v>44993</v>
      </c>
      <c r="C1629" s="1" t="n">
        <v>46191</v>
      </c>
      <c r="D1629" t="inlineStr">
        <is>
          <t>VÄRMLANDS LÄN</t>
        </is>
      </c>
      <c r="E1629" t="inlineStr">
        <is>
          <t>TORSBY</t>
        </is>
      </c>
      <c r="G1629" t="n">
        <v>31.9</v>
      </c>
      <c r="H1629" t="n">
        <v>0</v>
      </c>
      <c r="I1629" t="n">
        <v>0</v>
      </c>
      <c r="J1629" t="n">
        <v>0</v>
      </c>
      <c r="K1629" t="n">
        <v>0</v>
      </c>
      <c r="L1629" t="n">
        <v>0</v>
      </c>
      <c r="M1629" t="n">
        <v>0</v>
      </c>
      <c r="N1629" t="n">
        <v>0</v>
      </c>
      <c r="O1629" t="n">
        <v>0</v>
      </c>
      <c r="P1629" t="n">
        <v>0</v>
      </c>
      <c r="Q1629" t="n">
        <v>0</v>
      </c>
      <c r="R1629" s="2" t="inlineStr"/>
    </row>
    <row r="1630" ht="15" customHeight="1">
      <c r="A1630" t="inlineStr">
        <is>
          <t>A 61073-2024</t>
        </is>
      </c>
      <c r="B1630" s="1" t="n">
        <v>45645</v>
      </c>
      <c r="C1630" s="1" t="n">
        <v>46191</v>
      </c>
      <c r="D1630" t="inlineStr">
        <is>
          <t>VÄRMLANDS LÄN</t>
        </is>
      </c>
      <c r="E1630" t="inlineStr">
        <is>
          <t>TORSBY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23367-2025</t>
        </is>
      </c>
      <c r="B1631" s="1" t="n">
        <v>45791</v>
      </c>
      <c r="C1631" s="1" t="n">
        <v>46191</v>
      </c>
      <c r="D1631" t="inlineStr">
        <is>
          <t>VÄRMLANDS LÄN</t>
        </is>
      </c>
      <c r="E1631" t="inlineStr">
        <is>
          <t>TORSBY</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34906-2024</t>
        </is>
      </c>
      <c r="B1632" s="1" t="n">
        <v>45527</v>
      </c>
      <c r="C1632" s="1" t="n">
        <v>46191</v>
      </c>
      <c r="D1632" t="inlineStr">
        <is>
          <t>VÄRMLANDS LÄN</t>
        </is>
      </c>
      <c r="E1632" t="inlineStr">
        <is>
          <t>TORSBY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7283-2023</t>
        </is>
      </c>
      <c r="B1633" s="1" t="n">
        <v>44970</v>
      </c>
      <c r="C1633" s="1" t="n">
        <v>46191</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25537-2022</t>
        </is>
      </c>
      <c r="B1634" s="1" t="n">
        <v>44732</v>
      </c>
      <c r="C1634" s="1" t="n">
        <v>46191</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11259-2024</t>
        </is>
      </c>
      <c r="B1635" s="1" t="n">
        <v>45371</v>
      </c>
      <c r="C1635" s="1" t="n">
        <v>46191</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54790-2024</t>
        </is>
      </c>
      <c r="B1636" s="1" t="n">
        <v>45618</v>
      </c>
      <c r="C1636" s="1" t="n">
        <v>46191</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62957-2023</t>
        </is>
      </c>
      <c r="B1637" s="1" t="n">
        <v>45271</v>
      </c>
      <c r="C1637" s="1" t="n">
        <v>46191</v>
      </c>
      <c r="D1637" t="inlineStr">
        <is>
          <t>VÄRMLANDS LÄN</t>
        </is>
      </c>
      <c r="E1637" t="inlineStr">
        <is>
          <t>TORSBY</t>
        </is>
      </c>
      <c r="F1637" t="inlineStr">
        <is>
          <t>Övriga statliga verk och myndigheter</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38252-2023</t>
        </is>
      </c>
      <c r="B1638" s="1" t="n">
        <v>45161</v>
      </c>
      <c r="C1638" s="1" t="n">
        <v>46191</v>
      </c>
      <c r="D1638" t="inlineStr">
        <is>
          <t>VÄRMLANDS LÄN</t>
        </is>
      </c>
      <c r="E1638" t="inlineStr">
        <is>
          <t>TORSBY</t>
        </is>
      </c>
      <c r="G1638" t="n">
        <v>9.6</v>
      </c>
      <c r="H1638" t="n">
        <v>0</v>
      </c>
      <c r="I1638" t="n">
        <v>0</v>
      </c>
      <c r="J1638" t="n">
        <v>0</v>
      </c>
      <c r="K1638" t="n">
        <v>0</v>
      </c>
      <c r="L1638" t="n">
        <v>0</v>
      </c>
      <c r="M1638" t="n">
        <v>0</v>
      </c>
      <c r="N1638" t="n">
        <v>0</v>
      </c>
      <c r="O1638" t="n">
        <v>0</v>
      </c>
      <c r="P1638" t="n">
        <v>0</v>
      </c>
      <c r="Q1638" t="n">
        <v>0</v>
      </c>
      <c r="R1638" s="2" t="inlineStr"/>
    </row>
    <row r="1639" ht="15" customHeight="1">
      <c r="A1639" t="inlineStr">
        <is>
          <t>A 46915-2024</t>
        </is>
      </c>
      <c r="B1639" s="1" t="n">
        <v>45583</v>
      </c>
      <c r="C1639" s="1" t="n">
        <v>46191</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14575-2025</t>
        </is>
      </c>
      <c r="B1640" s="1" t="n">
        <v>45742</v>
      </c>
      <c r="C1640" s="1" t="n">
        <v>46191</v>
      </c>
      <c r="D1640" t="inlineStr">
        <is>
          <t>VÄRMLANDS LÄN</t>
        </is>
      </c>
      <c r="E1640" t="inlineStr">
        <is>
          <t>TORSBY</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31945-2024</t>
        </is>
      </c>
      <c r="B1641" s="1" t="n">
        <v>45510</v>
      </c>
      <c r="C1641" s="1" t="n">
        <v>46191</v>
      </c>
      <c r="D1641" t="inlineStr">
        <is>
          <t>VÄRMLANDS LÄN</t>
        </is>
      </c>
      <c r="E1641" t="inlineStr">
        <is>
          <t>TORSBY</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42403-2023</t>
        </is>
      </c>
      <c r="B1642" s="1" t="n">
        <v>45180</v>
      </c>
      <c r="C1642" s="1" t="n">
        <v>46191</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58259-2024</t>
        </is>
      </c>
      <c r="B1643" s="1" t="n">
        <v>45632</v>
      </c>
      <c r="C1643" s="1" t="n">
        <v>46191</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34568-2024</t>
        </is>
      </c>
      <c r="B1644" s="1" t="n">
        <v>45526</v>
      </c>
      <c r="C1644" s="1" t="n">
        <v>46191</v>
      </c>
      <c r="D1644" t="inlineStr">
        <is>
          <t>VÄRMLANDS LÄN</t>
        </is>
      </c>
      <c r="E1644" t="inlineStr">
        <is>
          <t>TORSBY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8022-2025</t>
        </is>
      </c>
      <c r="B1645" s="1" t="n">
        <v>45707</v>
      </c>
      <c r="C1645" s="1" t="n">
        <v>46191</v>
      </c>
      <c r="D1645" t="inlineStr">
        <is>
          <t>VÄRMLANDS LÄN</t>
        </is>
      </c>
      <c r="E1645" t="inlineStr">
        <is>
          <t>TORSBY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4078-2024</t>
        </is>
      </c>
      <c r="B1646" s="1" t="n">
        <v>45323</v>
      </c>
      <c r="C1646" s="1" t="n">
        <v>46191</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39767-2024</t>
        </is>
      </c>
      <c r="B1647" s="1" t="n">
        <v>45552</v>
      </c>
      <c r="C1647" s="1" t="n">
        <v>46191</v>
      </c>
      <c r="D1647" t="inlineStr">
        <is>
          <t>VÄRMLANDS LÄN</t>
        </is>
      </c>
      <c r="E1647" t="inlineStr">
        <is>
          <t>TORSBY</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42656-2023</t>
        </is>
      </c>
      <c r="B1648" s="1" t="n">
        <v>45181</v>
      </c>
      <c r="C1648" s="1" t="n">
        <v>46191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23804-2022</t>
        </is>
      </c>
      <c r="B1649" s="1" t="n">
        <v>44722</v>
      </c>
      <c r="C1649" s="1" t="n">
        <v>46191</v>
      </c>
      <c r="D1649" t="inlineStr">
        <is>
          <t>VÄRMLANDS LÄN</t>
        </is>
      </c>
      <c r="E1649" t="inlineStr">
        <is>
          <t>TORSBY</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35724-2022</t>
        </is>
      </c>
      <c r="B1650" s="1" t="n">
        <v>44799</v>
      </c>
      <c r="C1650" s="1" t="n">
        <v>46191</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24112-2025</t>
        </is>
      </c>
      <c r="B1651" s="1" t="n">
        <v>45796</v>
      </c>
      <c r="C1651" s="1" t="n">
        <v>46191</v>
      </c>
      <c r="D1651" t="inlineStr">
        <is>
          <t>VÄRMLANDS LÄN</t>
        </is>
      </c>
      <c r="E1651" t="inlineStr">
        <is>
          <t>TORSBY</t>
        </is>
      </c>
      <c r="F1651" t="inlineStr">
        <is>
          <t>Bergvik skog väst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21078-2023</t>
        </is>
      </c>
      <c r="B1652" s="1" t="n">
        <v>45061</v>
      </c>
      <c r="C1652" s="1" t="n">
        <v>46191</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10027-2023</t>
        </is>
      </c>
      <c r="B1653" s="1" t="n">
        <v>44979</v>
      </c>
      <c r="C1653" s="1" t="n">
        <v>46191</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39746-2024</t>
        </is>
      </c>
      <c r="B1654" s="1" t="n">
        <v>45552</v>
      </c>
      <c r="C1654" s="1" t="n">
        <v>46191</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8188-2025</t>
        </is>
      </c>
      <c r="B1655" s="1" t="n">
        <v>45708</v>
      </c>
      <c r="C1655" s="1" t="n">
        <v>46191</v>
      </c>
      <c r="D1655" t="inlineStr">
        <is>
          <t>VÄRMLANDS LÄN</t>
        </is>
      </c>
      <c r="E1655" t="inlineStr">
        <is>
          <t>TORSBY</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46191</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37985-2022</t>
        </is>
      </c>
      <c r="B1657" s="1" t="n">
        <v>44811</v>
      </c>
      <c r="C1657" s="1" t="n">
        <v>46191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906-2025</t>
        </is>
      </c>
      <c r="B1658" s="1" t="n">
        <v>45664</v>
      </c>
      <c r="C1658" s="1" t="n">
        <v>46191</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11427-2025</t>
        </is>
      </c>
      <c r="B1659" s="1" t="n">
        <v>45726</v>
      </c>
      <c r="C1659" s="1" t="n">
        <v>46191</v>
      </c>
      <c r="D1659" t="inlineStr">
        <is>
          <t>VÄRMLANDS LÄN</t>
        </is>
      </c>
      <c r="E1659" t="inlineStr">
        <is>
          <t>TORSBY</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14624-2023</t>
        </is>
      </c>
      <c r="B1660" s="1" t="n">
        <v>45013</v>
      </c>
      <c r="C1660" s="1" t="n">
        <v>46191</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26686-2022</t>
        </is>
      </c>
      <c r="B1661" s="1" t="n">
        <v>44739</v>
      </c>
      <c r="C1661" s="1" t="n">
        <v>46191</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11868-2025</t>
        </is>
      </c>
      <c r="B1662" s="1" t="n">
        <v>45728</v>
      </c>
      <c r="C1662" s="1" t="n">
        <v>46191</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38076-2024</t>
        </is>
      </c>
      <c r="B1663" s="1" t="n">
        <v>45544</v>
      </c>
      <c r="C1663" s="1" t="n">
        <v>46191</v>
      </c>
      <c r="D1663" t="inlineStr">
        <is>
          <t>VÄRMLANDS LÄN</t>
        </is>
      </c>
      <c r="E1663" t="inlineStr">
        <is>
          <t>TORSBY</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1432-2025</t>
        </is>
      </c>
      <c r="B1664" s="1" t="n">
        <v>45669</v>
      </c>
      <c r="C1664" s="1" t="n">
        <v>46191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23677-2025</t>
        </is>
      </c>
      <c r="B1665" s="1" t="n">
        <v>45793</v>
      </c>
      <c r="C1665" s="1" t="n">
        <v>46191</v>
      </c>
      <c r="D1665" t="inlineStr">
        <is>
          <t>VÄRMLANDS LÄN</t>
        </is>
      </c>
      <c r="E1665" t="inlineStr">
        <is>
          <t>TORSBY</t>
        </is>
      </c>
      <c r="F1665" t="inlineStr">
        <is>
          <t>Kyrkan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21790-2023</t>
        </is>
      </c>
      <c r="B1666" s="1" t="n">
        <v>45067</v>
      </c>
      <c r="C1666" s="1" t="n">
        <v>46191</v>
      </c>
      <c r="D1666" t="inlineStr">
        <is>
          <t>VÄRMLANDS LÄN</t>
        </is>
      </c>
      <c r="E1666" t="inlineStr">
        <is>
          <t>TORSBY</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43157-2021</t>
        </is>
      </c>
      <c r="B1667" s="1" t="n">
        <v>44431</v>
      </c>
      <c r="C1667" s="1" t="n">
        <v>46191</v>
      </c>
      <c r="D1667" t="inlineStr">
        <is>
          <t>VÄRMLANDS LÄN</t>
        </is>
      </c>
      <c r="E1667" t="inlineStr">
        <is>
          <t>TORSBY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68153-2021</t>
        </is>
      </c>
      <c r="B1668" s="1" t="n">
        <v>44526</v>
      </c>
      <c r="C1668" s="1" t="n">
        <v>46191</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24607-2025</t>
        </is>
      </c>
      <c r="B1669" s="1" t="n">
        <v>45798</v>
      </c>
      <c r="C1669" s="1" t="n">
        <v>46191</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27115-2024</t>
        </is>
      </c>
      <c r="B1670" s="1" t="n">
        <v>45471</v>
      </c>
      <c r="C1670" s="1" t="n">
        <v>46191</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27144-2024</t>
        </is>
      </c>
      <c r="B1671" s="1" t="n">
        <v>45471</v>
      </c>
      <c r="C1671" s="1" t="n">
        <v>46191</v>
      </c>
      <c r="D1671" t="inlineStr">
        <is>
          <t>VÄRMLANDS LÄN</t>
        </is>
      </c>
      <c r="E1671" t="inlineStr">
        <is>
          <t>TORSBY</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25090-2023</t>
        </is>
      </c>
      <c r="B1672" s="1" t="n">
        <v>45086</v>
      </c>
      <c r="C1672" s="1" t="n">
        <v>46191</v>
      </c>
      <c r="D1672" t="inlineStr">
        <is>
          <t>VÄRMLANDS LÄN</t>
        </is>
      </c>
      <c r="E1672" t="inlineStr">
        <is>
          <t>TORSBY</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42473-2023</t>
        </is>
      </c>
      <c r="B1673" s="1" t="n">
        <v>45180</v>
      </c>
      <c r="C1673" s="1" t="n">
        <v>46191</v>
      </c>
      <c r="D1673" t="inlineStr">
        <is>
          <t>VÄRMLANDS LÄN</t>
        </is>
      </c>
      <c r="E1673" t="inlineStr">
        <is>
          <t>TORSBY</t>
        </is>
      </c>
      <c r="F1673" t="inlineStr">
        <is>
          <t>Bergvik skog väst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41253-2021</t>
        </is>
      </c>
      <c r="B1674" s="1" t="n">
        <v>44424</v>
      </c>
      <c r="C1674" s="1" t="n">
        <v>46191</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37913-2022</t>
        </is>
      </c>
      <c r="B1675" s="1" t="n">
        <v>44811</v>
      </c>
      <c r="C1675" s="1" t="n">
        <v>46191</v>
      </c>
      <c r="D1675" t="inlineStr">
        <is>
          <t>VÄRMLANDS LÄN</t>
        </is>
      </c>
      <c r="E1675" t="inlineStr">
        <is>
          <t>TORSBY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51662-2024</t>
        </is>
      </c>
      <c r="B1676" s="1" t="n">
        <v>45606</v>
      </c>
      <c r="C1676" s="1" t="n">
        <v>46191</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23264-2022</t>
        </is>
      </c>
      <c r="B1677" s="1" t="n">
        <v>44720</v>
      </c>
      <c r="C1677" s="1" t="n">
        <v>46191</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47141-2022</t>
        </is>
      </c>
      <c r="B1678" s="1" t="n">
        <v>44852</v>
      </c>
      <c r="C1678" s="1" t="n">
        <v>46191</v>
      </c>
      <c r="D1678" t="inlineStr">
        <is>
          <t>VÄRMLANDS LÄN</t>
        </is>
      </c>
      <c r="E1678" t="inlineStr">
        <is>
          <t>TORSBY</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31936-2023</t>
        </is>
      </c>
      <c r="B1679" s="1" t="n">
        <v>45107</v>
      </c>
      <c r="C1679" s="1" t="n">
        <v>46191</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24251-2025</t>
        </is>
      </c>
      <c r="B1680" s="1" t="n">
        <v>45797</v>
      </c>
      <c r="C1680" s="1" t="n">
        <v>46191</v>
      </c>
      <c r="D1680" t="inlineStr">
        <is>
          <t>VÄRMLANDS LÄN</t>
        </is>
      </c>
      <c r="E1680" t="inlineStr">
        <is>
          <t>TORSBY</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61206-2024</t>
        </is>
      </c>
      <c r="B1681" s="1" t="n">
        <v>45645</v>
      </c>
      <c r="C1681" s="1" t="n">
        <v>46191</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24597-2025</t>
        </is>
      </c>
      <c r="B1682" s="1" t="n">
        <v>45798</v>
      </c>
      <c r="C1682" s="1" t="n">
        <v>46191</v>
      </c>
      <c r="D1682" t="inlineStr">
        <is>
          <t>VÄRMLANDS LÄN</t>
        </is>
      </c>
      <c r="E1682" t="inlineStr">
        <is>
          <t>TORSBY</t>
        </is>
      </c>
      <c r="F1682" t="inlineStr">
        <is>
          <t>Övriga statliga verk och myndigheter</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40036-2022</t>
        </is>
      </c>
      <c r="B1683" s="1" t="n">
        <v>44820</v>
      </c>
      <c r="C1683" s="1" t="n">
        <v>46191</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375-2025</t>
        </is>
      </c>
      <c r="B1684" s="1" t="n">
        <v>45661</v>
      </c>
      <c r="C1684" s="1" t="n">
        <v>46191</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36318-2022</t>
        </is>
      </c>
      <c r="B1685" s="1" t="n">
        <v>44803</v>
      </c>
      <c r="C1685" s="1" t="n">
        <v>46191</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1092-2025</t>
        </is>
      </c>
      <c r="B1686" s="1" t="n">
        <v>45666</v>
      </c>
      <c r="C1686" s="1" t="n">
        <v>46191</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42347-2021</t>
        </is>
      </c>
      <c r="B1687" s="1" t="n">
        <v>44427</v>
      </c>
      <c r="C1687" s="1" t="n">
        <v>46191</v>
      </c>
      <c r="D1687" t="inlineStr">
        <is>
          <t>VÄRMLANDS LÄN</t>
        </is>
      </c>
      <c r="E1687" t="inlineStr">
        <is>
          <t>TORSBY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29908-2022</t>
        </is>
      </c>
      <c r="B1688" s="1" t="n">
        <v>44756</v>
      </c>
      <c r="C1688" s="1" t="n">
        <v>46191</v>
      </c>
      <c r="D1688" t="inlineStr">
        <is>
          <t>VÄRMLANDS LÄN</t>
        </is>
      </c>
      <c r="E1688" t="inlineStr">
        <is>
          <t>TORSBY</t>
        </is>
      </c>
      <c r="F1688" t="inlineStr">
        <is>
          <t>Kommuner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25186-2025</t>
        </is>
      </c>
      <c r="B1689" s="1" t="n">
        <v>45800</v>
      </c>
      <c r="C1689" s="1" t="n">
        <v>46191</v>
      </c>
      <c r="D1689" t="inlineStr">
        <is>
          <t>VÄRMLANDS LÄN</t>
        </is>
      </c>
      <c r="E1689" t="inlineStr">
        <is>
          <t>TORSBY</t>
        </is>
      </c>
      <c r="F1689" t="inlineStr">
        <is>
          <t>Kyrkan</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17184-2023</t>
        </is>
      </c>
      <c r="B1690" s="1" t="n">
        <v>45034</v>
      </c>
      <c r="C1690" s="1" t="n">
        <v>46191</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17065-2025</t>
        </is>
      </c>
      <c r="B1691" s="1" t="n">
        <v>45754</v>
      </c>
      <c r="C1691" s="1" t="n">
        <v>46191</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14801-2025</t>
        </is>
      </c>
      <c r="B1692" s="1" t="n">
        <v>45743</v>
      </c>
      <c r="C1692" s="1" t="n">
        <v>46191</v>
      </c>
      <c r="D1692" t="inlineStr">
        <is>
          <t>VÄRMLANDS LÄN</t>
        </is>
      </c>
      <c r="E1692" t="inlineStr">
        <is>
          <t>TORSBY</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6968-2025</t>
        </is>
      </c>
      <c r="B1693" s="1" t="n">
        <v>45701</v>
      </c>
      <c r="C1693" s="1" t="n">
        <v>46191</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24757-2025</t>
        </is>
      </c>
      <c r="B1694" s="1" t="n">
        <v>45799</v>
      </c>
      <c r="C1694" s="1" t="n">
        <v>46191</v>
      </c>
      <c r="D1694" t="inlineStr">
        <is>
          <t>VÄRMLANDS LÄN</t>
        </is>
      </c>
      <c r="E1694" t="inlineStr">
        <is>
          <t>TORSBY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16309-2023</t>
        </is>
      </c>
      <c r="B1695" s="1" t="n">
        <v>45028</v>
      </c>
      <c r="C1695" s="1" t="n">
        <v>46191</v>
      </c>
      <c r="D1695" t="inlineStr">
        <is>
          <t>VÄRMLANDS LÄN</t>
        </is>
      </c>
      <c r="E1695" t="inlineStr">
        <is>
          <t>TORSBY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30011-2024</t>
        </is>
      </c>
      <c r="B1696" s="1" t="n">
        <v>45488</v>
      </c>
      <c r="C1696" s="1" t="n">
        <v>46191</v>
      </c>
      <c r="D1696" t="inlineStr">
        <is>
          <t>VÄRMLANDS LÄN</t>
        </is>
      </c>
      <c r="E1696" t="inlineStr">
        <is>
          <t>TORSBY</t>
        </is>
      </c>
      <c r="F1696" t="inlineStr">
        <is>
          <t>Kommuner</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25050-2025</t>
        </is>
      </c>
      <c r="B1697" s="1" t="n">
        <v>45799</v>
      </c>
      <c r="C1697" s="1" t="n">
        <v>46191</v>
      </c>
      <c r="D1697" t="inlineStr">
        <is>
          <t>VÄRMLANDS LÄN</t>
        </is>
      </c>
      <c r="E1697" t="inlineStr">
        <is>
          <t>TORSBY</t>
        </is>
      </c>
      <c r="F1697" t="inlineStr">
        <is>
          <t>Bergvik skog väst AB</t>
        </is>
      </c>
      <c r="G1697" t="n">
        <v>39.7</v>
      </c>
      <c r="H1697" t="n">
        <v>0</v>
      </c>
      <c r="I1697" t="n">
        <v>0</v>
      </c>
      <c r="J1697" t="n">
        <v>0</v>
      </c>
      <c r="K1697" t="n">
        <v>0</v>
      </c>
      <c r="L1697" t="n">
        <v>0</v>
      </c>
      <c r="M1697" t="n">
        <v>0</v>
      </c>
      <c r="N1697" t="n">
        <v>0</v>
      </c>
      <c r="O1697" t="n">
        <v>0</v>
      </c>
      <c r="P1697" t="n">
        <v>0</v>
      </c>
      <c r="Q1697" t="n">
        <v>0</v>
      </c>
      <c r="R1697" s="2" t="inlineStr"/>
    </row>
    <row r="1698" ht="15" customHeight="1">
      <c r="A1698" t="inlineStr">
        <is>
          <t>A 25807-2025</t>
        </is>
      </c>
      <c r="B1698" s="1" t="n">
        <v>45804</v>
      </c>
      <c r="C1698" s="1" t="n">
        <v>46191</v>
      </c>
      <c r="D1698" t="inlineStr">
        <is>
          <t>VÄRMLANDS LÄN</t>
        </is>
      </c>
      <c r="E1698" t="inlineStr">
        <is>
          <t>TORSBY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37279-2022</t>
        </is>
      </c>
      <c r="B1699" s="1" t="n">
        <v>44807</v>
      </c>
      <c r="C1699" s="1" t="n">
        <v>46191</v>
      </c>
      <c r="D1699" t="inlineStr">
        <is>
          <t>VÄRMLANDS LÄN</t>
        </is>
      </c>
      <c r="E1699" t="inlineStr">
        <is>
          <t>TORSBY</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56571-2024</t>
        </is>
      </c>
      <c r="B1700" s="1" t="n">
        <v>45625</v>
      </c>
      <c r="C1700" s="1" t="n">
        <v>46191</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25653-2025</t>
        </is>
      </c>
      <c r="B1701" s="1" t="n">
        <v>45803</v>
      </c>
      <c r="C1701" s="1" t="n">
        <v>46191</v>
      </c>
      <c r="D1701" t="inlineStr">
        <is>
          <t>VÄRMLANDS LÄN</t>
        </is>
      </c>
      <c r="E1701" t="inlineStr">
        <is>
          <t>TORSBY</t>
        </is>
      </c>
      <c r="F1701" t="inlineStr">
        <is>
          <t>Bergvik skog väst AB</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25917-2025</t>
        </is>
      </c>
      <c r="B1702" s="1" t="n">
        <v>45804</v>
      </c>
      <c r="C1702" s="1" t="n">
        <v>46191</v>
      </c>
      <c r="D1702" t="inlineStr">
        <is>
          <t>VÄRMLANDS LÄN</t>
        </is>
      </c>
      <c r="E1702" t="inlineStr">
        <is>
          <t>TORSBY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25464-2025</t>
        </is>
      </c>
      <c r="B1703" s="1" t="n">
        <v>45802</v>
      </c>
      <c r="C1703" s="1" t="n">
        <v>46191</v>
      </c>
      <c r="D1703" t="inlineStr">
        <is>
          <t>VÄRMLANDS LÄN</t>
        </is>
      </c>
      <c r="E1703" t="inlineStr">
        <is>
          <t>TORSBY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25465-2025</t>
        </is>
      </c>
      <c r="B1704" s="1" t="n">
        <v>45802</v>
      </c>
      <c r="C1704" s="1" t="n">
        <v>46191</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41377-2021</t>
        </is>
      </c>
      <c r="B1705" s="1" t="n">
        <v>44424</v>
      </c>
      <c r="C1705" s="1" t="n">
        <v>46191</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18544-2023</t>
        </is>
      </c>
      <c r="B1706" s="1" t="n">
        <v>45041</v>
      </c>
      <c r="C1706" s="1" t="n">
        <v>46191</v>
      </c>
      <c r="D1706" t="inlineStr">
        <is>
          <t>VÄRMLANDS LÄN</t>
        </is>
      </c>
      <c r="E1706" t="inlineStr">
        <is>
          <t>TORSBY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25443-2025</t>
        </is>
      </c>
      <c r="B1707" s="1" t="n">
        <v>45801</v>
      </c>
      <c r="C1707" s="1" t="n">
        <v>46191</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67457-2021</t>
        </is>
      </c>
      <c r="B1708" s="1" t="n">
        <v>44524</v>
      </c>
      <c r="C1708" s="1" t="n">
        <v>46191</v>
      </c>
      <c r="D1708" t="inlineStr">
        <is>
          <t>VÄRMLANDS LÄN</t>
        </is>
      </c>
      <c r="E1708" t="inlineStr">
        <is>
          <t>TORSBY</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25803-2025</t>
        </is>
      </c>
      <c r="B1709" s="1" t="n">
        <v>45804</v>
      </c>
      <c r="C1709" s="1" t="n">
        <v>46191</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25915-2025</t>
        </is>
      </c>
      <c r="B1710" s="1" t="n">
        <v>45804</v>
      </c>
      <c r="C1710" s="1" t="n">
        <v>46191</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33853-2021</t>
        </is>
      </c>
      <c r="B1711" s="1" t="n">
        <v>44378</v>
      </c>
      <c r="C1711" s="1" t="n">
        <v>46191</v>
      </c>
      <c r="D1711" t="inlineStr">
        <is>
          <t>VÄRMLANDS LÄN</t>
        </is>
      </c>
      <c r="E1711" t="inlineStr">
        <is>
          <t>TORSBY</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26061-2025</t>
        </is>
      </c>
      <c r="B1712" s="1" t="n">
        <v>45805</v>
      </c>
      <c r="C1712" s="1" t="n">
        <v>46191</v>
      </c>
      <c r="D1712" t="inlineStr">
        <is>
          <t>VÄRMLANDS LÄN</t>
        </is>
      </c>
      <c r="E1712" t="inlineStr">
        <is>
          <t>TORSBY</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26231-2025</t>
        </is>
      </c>
      <c r="B1713" s="1" t="n">
        <v>45805</v>
      </c>
      <c r="C1713" s="1" t="n">
        <v>46191</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38184-2024</t>
        </is>
      </c>
      <c r="B1714" s="1" t="n">
        <v>45545</v>
      </c>
      <c r="C1714" s="1" t="n">
        <v>46191</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33782-2023</t>
        </is>
      </c>
      <c r="B1715" s="1" t="n">
        <v>45120</v>
      </c>
      <c r="C1715" s="1" t="n">
        <v>46191</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26487-2025</t>
        </is>
      </c>
      <c r="B1716" s="1" t="n">
        <v>45807</v>
      </c>
      <c r="C1716" s="1" t="n">
        <v>46191</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30002-2024</t>
        </is>
      </c>
      <c r="B1717" s="1" t="n">
        <v>45488</v>
      </c>
      <c r="C1717" s="1" t="n">
        <v>46191</v>
      </c>
      <c r="D1717" t="inlineStr">
        <is>
          <t>VÄRMLANDS LÄN</t>
        </is>
      </c>
      <c r="E1717" t="inlineStr">
        <is>
          <t>TORSBY</t>
        </is>
      </c>
      <c r="F1717" t="inlineStr">
        <is>
          <t>Kommuner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34568-2022</t>
        </is>
      </c>
      <c r="B1718" s="1" t="n">
        <v>44795</v>
      </c>
      <c r="C1718" s="1" t="n">
        <v>46191</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57172-2022</t>
        </is>
      </c>
      <c r="B1719" s="1" t="n">
        <v>44895</v>
      </c>
      <c r="C1719" s="1" t="n">
        <v>46191</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46191</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19527-2023</t>
        </is>
      </c>
      <c r="B1721" s="1" t="n">
        <v>45050</v>
      </c>
      <c r="C1721" s="1" t="n">
        <v>46191</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28545-2024</t>
        </is>
      </c>
      <c r="B1722" s="1" t="n">
        <v>45478</v>
      </c>
      <c r="C1722" s="1" t="n">
        <v>46191</v>
      </c>
      <c r="D1722" t="inlineStr">
        <is>
          <t>VÄRMLANDS LÄN</t>
        </is>
      </c>
      <c r="E1722" t="inlineStr">
        <is>
          <t>TORSBY</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18244-2023</t>
        </is>
      </c>
      <c r="B1723" s="1" t="n">
        <v>45041</v>
      </c>
      <c r="C1723" s="1" t="n">
        <v>46191</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11222-2024</t>
        </is>
      </c>
      <c r="B1724" s="1" t="n">
        <v>45371</v>
      </c>
      <c r="C1724" s="1" t="n">
        <v>46191</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26876-2024</t>
        </is>
      </c>
      <c r="B1725" s="1" t="n">
        <v>45470</v>
      </c>
      <c r="C1725" s="1" t="n">
        <v>46191</v>
      </c>
      <c r="D1725" t="inlineStr">
        <is>
          <t>VÄRMLANDS LÄN</t>
        </is>
      </c>
      <c r="E1725" t="inlineStr">
        <is>
          <t>TORSBY</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56724-2023</t>
        </is>
      </c>
      <c r="B1726" s="1" t="n">
        <v>45244</v>
      </c>
      <c r="C1726" s="1" t="n">
        <v>46191</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43111-2022</t>
        </is>
      </c>
      <c r="B1727" s="1" t="n">
        <v>44833</v>
      </c>
      <c r="C1727" s="1" t="n">
        <v>46191</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45056-2022</t>
        </is>
      </c>
      <c r="B1728" s="1" t="n">
        <v>44841</v>
      </c>
      <c r="C1728" s="1" t="n">
        <v>46191</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26479-2025</t>
        </is>
      </c>
      <c r="B1729" s="1" t="n">
        <v>45807</v>
      </c>
      <c r="C1729" s="1" t="n">
        <v>46191</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26491-2025</t>
        </is>
      </c>
      <c r="B1730" s="1" t="n">
        <v>45807</v>
      </c>
      <c r="C1730" s="1" t="n">
        <v>46191</v>
      </c>
      <c r="D1730" t="inlineStr">
        <is>
          <t>VÄRMLANDS LÄN</t>
        </is>
      </c>
      <c r="E1730" t="inlineStr">
        <is>
          <t>TORSBY</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26507-2025</t>
        </is>
      </c>
      <c r="B1731" s="1" t="n">
        <v>45807</v>
      </c>
      <c r="C1731" s="1" t="n">
        <v>46191</v>
      </c>
      <c r="D1731" t="inlineStr">
        <is>
          <t>VÄRMLANDS LÄN</t>
        </is>
      </c>
      <c r="E1731" t="inlineStr">
        <is>
          <t>TORSBY</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43144-2024</t>
        </is>
      </c>
      <c r="B1732" s="1" t="n">
        <v>45567</v>
      </c>
      <c r="C1732" s="1" t="n">
        <v>46191</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24087-2024</t>
        </is>
      </c>
      <c r="B1733" s="1" t="n">
        <v>45456</v>
      </c>
      <c r="C1733" s="1" t="n">
        <v>46191</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16380-2025</t>
        </is>
      </c>
      <c r="B1734" s="1" t="n">
        <v>45751</v>
      </c>
      <c r="C1734" s="1" t="n">
        <v>46191</v>
      </c>
      <c r="D1734" t="inlineStr">
        <is>
          <t>VÄRMLANDS LÄN</t>
        </is>
      </c>
      <c r="E1734" t="inlineStr">
        <is>
          <t>TORSBY</t>
        </is>
      </c>
      <c r="F1734" t="inlineStr">
        <is>
          <t>Bergvik skog väst AB</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25956-2025</t>
        </is>
      </c>
      <c r="B1735" s="1" t="n">
        <v>45804</v>
      </c>
      <c r="C1735" s="1" t="n">
        <v>46191</v>
      </c>
      <c r="D1735" t="inlineStr">
        <is>
          <t>VÄRMLANDS LÄN</t>
        </is>
      </c>
      <c r="E1735" t="inlineStr">
        <is>
          <t>TORSBY</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754-2025</t>
        </is>
      </c>
      <c r="B1736" s="1" t="n">
        <v>45665</v>
      </c>
      <c r="C1736" s="1" t="n">
        <v>46191</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26504-2025</t>
        </is>
      </c>
      <c r="B1737" s="1" t="n">
        <v>45807</v>
      </c>
      <c r="C1737" s="1" t="n">
        <v>46191</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26505-2025</t>
        </is>
      </c>
      <c r="B1738" s="1" t="n">
        <v>45807</v>
      </c>
      <c r="C1738" s="1" t="n">
        <v>46191</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26511-2025</t>
        </is>
      </c>
      <c r="B1739" s="1" t="n">
        <v>45807</v>
      </c>
      <c r="C1739" s="1" t="n">
        <v>46191</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2803-2025</t>
        </is>
      </c>
      <c r="B1740" s="1" t="n">
        <v>45677</v>
      </c>
      <c r="C1740" s="1" t="n">
        <v>46191</v>
      </c>
      <c r="D1740" t="inlineStr">
        <is>
          <t>VÄRMLANDS LÄN</t>
        </is>
      </c>
      <c r="E1740" t="inlineStr">
        <is>
          <t>TORSBY</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26892-2025</t>
        </is>
      </c>
      <c r="B1741" s="1" t="n">
        <v>45811</v>
      </c>
      <c r="C1741" s="1" t="n">
        <v>46191</v>
      </c>
      <c r="D1741" t="inlineStr">
        <is>
          <t>VÄRMLANDS LÄN</t>
        </is>
      </c>
      <c r="E1741" t="inlineStr">
        <is>
          <t>TORSBY</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46221-2023</t>
        </is>
      </c>
      <c r="B1742" s="1" t="n">
        <v>45196</v>
      </c>
      <c r="C1742" s="1" t="n">
        <v>46191</v>
      </c>
      <c r="D1742" t="inlineStr">
        <is>
          <t>VÄRMLANDS LÄN</t>
        </is>
      </c>
      <c r="E1742" t="inlineStr">
        <is>
          <t>TORSBY</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26898-2025</t>
        </is>
      </c>
      <c r="B1743" s="1" t="n">
        <v>45811</v>
      </c>
      <c r="C1743" s="1" t="n">
        <v>46191</v>
      </c>
      <c r="D1743" t="inlineStr">
        <is>
          <t>VÄRMLANDS LÄN</t>
        </is>
      </c>
      <c r="E1743" t="inlineStr">
        <is>
          <t>TORSBY</t>
        </is>
      </c>
      <c r="F1743" t="inlineStr">
        <is>
          <t>Övriga Aktiebolag</t>
        </is>
      </c>
      <c r="G1743" t="n">
        <v>37.8</v>
      </c>
      <c r="H1743" t="n">
        <v>0</v>
      </c>
      <c r="I1743" t="n">
        <v>0</v>
      </c>
      <c r="J1743" t="n">
        <v>0</v>
      </c>
      <c r="K1743" t="n">
        <v>0</v>
      </c>
      <c r="L1743" t="n">
        <v>0</v>
      </c>
      <c r="M1743" t="n">
        <v>0</v>
      </c>
      <c r="N1743" t="n">
        <v>0</v>
      </c>
      <c r="O1743" t="n">
        <v>0</v>
      </c>
      <c r="P1743" t="n">
        <v>0</v>
      </c>
      <c r="Q1743" t="n">
        <v>0</v>
      </c>
      <c r="R1743" s="2" t="inlineStr"/>
    </row>
    <row r="1744" ht="15" customHeight="1">
      <c r="A1744" t="inlineStr">
        <is>
          <t>A 56021-2023</t>
        </is>
      </c>
      <c r="B1744" s="1" t="n">
        <v>45240</v>
      </c>
      <c r="C1744" s="1" t="n">
        <v>46191</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26960-2025</t>
        </is>
      </c>
      <c r="B1745" s="1" t="n">
        <v>45811</v>
      </c>
      <c r="C1745" s="1" t="n">
        <v>46191</v>
      </c>
      <c r="D1745" t="inlineStr">
        <is>
          <t>VÄRMLANDS LÄN</t>
        </is>
      </c>
      <c r="E1745" t="inlineStr">
        <is>
          <t>TORSBY</t>
        </is>
      </c>
      <c r="F1745" t="inlineStr">
        <is>
          <t>Kyrkan</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37081-2023</t>
        </is>
      </c>
      <c r="B1746" s="1" t="n">
        <v>45155</v>
      </c>
      <c r="C1746" s="1" t="n">
        <v>46191</v>
      </c>
      <c r="D1746" t="inlineStr">
        <is>
          <t>VÄRMLANDS LÄN</t>
        </is>
      </c>
      <c r="E1746" t="inlineStr">
        <is>
          <t>TORSBY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27174-2025</t>
        </is>
      </c>
      <c r="B1747" s="1" t="n">
        <v>45812</v>
      </c>
      <c r="C1747" s="1" t="n">
        <v>46191</v>
      </c>
      <c r="D1747" t="inlineStr">
        <is>
          <t>VÄRMLANDS LÄN</t>
        </is>
      </c>
      <c r="E1747" t="inlineStr">
        <is>
          <t>TORSBY</t>
        </is>
      </c>
      <c r="F1747" t="inlineStr">
        <is>
          <t>Kyrkan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27043-2025</t>
        </is>
      </c>
      <c r="B1748" s="1" t="n">
        <v>45811</v>
      </c>
      <c r="C1748" s="1" t="n">
        <v>46191</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27291-2025</t>
        </is>
      </c>
      <c r="B1749" s="1" t="n">
        <v>45812</v>
      </c>
      <c r="C1749" s="1" t="n">
        <v>46191</v>
      </c>
      <c r="D1749" t="inlineStr">
        <is>
          <t>VÄRMLANDS LÄN</t>
        </is>
      </c>
      <c r="E1749" t="inlineStr">
        <is>
          <t>TORSBY</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27056-2025</t>
        </is>
      </c>
      <c r="B1750" s="1" t="n">
        <v>45811</v>
      </c>
      <c r="C1750" s="1" t="n">
        <v>46191</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57980-2023</t>
        </is>
      </c>
      <c r="B1751" s="1" t="n">
        <v>45247</v>
      </c>
      <c r="C1751" s="1" t="n">
        <v>46191</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14613-2025</t>
        </is>
      </c>
      <c r="B1752" s="1" t="n">
        <v>45742</v>
      </c>
      <c r="C1752" s="1" t="n">
        <v>46191</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19763-2025</t>
        </is>
      </c>
      <c r="B1753" s="1" t="n">
        <v>45771</v>
      </c>
      <c r="C1753" s="1" t="n">
        <v>46191</v>
      </c>
      <c r="D1753" t="inlineStr">
        <is>
          <t>VÄRMLANDS LÄN</t>
        </is>
      </c>
      <c r="E1753" t="inlineStr">
        <is>
          <t>TORSBY</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19159-2025</t>
        </is>
      </c>
      <c r="B1754" s="1" t="n">
        <v>45769</v>
      </c>
      <c r="C1754" s="1" t="n">
        <v>46191</v>
      </c>
      <c r="D1754" t="inlineStr">
        <is>
          <t>VÄRMLANDS LÄN</t>
        </is>
      </c>
      <c r="E1754" t="inlineStr">
        <is>
          <t>TORSBY</t>
        </is>
      </c>
      <c r="F1754" t="inlineStr">
        <is>
          <t>Bergvik skog väst AB</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20461-2025</t>
        </is>
      </c>
      <c r="B1755" s="1" t="n">
        <v>45775</v>
      </c>
      <c r="C1755" s="1" t="n">
        <v>46191</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27674-2025</t>
        </is>
      </c>
      <c r="B1756" s="1" t="n">
        <v>45813</v>
      </c>
      <c r="C1756" s="1" t="n">
        <v>46191</v>
      </c>
      <c r="D1756" t="inlineStr">
        <is>
          <t>VÄRMLANDS LÄN</t>
        </is>
      </c>
      <c r="E1756" t="inlineStr">
        <is>
          <t>TORSBY</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27667-2025</t>
        </is>
      </c>
      <c r="B1757" s="1" t="n">
        <v>45813</v>
      </c>
      <c r="C1757" s="1" t="n">
        <v>46191</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34093-2024</t>
        </is>
      </c>
      <c r="B1758" s="1" t="n">
        <v>45523</v>
      </c>
      <c r="C1758" s="1" t="n">
        <v>46191</v>
      </c>
      <c r="D1758" t="inlineStr">
        <is>
          <t>VÄRMLANDS LÄN</t>
        </is>
      </c>
      <c r="E1758" t="inlineStr">
        <is>
          <t>TORSBY</t>
        </is>
      </c>
      <c r="F1758" t="inlineStr">
        <is>
          <t>Bergvik skog väst AB</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27470-2025</t>
        </is>
      </c>
      <c r="B1759" s="1" t="n">
        <v>45813</v>
      </c>
      <c r="C1759" s="1" t="n">
        <v>46191</v>
      </c>
      <c r="D1759" t="inlineStr">
        <is>
          <t>VÄRMLANDS LÄN</t>
        </is>
      </c>
      <c r="E1759" t="inlineStr">
        <is>
          <t>TORSBY</t>
        </is>
      </c>
      <c r="G1759" t="n">
        <v>17.9</v>
      </c>
      <c r="H1759" t="n">
        <v>0</v>
      </c>
      <c r="I1759" t="n">
        <v>0</v>
      </c>
      <c r="J1759" t="n">
        <v>0</v>
      </c>
      <c r="K1759" t="n">
        <v>0</v>
      </c>
      <c r="L1759" t="n">
        <v>0</v>
      </c>
      <c r="M1759" t="n">
        <v>0</v>
      </c>
      <c r="N1759" t="n">
        <v>0</v>
      </c>
      <c r="O1759" t="n">
        <v>0</v>
      </c>
      <c r="P1759" t="n">
        <v>0</v>
      </c>
      <c r="Q1759" t="n">
        <v>0</v>
      </c>
      <c r="R1759" s="2" t="inlineStr"/>
    </row>
    <row r="1760" ht="15" customHeight="1">
      <c r="A1760" t="inlineStr">
        <is>
          <t>A 6317-2025</t>
        </is>
      </c>
      <c r="B1760" s="1" t="n">
        <v>45698</v>
      </c>
      <c r="C1760" s="1" t="n">
        <v>46191</v>
      </c>
      <c r="D1760" t="inlineStr">
        <is>
          <t>VÄRMLANDS LÄN</t>
        </is>
      </c>
      <c r="E1760" t="inlineStr">
        <is>
          <t>TORSBY</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27968-2025</t>
        </is>
      </c>
      <c r="B1761" s="1" t="n">
        <v>45817</v>
      </c>
      <c r="C1761" s="1" t="n">
        <v>46191</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27856-2025</t>
        </is>
      </c>
      <c r="B1762" s="1" t="n">
        <v>45817</v>
      </c>
      <c r="C1762" s="1" t="n">
        <v>46191</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38298-2021</t>
        </is>
      </c>
      <c r="B1763" s="1" t="n">
        <v>44406</v>
      </c>
      <c r="C1763" s="1" t="n">
        <v>46191</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28116-2025</t>
        </is>
      </c>
      <c r="B1764" s="1" t="n">
        <v>45818</v>
      </c>
      <c r="C1764" s="1" t="n">
        <v>46191</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13285-2025</t>
        </is>
      </c>
      <c r="B1765" s="1" t="n">
        <v>45735</v>
      </c>
      <c r="C1765" s="1" t="n">
        <v>46191</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20255-2025</t>
        </is>
      </c>
      <c r="B1766" s="1" t="n">
        <v>45772</v>
      </c>
      <c r="C1766" s="1" t="n">
        <v>46191</v>
      </c>
      <c r="D1766" t="inlineStr">
        <is>
          <t>VÄRMLANDS LÄN</t>
        </is>
      </c>
      <c r="E1766" t="inlineStr">
        <is>
          <t>TORSBY</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27906-2025</t>
        </is>
      </c>
      <c r="B1767" s="1" t="n">
        <v>45817</v>
      </c>
      <c r="C1767" s="1" t="n">
        <v>46191</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54885-2022</t>
        </is>
      </c>
      <c r="B1768" s="1" t="n">
        <v>44886</v>
      </c>
      <c r="C1768" s="1" t="n">
        <v>46191</v>
      </c>
      <c r="D1768" t="inlineStr">
        <is>
          <t>VÄRMLANDS LÄN</t>
        </is>
      </c>
      <c r="E1768" t="inlineStr">
        <is>
          <t>TORSBY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27759-2025</t>
        </is>
      </c>
      <c r="B1769" s="1" t="n">
        <v>45816</v>
      </c>
      <c r="C1769" s="1" t="n">
        <v>46191</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27758-2025</t>
        </is>
      </c>
      <c r="B1770" s="1" t="n">
        <v>45816</v>
      </c>
      <c r="C1770" s="1" t="n">
        <v>46191</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24493-2024</t>
        </is>
      </c>
      <c r="B1771" s="1" t="n">
        <v>45459</v>
      </c>
      <c r="C1771" s="1" t="n">
        <v>46191</v>
      </c>
      <c r="D1771" t="inlineStr">
        <is>
          <t>VÄRMLANDS LÄN</t>
        </is>
      </c>
      <c r="E1771" t="inlineStr">
        <is>
          <t>TORSBY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23073-2023</t>
        </is>
      </c>
      <c r="B1772" s="1" t="n">
        <v>45070</v>
      </c>
      <c r="C1772" s="1" t="n">
        <v>46191</v>
      </c>
      <c r="D1772" t="inlineStr">
        <is>
          <t>VÄRMLANDS LÄN</t>
        </is>
      </c>
      <c r="E1772" t="inlineStr">
        <is>
          <t>TORSBY</t>
        </is>
      </c>
      <c r="G1772" t="n">
        <v>15.1</v>
      </c>
      <c r="H1772" t="n">
        <v>0</v>
      </c>
      <c r="I1772" t="n">
        <v>0</v>
      </c>
      <c r="J1772" t="n">
        <v>0</v>
      </c>
      <c r="K1772" t="n">
        <v>0</v>
      </c>
      <c r="L1772" t="n">
        <v>0</v>
      </c>
      <c r="M1772" t="n">
        <v>0</v>
      </c>
      <c r="N1772" t="n">
        <v>0</v>
      </c>
      <c r="O1772" t="n">
        <v>0</v>
      </c>
      <c r="P1772" t="n">
        <v>0</v>
      </c>
      <c r="Q1772" t="n">
        <v>0</v>
      </c>
      <c r="R1772" s="2" t="inlineStr"/>
    </row>
    <row r="1773" ht="15" customHeight="1">
      <c r="A1773" t="inlineStr">
        <is>
          <t>A 4516-2025</t>
        </is>
      </c>
      <c r="B1773" s="1" t="n">
        <v>45686</v>
      </c>
      <c r="C1773" s="1" t="n">
        <v>46191</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4517-2025</t>
        </is>
      </c>
      <c r="B1774" s="1" t="n">
        <v>45686</v>
      </c>
      <c r="C1774" s="1" t="n">
        <v>46191</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28612-2025</t>
        </is>
      </c>
      <c r="B1775" s="1" t="n">
        <v>45819</v>
      </c>
      <c r="C1775" s="1" t="n">
        <v>46191</v>
      </c>
      <c r="D1775" t="inlineStr">
        <is>
          <t>VÄRMLANDS LÄN</t>
        </is>
      </c>
      <c r="E1775" t="inlineStr">
        <is>
          <t>TORSBY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1839-2022</t>
        </is>
      </c>
      <c r="B1776" s="1" t="n">
        <v>44574</v>
      </c>
      <c r="C1776" s="1" t="n">
        <v>46191</v>
      </c>
      <c r="D1776" t="inlineStr">
        <is>
          <t>VÄRMLANDS LÄN</t>
        </is>
      </c>
      <c r="E1776" t="inlineStr">
        <is>
          <t>TORSBY</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47602-2021</t>
        </is>
      </c>
      <c r="B1777" s="1" t="n">
        <v>44448</v>
      </c>
      <c r="C1777" s="1" t="n">
        <v>46191</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28898-2025</t>
        </is>
      </c>
      <c r="B1778" s="1" t="n">
        <v>45820</v>
      </c>
      <c r="C1778" s="1" t="n">
        <v>46191</v>
      </c>
      <c r="D1778" t="inlineStr">
        <is>
          <t>VÄRMLANDS LÄN</t>
        </is>
      </c>
      <c r="E1778" t="inlineStr">
        <is>
          <t>TORSBY</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28784-2025</t>
        </is>
      </c>
      <c r="B1779" s="1" t="n">
        <v>45820</v>
      </c>
      <c r="C1779" s="1" t="n">
        <v>46191</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24696-2023</t>
        </is>
      </c>
      <c r="B1780" s="1" t="n">
        <v>45084</v>
      </c>
      <c r="C1780" s="1" t="n">
        <v>46191</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28757-2025</t>
        </is>
      </c>
      <c r="B1781" s="1" t="n">
        <v>45820</v>
      </c>
      <c r="C1781" s="1" t="n">
        <v>46191</v>
      </c>
      <c r="D1781" t="inlineStr">
        <is>
          <t>VÄRMLANDS LÄN</t>
        </is>
      </c>
      <c r="E1781" t="inlineStr">
        <is>
          <t>TORSBY</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29312-2025</t>
        </is>
      </c>
      <c r="B1782" s="1" t="n">
        <v>45824</v>
      </c>
      <c r="C1782" s="1" t="n">
        <v>46191</v>
      </c>
      <c r="D1782" t="inlineStr">
        <is>
          <t>VÄRMLANDS LÄN</t>
        </is>
      </c>
      <c r="E1782" t="inlineStr">
        <is>
          <t>TORSBY</t>
        </is>
      </c>
      <c r="F1782" t="inlineStr">
        <is>
          <t>Övriga Aktiebolag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29063-2025</t>
        </is>
      </c>
      <c r="B1783" s="1" t="n">
        <v>45821</v>
      </c>
      <c r="C1783" s="1" t="n">
        <v>46191</v>
      </c>
      <c r="D1783" t="inlineStr">
        <is>
          <t>VÄRMLANDS LÄN</t>
        </is>
      </c>
      <c r="E1783" t="inlineStr">
        <is>
          <t>TORSBY</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29307-2025</t>
        </is>
      </c>
      <c r="B1784" s="1" t="n">
        <v>45824</v>
      </c>
      <c r="C1784" s="1" t="n">
        <v>46191</v>
      </c>
      <c r="D1784" t="inlineStr">
        <is>
          <t>VÄRMLANDS LÄN</t>
        </is>
      </c>
      <c r="E1784" t="inlineStr">
        <is>
          <t>TORSBY</t>
        </is>
      </c>
      <c r="F1784" t="inlineStr">
        <is>
          <t>Övriga Aktiebolag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70658-2021</t>
        </is>
      </c>
      <c r="B1785" s="1" t="n">
        <v>44537</v>
      </c>
      <c r="C1785" s="1" t="n">
        <v>46191</v>
      </c>
      <c r="D1785" t="inlineStr">
        <is>
          <t>VÄRMLANDS LÄN</t>
        </is>
      </c>
      <c r="E1785" t="inlineStr">
        <is>
          <t>TORSBY</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37401-2022</t>
        </is>
      </c>
      <c r="B1786" s="1" t="n">
        <v>44809</v>
      </c>
      <c r="C1786" s="1" t="n">
        <v>46191</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27273-2024</t>
        </is>
      </c>
      <c r="B1787" s="1" t="n">
        <v>45471</v>
      </c>
      <c r="C1787" s="1" t="n">
        <v>46191</v>
      </c>
      <c r="D1787" t="inlineStr">
        <is>
          <t>VÄRMLANDS LÄN</t>
        </is>
      </c>
      <c r="E1787" t="inlineStr">
        <is>
          <t>TORSBY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27275-2024</t>
        </is>
      </c>
      <c r="B1788" s="1" t="n">
        <v>45471</v>
      </c>
      <c r="C1788" s="1" t="n">
        <v>46191</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7178-2025</t>
        </is>
      </c>
      <c r="B1789" s="1" t="n">
        <v>45702</v>
      </c>
      <c r="C1789" s="1" t="n">
        <v>46191</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55100-2023</t>
        </is>
      </c>
      <c r="B1790" s="1" t="n">
        <v>45237</v>
      </c>
      <c r="C1790" s="1" t="n">
        <v>46191</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29587-2025</t>
        </is>
      </c>
      <c r="B1791" s="1" t="n">
        <v>45825</v>
      </c>
      <c r="C1791" s="1" t="n">
        <v>46191</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30078-2025</t>
        </is>
      </c>
      <c r="B1792" s="1" t="n">
        <v>45826</v>
      </c>
      <c r="C1792" s="1" t="n">
        <v>46191</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9729-2025</t>
        </is>
      </c>
      <c r="B1793" s="1" t="n">
        <v>45715</v>
      </c>
      <c r="C1793" s="1" t="n">
        <v>46191</v>
      </c>
      <c r="D1793" t="inlineStr">
        <is>
          <t>VÄRMLANDS LÄN</t>
        </is>
      </c>
      <c r="E1793" t="inlineStr">
        <is>
          <t>TORSBY</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30026-2025</t>
        </is>
      </c>
      <c r="B1794" s="1" t="n">
        <v>45826</v>
      </c>
      <c r="C1794" s="1" t="n">
        <v>46191</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20528-2023</t>
        </is>
      </c>
      <c r="B1795" s="1" t="n">
        <v>45057</v>
      </c>
      <c r="C1795" s="1" t="n">
        <v>46191</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43060-2021</t>
        </is>
      </c>
      <c r="B1796" s="1" t="n">
        <v>44431</v>
      </c>
      <c r="C1796" s="1" t="n">
        <v>46191</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30074-2025</t>
        </is>
      </c>
      <c r="B1797" s="1" t="n">
        <v>45826</v>
      </c>
      <c r="C1797" s="1" t="n">
        <v>46191</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23572-2023</t>
        </is>
      </c>
      <c r="B1798" s="1" t="n">
        <v>45077</v>
      </c>
      <c r="C1798" s="1" t="n">
        <v>46191</v>
      </c>
      <c r="D1798" t="inlineStr">
        <is>
          <t>VÄRMLANDS LÄN</t>
        </is>
      </c>
      <c r="E1798" t="inlineStr">
        <is>
          <t>TORSBY</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30380-2025</t>
        </is>
      </c>
      <c r="B1799" s="1" t="n">
        <v>45827</v>
      </c>
      <c r="C1799" s="1" t="n">
        <v>46191</v>
      </c>
      <c r="D1799" t="inlineStr">
        <is>
          <t>VÄRMLANDS LÄN</t>
        </is>
      </c>
      <c r="E1799" t="inlineStr">
        <is>
          <t>TORSBY</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30151-2025</t>
        </is>
      </c>
      <c r="B1800" s="1" t="n">
        <v>45827</v>
      </c>
      <c r="C1800" s="1" t="n">
        <v>46191</v>
      </c>
      <c r="D1800" t="inlineStr">
        <is>
          <t>VÄRMLANDS LÄN</t>
        </is>
      </c>
      <c r="E1800" t="inlineStr">
        <is>
          <t>TORSBY</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41130-2022</t>
        </is>
      </c>
      <c r="B1801" s="1" t="n">
        <v>44825</v>
      </c>
      <c r="C1801" s="1" t="n">
        <v>46191</v>
      </c>
      <c r="D1801" t="inlineStr">
        <is>
          <t>VÄRMLANDS LÄN</t>
        </is>
      </c>
      <c r="E1801" t="inlineStr">
        <is>
          <t>TORSBY</t>
        </is>
      </c>
      <c r="F1801" t="inlineStr">
        <is>
          <t>Kyrkan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30153-2025</t>
        </is>
      </c>
      <c r="B1802" s="1" t="n">
        <v>45827</v>
      </c>
      <c r="C1802" s="1" t="n">
        <v>46191</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30333-2025</t>
        </is>
      </c>
      <c r="B1803" s="1" t="n">
        <v>45827</v>
      </c>
      <c r="C1803" s="1" t="n">
        <v>46191</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30388-2025</t>
        </is>
      </c>
      <c r="B1804" s="1" t="n">
        <v>45827</v>
      </c>
      <c r="C1804" s="1" t="n">
        <v>46191</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20745-2023</t>
        </is>
      </c>
      <c r="B1805" s="1" t="n">
        <v>45058</v>
      </c>
      <c r="C1805" s="1" t="n">
        <v>46191</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30738-2025</t>
        </is>
      </c>
      <c r="B1806" s="1" t="n">
        <v>45831</v>
      </c>
      <c r="C1806" s="1" t="n">
        <v>46191</v>
      </c>
      <c r="D1806" t="inlineStr">
        <is>
          <t>VÄRMLANDS LÄN</t>
        </is>
      </c>
      <c r="E1806" t="inlineStr">
        <is>
          <t>TORSBY</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21988-2023</t>
        </is>
      </c>
      <c r="B1807" s="1" t="n">
        <v>45068</v>
      </c>
      <c r="C1807" s="1" t="n">
        <v>46191</v>
      </c>
      <c r="D1807" t="inlineStr">
        <is>
          <t>VÄRMLANDS LÄN</t>
        </is>
      </c>
      <c r="E1807" t="inlineStr">
        <is>
          <t>TORSBY</t>
        </is>
      </c>
      <c r="F1807" t="inlineStr">
        <is>
          <t>Bergvik skog väst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36850-2024</t>
        </is>
      </c>
      <c r="B1808" s="1" t="n">
        <v>45538</v>
      </c>
      <c r="C1808" s="1" t="n">
        <v>46191</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15450-2023</t>
        </is>
      </c>
      <c r="B1809" s="1" t="n">
        <v>45020</v>
      </c>
      <c r="C1809" s="1" t="n">
        <v>46191</v>
      </c>
      <c r="D1809" t="inlineStr">
        <is>
          <t>VÄRMLANDS LÄN</t>
        </is>
      </c>
      <c r="E1809" t="inlineStr">
        <is>
          <t>TORSBY</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6529-2025</t>
        </is>
      </c>
      <c r="B1810" s="1" t="n">
        <v>45699</v>
      </c>
      <c r="C1810" s="1" t="n">
        <v>46191</v>
      </c>
      <c r="D1810" t="inlineStr">
        <is>
          <t>VÄRMLANDS LÄN</t>
        </is>
      </c>
      <c r="E1810" t="inlineStr">
        <is>
          <t>TORSBY</t>
        </is>
      </c>
      <c r="F1810" t="inlineStr">
        <is>
          <t>Kommuner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6532-2025</t>
        </is>
      </c>
      <c r="B1811" s="1" t="n">
        <v>45699</v>
      </c>
      <c r="C1811" s="1" t="n">
        <v>46191</v>
      </c>
      <c r="D1811" t="inlineStr">
        <is>
          <t>VÄRMLANDS LÄN</t>
        </is>
      </c>
      <c r="E1811" t="inlineStr">
        <is>
          <t>TORSBY</t>
        </is>
      </c>
      <c r="F1811" t="inlineStr">
        <is>
          <t>Kommuner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55475-2022</t>
        </is>
      </c>
      <c r="B1812" s="1" t="n">
        <v>44887</v>
      </c>
      <c r="C1812" s="1" t="n">
        <v>46191</v>
      </c>
      <c r="D1812" t="inlineStr">
        <is>
          <t>VÄRMLANDS LÄN</t>
        </is>
      </c>
      <c r="E1812" t="inlineStr">
        <is>
          <t>TORSBY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6863-2023</t>
        </is>
      </c>
      <c r="B1813" s="1" t="n">
        <v>44964</v>
      </c>
      <c r="C1813" s="1" t="n">
        <v>46191</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30717-2025</t>
        </is>
      </c>
      <c r="B1814" s="1" t="n">
        <v>45831</v>
      </c>
      <c r="C1814" s="1" t="n">
        <v>46191</v>
      </c>
      <c r="D1814" t="inlineStr">
        <is>
          <t>VÄRMLANDS LÄN</t>
        </is>
      </c>
      <c r="E1814" t="inlineStr">
        <is>
          <t>TORSBY</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24896-2023</t>
        </is>
      </c>
      <c r="B1815" s="1" t="n">
        <v>45085</v>
      </c>
      <c r="C1815" s="1" t="n">
        <v>46191</v>
      </c>
      <c r="D1815" t="inlineStr">
        <is>
          <t>VÄRMLANDS LÄN</t>
        </is>
      </c>
      <c r="E1815" t="inlineStr">
        <is>
          <t>TORSBY</t>
        </is>
      </c>
      <c r="F1815" t="inlineStr">
        <is>
          <t>Bergvik skog väst AB</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31850-2025</t>
        </is>
      </c>
      <c r="B1816" s="1" t="n">
        <v>45834</v>
      </c>
      <c r="C1816" s="1" t="n">
        <v>46191</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31906-2025</t>
        </is>
      </c>
      <c r="B1817" s="1" t="n">
        <v>45834</v>
      </c>
      <c r="C1817" s="1" t="n">
        <v>46191</v>
      </c>
      <c r="D1817" t="inlineStr">
        <is>
          <t>VÄRMLANDS LÄN</t>
        </is>
      </c>
      <c r="E1817" t="inlineStr">
        <is>
          <t>TORSBY</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31335-2025</t>
        </is>
      </c>
      <c r="B1818" s="1" t="n">
        <v>45833</v>
      </c>
      <c r="C1818" s="1" t="n">
        <v>46191</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31416-2025</t>
        </is>
      </c>
      <c r="B1819" s="1" t="n">
        <v>45833</v>
      </c>
      <c r="C1819" s="1" t="n">
        <v>46191</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32134-2025</t>
        </is>
      </c>
      <c r="B1820" s="1" t="n">
        <v>45835</v>
      </c>
      <c r="C1820" s="1" t="n">
        <v>46191</v>
      </c>
      <c r="D1820" t="inlineStr">
        <is>
          <t>VÄRMLANDS LÄN</t>
        </is>
      </c>
      <c r="E1820" t="inlineStr">
        <is>
          <t>TORSBY</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32622-2025</t>
        </is>
      </c>
      <c r="B1821" s="1" t="n">
        <v>45838</v>
      </c>
      <c r="C1821" s="1" t="n">
        <v>46191</v>
      </c>
      <c r="D1821" t="inlineStr">
        <is>
          <t>VÄRMLANDS LÄN</t>
        </is>
      </c>
      <c r="E1821" t="inlineStr">
        <is>
          <t>TORSBY</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32618-2025</t>
        </is>
      </c>
      <c r="B1822" s="1" t="n">
        <v>45838</v>
      </c>
      <c r="C1822" s="1" t="n">
        <v>46191</v>
      </c>
      <c r="D1822" t="inlineStr">
        <is>
          <t>VÄRMLANDS LÄN</t>
        </is>
      </c>
      <c r="E1822" t="inlineStr">
        <is>
          <t>TORSBY</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21255-2023</t>
        </is>
      </c>
      <c r="B1823" s="1" t="n">
        <v>45058</v>
      </c>
      <c r="C1823" s="1" t="n">
        <v>46191</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32433-2025</t>
        </is>
      </c>
      <c r="B1824" s="1" t="n">
        <v>45838</v>
      </c>
      <c r="C1824" s="1" t="n">
        <v>46191</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32342-2025</t>
        </is>
      </c>
      <c r="B1825" s="1" t="n">
        <v>45837</v>
      </c>
      <c r="C1825" s="1" t="n">
        <v>46191</v>
      </c>
      <c r="D1825" t="inlineStr">
        <is>
          <t>VÄRMLANDS LÄN</t>
        </is>
      </c>
      <c r="E1825" t="inlineStr">
        <is>
          <t>TORSBY</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32331-2025</t>
        </is>
      </c>
      <c r="B1826" s="1" t="n">
        <v>45836</v>
      </c>
      <c r="C1826" s="1" t="n">
        <v>46191</v>
      </c>
      <c r="D1826" t="inlineStr">
        <is>
          <t>VÄRMLANDS LÄN</t>
        </is>
      </c>
      <c r="E1826" t="inlineStr">
        <is>
          <t>TORSBY</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32191-2025</t>
        </is>
      </c>
      <c r="B1827" s="1" t="n">
        <v>45835</v>
      </c>
      <c r="C1827" s="1" t="n">
        <v>46191</v>
      </c>
      <c r="D1827" t="inlineStr">
        <is>
          <t>VÄRMLANDS LÄN</t>
        </is>
      </c>
      <c r="E1827" t="inlineStr">
        <is>
          <t>TORSBY</t>
        </is>
      </c>
      <c r="F1827" t="inlineStr">
        <is>
          <t>Bergvik skog väst AB</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18105-2022</t>
        </is>
      </c>
      <c r="B1828" s="1" t="n">
        <v>44684</v>
      </c>
      <c r="C1828" s="1" t="n">
        <v>46191</v>
      </c>
      <c r="D1828" t="inlineStr">
        <is>
          <t>VÄRMLANDS LÄN</t>
        </is>
      </c>
      <c r="E1828" t="inlineStr">
        <is>
          <t>TORSBY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53705-2021</t>
        </is>
      </c>
      <c r="B1829" s="1" t="n">
        <v>44469</v>
      </c>
      <c r="C1829" s="1" t="n">
        <v>46191</v>
      </c>
      <c r="D1829" t="inlineStr">
        <is>
          <t>VÄRMLANDS LÄN</t>
        </is>
      </c>
      <c r="E1829" t="inlineStr">
        <is>
          <t>TORSBY</t>
        </is>
      </c>
      <c r="F1829" t="inlineStr">
        <is>
          <t>Kyrkan</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32345-2025</t>
        </is>
      </c>
      <c r="B1830" s="1" t="n">
        <v>45837</v>
      </c>
      <c r="C1830" s="1" t="n">
        <v>46191</v>
      </c>
      <c r="D1830" t="inlineStr">
        <is>
          <t>VÄRMLANDS LÄN</t>
        </is>
      </c>
      <c r="E1830" t="inlineStr">
        <is>
          <t>TORSBY</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32555-2025</t>
        </is>
      </c>
      <c r="B1831" s="1" t="n">
        <v>45838</v>
      </c>
      <c r="C1831" s="1" t="n">
        <v>46191</v>
      </c>
      <c r="D1831" t="inlineStr">
        <is>
          <t>VÄRMLANDS LÄN</t>
        </is>
      </c>
      <c r="E1831" t="inlineStr">
        <is>
          <t>TORSBY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12365-2022</t>
        </is>
      </c>
      <c r="B1832" s="1" t="n">
        <v>44637</v>
      </c>
      <c r="C1832" s="1" t="n">
        <v>46191</v>
      </c>
      <c r="D1832" t="inlineStr">
        <is>
          <t>VÄRMLANDS LÄN</t>
        </is>
      </c>
      <c r="E1832" t="inlineStr">
        <is>
          <t>TORSBY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38286-2023</t>
        </is>
      </c>
      <c r="B1833" s="1" t="n">
        <v>45161</v>
      </c>
      <c r="C1833" s="1" t="n">
        <v>46191</v>
      </c>
      <c r="D1833" t="inlineStr">
        <is>
          <t>VÄRMLANDS LÄN</t>
        </is>
      </c>
      <c r="E1833" t="inlineStr">
        <is>
          <t>TORSBY</t>
        </is>
      </c>
      <c r="F1833" t="inlineStr">
        <is>
          <t>Kyrkan</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33221-2025</t>
        </is>
      </c>
      <c r="B1834" s="1" t="n">
        <v>45840</v>
      </c>
      <c r="C1834" s="1" t="n">
        <v>46191</v>
      </c>
      <c r="D1834" t="inlineStr">
        <is>
          <t>VÄRMLANDS LÄN</t>
        </is>
      </c>
      <c r="E1834" t="inlineStr">
        <is>
          <t>TORSBY</t>
        </is>
      </c>
      <c r="F1834" t="inlineStr">
        <is>
          <t>Bergvik skog väst AB</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32983-2025</t>
        </is>
      </c>
      <c r="B1835" s="1" t="n">
        <v>45839</v>
      </c>
      <c r="C1835" s="1" t="n">
        <v>46191</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33192-2025</t>
        </is>
      </c>
      <c r="B1836" s="1" t="n">
        <v>45840</v>
      </c>
      <c r="C1836" s="1" t="n">
        <v>46191</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19878-2025</t>
        </is>
      </c>
      <c r="B1837" s="1" t="n">
        <v>45771</v>
      </c>
      <c r="C1837" s="1" t="n">
        <v>46191</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32995-2025</t>
        </is>
      </c>
      <c r="B1838" s="1" t="n">
        <v>45839</v>
      </c>
      <c r="C1838" s="1" t="n">
        <v>46191</v>
      </c>
      <c r="D1838" t="inlineStr">
        <is>
          <t>VÄRMLANDS LÄN</t>
        </is>
      </c>
      <c r="E1838" t="inlineStr">
        <is>
          <t>TORSBY</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12574-2025</t>
        </is>
      </c>
      <c r="B1839" s="1" t="n">
        <v>45732</v>
      </c>
      <c r="C1839" s="1" t="n">
        <v>46191</v>
      </c>
      <c r="D1839" t="inlineStr">
        <is>
          <t>VÄRMLANDS LÄN</t>
        </is>
      </c>
      <c r="E1839" t="inlineStr">
        <is>
          <t>TORSBY</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26343-2023</t>
        </is>
      </c>
      <c r="B1840" s="1" t="n">
        <v>45091</v>
      </c>
      <c r="C1840" s="1" t="n">
        <v>46191</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44170-2022</t>
        </is>
      </c>
      <c r="B1841" s="1" t="n">
        <v>44838</v>
      </c>
      <c r="C1841" s="1" t="n">
        <v>46191</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7127-2023</t>
        </is>
      </c>
      <c r="B1842" s="1" t="n">
        <v>44970</v>
      </c>
      <c r="C1842" s="1" t="n">
        <v>46191</v>
      </c>
      <c r="D1842" t="inlineStr">
        <is>
          <t>VÄRMLANDS LÄN</t>
        </is>
      </c>
      <c r="E1842" t="inlineStr">
        <is>
          <t>TORSBY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33567-2025</t>
        </is>
      </c>
      <c r="B1843" s="1" t="n">
        <v>45841</v>
      </c>
      <c r="C1843" s="1" t="n">
        <v>46191</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16073-2024</t>
        </is>
      </c>
      <c r="B1844" s="1" t="n">
        <v>45406</v>
      </c>
      <c r="C1844" s="1" t="n">
        <v>46191</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58956-2022</t>
        </is>
      </c>
      <c r="B1845" s="1" t="n">
        <v>44903</v>
      </c>
      <c r="C1845" s="1" t="n">
        <v>46191</v>
      </c>
      <c r="D1845" t="inlineStr">
        <is>
          <t>VÄRMLANDS LÄN</t>
        </is>
      </c>
      <c r="E1845" t="inlineStr">
        <is>
          <t>TORSBY</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34140-2025</t>
        </is>
      </c>
      <c r="B1846" s="1" t="n">
        <v>45845</v>
      </c>
      <c r="C1846" s="1" t="n">
        <v>46191</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36050-2023</t>
        </is>
      </c>
      <c r="B1847" s="1" t="n">
        <v>45149</v>
      </c>
      <c r="C1847" s="1" t="n">
        <v>46191</v>
      </c>
      <c r="D1847" t="inlineStr">
        <is>
          <t>VÄRMLANDS LÄN</t>
        </is>
      </c>
      <c r="E1847" t="inlineStr">
        <is>
          <t>TORSBY</t>
        </is>
      </c>
      <c r="F1847" t="inlineStr">
        <is>
          <t>Kommuner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34137-2025</t>
        </is>
      </c>
      <c r="B1848" s="1" t="n">
        <v>45845</v>
      </c>
      <c r="C1848" s="1" t="n">
        <v>46191</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34138-2025</t>
        </is>
      </c>
      <c r="B1849" s="1" t="n">
        <v>45845</v>
      </c>
      <c r="C1849" s="1" t="n">
        <v>46191</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34146-2025</t>
        </is>
      </c>
      <c r="B1850" s="1" t="n">
        <v>45845</v>
      </c>
      <c r="C1850" s="1" t="n">
        <v>46191</v>
      </c>
      <c r="D1850" t="inlineStr">
        <is>
          <t>VÄRMLANDS LÄN</t>
        </is>
      </c>
      <c r="E1850" t="inlineStr">
        <is>
          <t>TORSBY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34370-2025</t>
        </is>
      </c>
      <c r="B1851" s="1" t="n">
        <v>45846</v>
      </c>
      <c r="C1851" s="1" t="n">
        <v>46191</v>
      </c>
      <c r="D1851" t="inlineStr">
        <is>
          <t>VÄRMLANDS LÄN</t>
        </is>
      </c>
      <c r="E1851" t="inlineStr">
        <is>
          <t>TORSBY</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34268-2025</t>
        </is>
      </c>
      <c r="B1852" s="1" t="n">
        <v>45845</v>
      </c>
      <c r="C1852" s="1" t="n">
        <v>46191</v>
      </c>
      <c r="D1852" t="inlineStr">
        <is>
          <t>VÄRMLANDS LÄN</t>
        </is>
      </c>
      <c r="E1852" t="inlineStr">
        <is>
          <t>TORSBY</t>
        </is>
      </c>
      <c r="F1852" t="inlineStr">
        <is>
          <t>Bergvik skog väst AB</t>
        </is>
      </c>
      <c r="G1852" t="n">
        <v>19.7</v>
      </c>
      <c r="H1852" t="n">
        <v>0</v>
      </c>
      <c r="I1852" t="n">
        <v>0</v>
      </c>
      <c r="J1852" t="n">
        <v>0</v>
      </c>
      <c r="K1852" t="n">
        <v>0</v>
      </c>
      <c r="L1852" t="n">
        <v>0</v>
      </c>
      <c r="M1852" t="n">
        <v>0</v>
      </c>
      <c r="N1852" t="n">
        <v>0</v>
      </c>
      <c r="O1852" t="n">
        <v>0</v>
      </c>
      <c r="P1852" t="n">
        <v>0</v>
      </c>
      <c r="Q1852" t="n">
        <v>0</v>
      </c>
      <c r="R1852" s="2" t="inlineStr"/>
    </row>
    <row r="1853" ht="15" customHeight="1">
      <c r="A1853" t="inlineStr">
        <is>
          <t>A 8281-2023</t>
        </is>
      </c>
      <c r="B1853" s="1" t="n">
        <v>44974</v>
      </c>
      <c r="C1853" s="1" t="n">
        <v>46191</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34179-2025</t>
        </is>
      </c>
      <c r="B1854" s="1" t="n">
        <v>45845</v>
      </c>
      <c r="C1854" s="1" t="n">
        <v>46191</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34533-2025</t>
        </is>
      </c>
      <c r="B1855" s="1" t="n">
        <v>45847</v>
      </c>
      <c r="C1855" s="1" t="n">
        <v>46191</v>
      </c>
      <c r="D1855" t="inlineStr">
        <is>
          <t>VÄRMLANDS LÄN</t>
        </is>
      </c>
      <c r="E1855" t="inlineStr">
        <is>
          <t>TORSBY</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34480-2025</t>
        </is>
      </c>
      <c r="B1856" s="1" t="n">
        <v>45847</v>
      </c>
      <c r="C1856" s="1" t="n">
        <v>46191</v>
      </c>
      <c r="D1856" t="inlineStr">
        <is>
          <t>VÄRMLANDS LÄN</t>
        </is>
      </c>
      <c r="E1856" t="inlineStr">
        <is>
          <t>TORSBY</t>
        </is>
      </c>
      <c r="F1856" t="inlineStr">
        <is>
          <t>Övriga Aktiebolag</t>
        </is>
      </c>
      <c r="G1856" t="n">
        <v>13.4</v>
      </c>
      <c r="H1856" t="n">
        <v>0</v>
      </c>
      <c r="I1856" t="n">
        <v>0</v>
      </c>
      <c r="J1856" t="n">
        <v>0</v>
      </c>
      <c r="K1856" t="n">
        <v>0</v>
      </c>
      <c r="L1856" t="n">
        <v>0</v>
      </c>
      <c r="M1856" t="n">
        <v>0</v>
      </c>
      <c r="N1856" t="n">
        <v>0</v>
      </c>
      <c r="O1856" t="n">
        <v>0</v>
      </c>
      <c r="P1856" t="n">
        <v>0</v>
      </c>
      <c r="Q1856" t="n">
        <v>0</v>
      </c>
      <c r="R1856" s="2" t="inlineStr"/>
    </row>
    <row r="1857" ht="15" customHeight="1">
      <c r="A1857" t="inlineStr">
        <is>
          <t>A 34495-2025</t>
        </is>
      </c>
      <c r="B1857" s="1" t="n">
        <v>45847</v>
      </c>
      <c r="C1857" s="1" t="n">
        <v>46191</v>
      </c>
      <c r="D1857" t="inlineStr">
        <is>
          <t>VÄRMLANDS LÄN</t>
        </is>
      </c>
      <c r="E1857" t="inlineStr">
        <is>
          <t>TORSBY</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34451-2025</t>
        </is>
      </c>
      <c r="B1858" s="1" t="n">
        <v>45846</v>
      </c>
      <c r="C1858" s="1" t="n">
        <v>46191</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49206-2022</t>
        </is>
      </c>
      <c r="B1859" s="1" t="n">
        <v>44860</v>
      </c>
      <c r="C1859" s="1" t="n">
        <v>46191</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9908-2024</t>
        </is>
      </c>
      <c r="B1860" s="1" t="n">
        <v>45363</v>
      </c>
      <c r="C1860" s="1" t="n">
        <v>46191</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31316-2025</t>
        </is>
      </c>
      <c r="B1861" s="1" t="n">
        <v>45833</v>
      </c>
      <c r="C1861" s="1" t="n">
        <v>46191</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20985-2024</t>
        </is>
      </c>
      <c r="B1862" s="1" t="n">
        <v>45439</v>
      </c>
      <c r="C1862" s="1" t="n">
        <v>46191</v>
      </c>
      <c r="D1862" t="inlineStr">
        <is>
          <t>VÄRMLANDS LÄN</t>
        </is>
      </c>
      <c r="E1862" t="inlineStr">
        <is>
          <t>TORSBY</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20393-2023</t>
        </is>
      </c>
      <c r="B1863" s="1" t="n">
        <v>45056</v>
      </c>
      <c r="C1863" s="1" t="n">
        <v>46191</v>
      </c>
      <c r="D1863" t="inlineStr">
        <is>
          <t>VÄRMLANDS LÄN</t>
        </is>
      </c>
      <c r="E1863" t="inlineStr">
        <is>
          <t>TORSBY</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41529-2024</t>
        </is>
      </c>
      <c r="B1864" s="1" t="n">
        <v>45560</v>
      </c>
      <c r="C1864" s="1" t="n">
        <v>46191</v>
      </c>
      <c r="D1864" t="inlineStr">
        <is>
          <t>VÄRMLANDS LÄN</t>
        </is>
      </c>
      <c r="E1864" t="inlineStr">
        <is>
          <t>TORSBY</t>
        </is>
      </c>
      <c r="F1864" t="inlineStr">
        <is>
          <t>Bergvik skog väst AB</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35191-2025</t>
        </is>
      </c>
      <c r="B1865" s="1" t="n">
        <v>45853</v>
      </c>
      <c r="C1865" s="1" t="n">
        <v>46191</v>
      </c>
      <c r="D1865" t="inlineStr">
        <is>
          <t>VÄRMLANDS LÄN</t>
        </is>
      </c>
      <c r="E1865" t="inlineStr">
        <is>
          <t>TORSBY</t>
        </is>
      </c>
      <c r="F1865" t="inlineStr">
        <is>
          <t>Bergvik skog väst AB</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38084-2023</t>
        </is>
      </c>
      <c r="B1866" s="1" t="n">
        <v>45160</v>
      </c>
      <c r="C1866" s="1" t="n">
        <v>46191</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35185-2025</t>
        </is>
      </c>
      <c r="B1867" s="1" t="n">
        <v>45853</v>
      </c>
      <c r="C1867" s="1" t="n">
        <v>46191</v>
      </c>
      <c r="D1867" t="inlineStr">
        <is>
          <t>VÄRMLANDS LÄN</t>
        </is>
      </c>
      <c r="E1867" t="inlineStr">
        <is>
          <t>TORSBY</t>
        </is>
      </c>
      <c r="F1867" t="inlineStr">
        <is>
          <t>Bergvik skog väst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276-2024</t>
        </is>
      </c>
      <c r="B1868" s="1" t="n">
        <v>45295</v>
      </c>
      <c r="C1868" s="1" t="n">
        <v>46191</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17562-2024</t>
        </is>
      </c>
      <c r="B1869" s="1" t="n">
        <v>45415</v>
      </c>
      <c r="C1869" s="1" t="n">
        <v>46191</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28598-2023</t>
        </is>
      </c>
      <c r="B1870" s="1" t="n">
        <v>45103</v>
      </c>
      <c r="C1870" s="1" t="n">
        <v>46191</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35552-2025</t>
        </is>
      </c>
      <c r="B1871" s="1" t="n">
        <v>45856</v>
      </c>
      <c r="C1871" s="1" t="n">
        <v>46191</v>
      </c>
      <c r="D1871" t="inlineStr">
        <is>
          <t>VÄRMLANDS LÄN</t>
        </is>
      </c>
      <c r="E1871" t="inlineStr">
        <is>
          <t>TORSBY</t>
        </is>
      </c>
      <c r="F1871" t="inlineStr">
        <is>
          <t>Bergvik skog väst AB</t>
        </is>
      </c>
      <c r="G1871" t="n">
        <v>12.3</v>
      </c>
      <c r="H1871" t="n">
        <v>0</v>
      </c>
      <c r="I1871" t="n">
        <v>0</v>
      </c>
      <c r="J1871" t="n">
        <v>0</v>
      </c>
      <c r="K1871" t="n">
        <v>0</v>
      </c>
      <c r="L1871" t="n">
        <v>0</v>
      </c>
      <c r="M1871" t="n">
        <v>0</v>
      </c>
      <c r="N1871" t="n">
        <v>0</v>
      </c>
      <c r="O1871" t="n">
        <v>0</v>
      </c>
      <c r="P1871" t="n">
        <v>0</v>
      </c>
      <c r="Q1871" t="n">
        <v>0</v>
      </c>
      <c r="R1871" s="2" t="inlineStr"/>
    </row>
    <row r="1872" ht="15" customHeight="1">
      <c r="A1872" t="inlineStr">
        <is>
          <t>A 35408-2025</t>
        </is>
      </c>
      <c r="B1872" s="1" t="n">
        <v>45855</v>
      </c>
      <c r="C1872" s="1" t="n">
        <v>46191</v>
      </c>
      <c r="D1872" t="inlineStr">
        <is>
          <t>VÄRMLANDS LÄN</t>
        </is>
      </c>
      <c r="E1872" t="inlineStr">
        <is>
          <t>TORSBY</t>
        </is>
      </c>
      <c r="F1872" t="inlineStr">
        <is>
          <t>Bergvik skog väst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14304-2023</t>
        </is>
      </c>
      <c r="B1873" s="1" t="n">
        <v>45011</v>
      </c>
      <c r="C1873" s="1" t="n">
        <v>46191</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46471-2024</t>
        </is>
      </c>
      <c r="B1874" s="1" t="n">
        <v>45582</v>
      </c>
      <c r="C1874" s="1" t="n">
        <v>46191</v>
      </c>
      <c r="D1874" t="inlineStr">
        <is>
          <t>VÄRMLANDS LÄN</t>
        </is>
      </c>
      <c r="E1874" t="inlineStr">
        <is>
          <t>TORSBY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32332-2023</t>
        </is>
      </c>
      <c r="B1875" s="1" t="n">
        <v>45110</v>
      </c>
      <c r="C1875" s="1" t="n">
        <v>46191</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15085-2023</t>
        </is>
      </c>
      <c r="B1876" s="1" t="n">
        <v>45016</v>
      </c>
      <c r="C1876" s="1" t="n">
        <v>46191</v>
      </c>
      <c r="D1876" t="inlineStr">
        <is>
          <t>VÄRMLANDS LÄN</t>
        </is>
      </c>
      <c r="E1876" t="inlineStr">
        <is>
          <t>TORSBY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71679-2021</t>
        </is>
      </c>
      <c r="B1877" s="1" t="n">
        <v>44543</v>
      </c>
      <c r="C1877" s="1" t="n">
        <v>46191</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40470-2023</t>
        </is>
      </c>
      <c r="B1878" s="1" t="n">
        <v>45170</v>
      </c>
      <c r="C1878" s="1" t="n">
        <v>46191</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35855-2025</t>
        </is>
      </c>
      <c r="B1879" s="1" t="n">
        <v>45861</v>
      </c>
      <c r="C1879" s="1" t="n">
        <v>46191</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70785-2021</t>
        </is>
      </c>
      <c r="B1880" s="1" t="n">
        <v>44537</v>
      </c>
      <c r="C1880" s="1" t="n">
        <v>46191</v>
      </c>
      <c r="D1880" t="inlineStr">
        <is>
          <t>VÄRMLANDS LÄN</t>
        </is>
      </c>
      <c r="E1880" t="inlineStr">
        <is>
          <t>TORSBY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30958-2025</t>
        </is>
      </c>
      <c r="B1881" s="1" t="n">
        <v>45832</v>
      </c>
      <c r="C1881" s="1" t="n">
        <v>46191</v>
      </c>
      <c r="D1881" t="inlineStr">
        <is>
          <t>VÄRMLANDS LÄN</t>
        </is>
      </c>
      <c r="E1881" t="inlineStr">
        <is>
          <t>TORSBY</t>
        </is>
      </c>
      <c r="G1881" t="n">
        <v>28.5</v>
      </c>
      <c r="H1881" t="n">
        <v>0</v>
      </c>
      <c r="I1881" t="n">
        <v>0</v>
      </c>
      <c r="J1881" t="n">
        <v>0</v>
      </c>
      <c r="K1881" t="n">
        <v>0</v>
      </c>
      <c r="L1881" t="n">
        <v>0</v>
      </c>
      <c r="M1881" t="n">
        <v>0</v>
      </c>
      <c r="N1881" t="n">
        <v>0</v>
      </c>
      <c r="O1881" t="n">
        <v>0</v>
      </c>
      <c r="P1881" t="n">
        <v>0</v>
      </c>
      <c r="Q1881" t="n">
        <v>0</v>
      </c>
      <c r="R1881" s="2" t="inlineStr"/>
    </row>
    <row r="1882" ht="15" customHeight="1">
      <c r="A1882" t="inlineStr">
        <is>
          <t>A 35980-2025</t>
        </is>
      </c>
      <c r="B1882" s="1" t="n">
        <v>45863</v>
      </c>
      <c r="C1882" s="1" t="n">
        <v>46191</v>
      </c>
      <c r="D1882" t="inlineStr">
        <is>
          <t>VÄRMLANDS LÄN</t>
        </is>
      </c>
      <c r="E1882" t="inlineStr">
        <is>
          <t>TORSBY</t>
        </is>
      </c>
      <c r="F1882" t="inlineStr">
        <is>
          <t>Bergvik skog väst AB</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3678-2024</t>
        </is>
      </c>
      <c r="B1883" s="1" t="n">
        <v>45321</v>
      </c>
      <c r="C1883" s="1" t="n">
        <v>46191</v>
      </c>
      <c r="D1883" t="inlineStr">
        <is>
          <t>VÄRMLANDS LÄN</t>
        </is>
      </c>
      <c r="E1883" t="inlineStr">
        <is>
          <t>TORSBY</t>
        </is>
      </c>
      <c r="G1883" t="n">
        <v>24.6</v>
      </c>
      <c r="H1883" t="n">
        <v>0</v>
      </c>
      <c r="I1883" t="n">
        <v>0</v>
      </c>
      <c r="J1883" t="n">
        <v>0</v>
      </c>
      <c r="K1883" t="n">
        <v>0</v>
      </c>
      <c r="L1883" t="n">
        <v>0</v>
      </c>
      <c r="M1883" t="n">
        <v>0</v>
      </c>
      <c r="N1883" t="n">
        <v>0</v>
      </c>
      <c r="O1883" t="n">
        <v>0</v>
      </c>
      <c r="P1883" t="n">
        <v>0</v>
      </c>
      <c r="Q1883" t="n">
        <v>0</v>
      </c>
      <c r="R1883" s="2" t="inlineStr"/>
    </row>
    <row r="1884" ht="15" customHeight="1">
      <c r="A1884" t="inlineStr">
        <is>
          <t>A 59781-2023</t>
        </is>
      </c>
      <c r="B1884" s="1" t="n">
        <v>45257</v>
      </c>
      <c r="C1884" s="1" t="n">
        <v>46191</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25961-2025</t>
        </is>
      </c>
      <c r="B1885" s="1" t="n">
        <v>45804</v>
      </c>
      <c r="C1885" s="1" t="n">
        <v>46191</v>
      </c>
      <c r="D1885" t="inlineStr">
        <is>
          <t>VÄRMLANDS LÄN</t>
        </is>
      </c>
      <c r="E1885" t="inlineStr">
        <is>
          <t>TORSBY</t>
        </is>
      </c>
      <c r="G1885" t="n">
        <v>17.8</v>
      </c>
      <c r="H1885" t="n">
        <v>0</v>
      </c>
      <c r="I1885" t="n">
        <v>0</v>
      </c>
      <c r="J1885" t="n">
        <v>0</v>
      </c>
      <c r="K1885" t="n">
        <v>0</v>
      </c>
      <c r="L1885" t="n">
        <v>0</v>
      </c>
      <c r="M1885" t="n">
        <v>0</v>
      </c>
      <c r="N1885" t="n">
        <v>0</v>
      </c>
      <c r="O1885" t="n">
        <v>0</v>
      </c>
      <c r="P1885" t="n">
        <v>0</v>
      </c>
      <c r="Q1885" t="n">
        <v>0</v>
      </c>
      <c r="R1885" s="2" t="inlineStr"/>
    </row>
    <row r="1886" ht="15" customHeight="1">
      <c r="A1886" t="inlineStr">
        <is>
          <t>A 6828-2024</t>
        </is>
      </c>
      <c r="B1886" s="1" t="n">
        <v>45342</v>
      </c>
      <c r="C1886" s="1" t="n">
        <v>46191</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20191-2025</t>
        </is>
      </c>
      <c r="B1887" s="1" t="n">
        <v>45772</v>
      </c>
      <c r="C1887" s="1" t="n">
        <v>46191</v>
      </c>
      <c r="D1887" t="inlineStr">
        <is>
          <t>VÄRMLANDS LÄN</t>
        </is>
      </c>
      <c r="E1887" t="inlineStr">
        <is>
          <t>TORSBY</t>
        </is>
      </c>
      <c r="F1887" t="inlineStr">
        <is>
          <t>Bergvik skog väst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63083-2023</t>
        </is>
      </c>
      <c r="B1888" s="1" t="n">
        <v>45273</v>
      </c>
      <c r="C1888" s="1" t="n">
        <v>46191</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36256-2025</t>
        </is>
      </c>
      <c r="B1889" s="1" t="n">
        <v>45867</v>
      </c>
      <c r="C1889" s="1" t="n">
        <v>46191</v>
      </c>
      <c r="D1889" t="inlineStr">
        <is>
          <t>VÄRMLANDS LÄN</t>
        </is>
      </c>
      <c r="E1889" t="inlineStr">
        <is>
          <t>TORSBY</t>
        </is>
      </c>
      <c r="F1889" t="inlineStr">
        <is>
          <t>Bergvik skog väst AB</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36258-2025</t>
        </is>
      </c>
      <c r="B1890" s="1" t="n">
        <v>45867</v>
      </c>
      <c r="C1890" s="1" t="n">
        <v>46191</v>
      </c>
      <c r="D1890" t="inlineStr">
        <is>
          <t>VÄRMLANDS LÄN</t>
        </is>
      </c>
      <c r="E1890" t="inlineStr">
        <is>
          <t>TORSBY</t>
        </is>
      </c>
      <c r="F1890" t="inlineStr">
        <is>
          <t>Bergvik skog väst AB</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36279-2025</t>
        </is>
      </c>
      <c r="B1891" s="1" t="n">
        <v>45867</v>
      </c>
      <c r="C1891" s="1" t="n">
        <v>46191</v>
      </c>
      <c r="D1891" t="inlineStr">
        <is>
          <t>VÄRMLANDS LÄN</t>
        </is>
      </c>
      <c r="E1891" t="inlineStr">
        <is>
          <t>TORSBY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21585-2024</t>
        </is>
      </c>
      <c r="B1892" s="1" t="n">
        <v>45441</v>
      </c>
      <c r="C1892" s="1" t="n">
        <v>46191</v>
      </c>
      <c r="D1892" t="inlineStr">
        <is>
          <t>VÄRMLANDS LÄN</t>
        </is>
      </c>
      <c r="E1892" t="inlineStr">
        <is>
          <t>TORSBY</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30836-2025</t>
        </is>
      </c>
      <c r="B1893" s="1" t="n">
        <v>45831</v>
      </c>
      <c r="C1893" s="1" t="n">
        <v>46191</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58430-2023</t>
        </is>
      </c>
      <c r="B1894" s="1" t="n">
        <v>45250</v>
      </c>
      <c r="C1894" s="1" t="n">
        <v>46191</v>
      </c>
      <c r="D1894" t="inlineStr">
        <is>
          <t>VÄRMLANDS LÄN</t>
        </is>
      </c>
      <c r="E1894" t="inlineStr">
        <is>
          <t>TORSBY</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36548-2025</t>
        </is>
      </c>
      <c r="B1895" s="1" t="n">
        <v>45869</v>
      </c>
      <c r="C1895" s="1" t="n">
        <v>46191</v>
      </c>
      <c r="D1895" t="inlineStr">
        <is>
          <t>VÄRMLANDS LÄN</t>
        </is>
      </c>
      <c r="E1895" t="inlineStr">
        <is>
          <t>TORSBY</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29043-2023</t>
        </is>
      </c>
      <c r="B1896" s="1" t="n">
        <v>45104</v>
      </c>
      <c r="C1896" s="1" t="n">
        <v>46191</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33072-2023</t>
        </is>
      </c>
      <c r="B1897" s="1" t="n">
        <v>45126</v>
      </c>
      <c r="C1897" s="1" t="n">
        <v>46191</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65134-2023</t>
        </is>
      </c>
      <c r="B1898" s="1" t="n">
        <v>45288</v>
      </c>
      <c r="C1898" s="1" t="n">
        <v>46191</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61367-2022</t>
        </is>
      </c>
      <c r="B1899" s="1" t="n">
        <v>44915</v>
      </c>
      <c r="C1899" s="1" t="n">
        <v>46191</v>
      </c>
      <c r="D1899" t="inlineStr">
        <is>
          <t>VÄRMLANDS LÄN</t>
        </is>
      </c>
      <c r="E1899" t="inlineStr">
        <is>
          <t>TORSBY</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36856-2025</t>
        </is>
      </c>
      <c r="B1900" s="1" t="n">
        <v>45874</v>
      </c>
      <c r="C1900" s="1" t="n">
        <v>46191</v>
      </c>
      <c r="D1900" t="inlineStr">
        <is>
          <t>VÄRMLANDS LÄN</t>
        </is>
      </c>
      <c r="E1900" t="inlineStr">
        <is>
          <t>TORSBY</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53396-2024</t>
        </is>
      </c>
      <c r="B1901" s="1" t="n">
        <v>45614</v>
      </c>
      <c r="C1901" s="1" t="n">
        <v>46191</v>
      </c>
      <c r="D1901" t="inlineStr">
        <is>
          <t>VÄRMLANDS LÄN</t>
        </is>
      </c>
      <c r="E1901" t="inlineStr">
        <is>
          <t>TORSBY</t>
        </is>
      </c>
      <c r="F1901" t="inlineStr">
        <is>
          <t>Bergvik skog väst AB</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14917-2023</t>
        </is>
      </c>
      <c r="B1902" s="1" t="n">
        <v>45015</v>
      </c>
      <c r="C1902" s="1" t="n">
        <v>46191</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11242-2024</t>
        </is>
      </c>
      <c r="B1903" s="1" t="n">
        <v>45371</v>
      </c>
      <c r="C1903" s="1" t="n">
        <v>46191</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73521-2021</t>
        </is>
      </c>
      <c r="B1904" s="1" t="n">
        <v>44551</v>
      </c>
      <c r="C1904" s="1" t="n">
        <v>46191</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11776-2024</t>
        </is>
      </c>
      <c r="B1905" s="1" t="n">
        <v>45374</v>
      </c>
      <c r="C1905" s="1" t="n">
        <v>46191</v>
      </c>
      <c r="D1905" t="inlineStr">
        <is>
          <t>VÄRMLANDS LÄN</t>
        </is>
      </c>
      <c r="E1905" t="inlineStr">
        <is>
          <t>TORSBY</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31052-2023</t>
        </is>
      </c>
      <c r="B1906" s="1" t="n">
        <v>45113</v>
      </c>
      <c r="C1906" s="1" t="n">
        <v>46191</v>
      </c>
      <c r="D1906" t="inlineStr">
        <is>
          <t>VÄRMLANDS LÄN</t>
        </is>
      </c>
      <c r="E1906" t="inlineStr">
        <is>
          <t>TORSBY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1512-2025</t>
        </is>
      </c>
      <c r="B1907" s="1" t="n">
        <v>45670</v>
      </c>
      <c r="C1907" s="1" t="n">
        <v>46191</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60133-2023</t>
        </is>
      </c>
      <c r="B1908" s="1" t="n">
        <v>45258</v>
      </c>
      <c r="C1908" s="1" t="n">
        <v>46191</v>
      </c>
      <c r="D1908" t="inlineStr">
        <is>
          <t>VÄRMLANDS LÄN</t>
        </is>
      </c>
      <c r="E1908" t="inlineStr">
        <is>
          <t>TORSBY</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37230-2025</t>
        </is>
      </c>
      <c r="B1909" s="1" t="n">
        <v>45876</v>
      </c>
      <c r="C1909" s="1" t="n">
        <v>46191</v>
      </c>
      <c r="D1909" t="inlineStr">
        <is>
          <t>VÄRMLANDS LÄN</t>
        </is>
      </c>
      <c r="E1909" t="inlineStr">
        <is>
          <t>TORSBY</t>
        </is>
      </c>
      <c r="F1909" t="inlineStr">
        <is>
          <t>Bergvik skog väst AB</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37236-2025</t>
        </is>
      </c>
      <c r="B1910" s="1" t="n">
        <v>45876</v>
      </c>
      <c r="C1910" s="1" t="n">
        <v>46191</v>
      </c>
      <c r="D1910" t="inlineStr">
        <is>
          <t>VÄRMLANDS LÄN</t>
        </is>
      </c>
      <c r="E1910" t="inlineStr">
        <is>
          <t>TORSBY</t>
        </is>
      </c>
      <c r="F1910" t="inlineStr">
        <is>
          <t>Bergvik skog väst AB</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37334-2025</t>
        </is>
      </c>
      <c r="B1911" s="1" t="n">
        <v>45876</v>
      </c>
      <c r="C1911" s="1" t="n">
        <v>46191</v>
      </c>
      <c r="D1911" t="inlineStr">
        <is>
          <t>VÄRMLANDS LÄN</t>
        </is>
      </c>
      <c r="E1911" t="inlineStr">
        <is>
          <t>TORSBY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37339-2025</t>
        </is>
      </c>
      <c r="B1912" s="1" t="n">
        <v>45876</v>
      </c>
      <c r="C1912" s="1" t="n">
        <v>46191</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234-2024</t>
        </is>
      </c>
      <c r="B1913" s="1" t="n">
        <v>45294</v>
      </c>
      <c r="C1913" s="1" t="n">
        <v>46191</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236-2024</t>
        </is>
      </c>
      <c r="B1914" s="1" t="n">
        <v>45294</v>
      </c>
      <c r="C1914" s="1" t="n">
        <v>46191</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37348-2025</t>
        </is>
      </c>
      <c r="B1915" s="1" t="n">
        <v>45876</v>
      </c>
      <c r="C1915" s="1" t="n">
        <v>46191</v>
      </c>
      <c r="D1915" t="inlineStr">
        <is>
          <t>VÄRMLANDS LÄN</t>
        </is>
      </c>
      <c r="E1915" t="inlineStr">
        <is>
          <t>TORSBY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37260-2025</t>
        </is>
      </c>
      <c r="B1916" s="1" t="n">
        <v>45876</v>
      </c>
      <c r="C1916" s="1" t="n">
        <v>46191</v>
      </c>
      <c r="D1916" t="inlineStr">
        <is>
          <t>VÄRMLANDS LÄN</t>
        </is>
      </c>
      <c r="E1916" t="inlineStr">
        <is>
          <t>TORSBY</t>
        </is>
      </c>
      <c r="F1916" t="inlineStr">
        <is>
          <t>Bergvik skog väst AB</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64672-2023</t>
        </is>
      </c>
      <c r="B1917" s="1" t="n">
        <v>45281</v>
      </c>
      <c r="C1917" s="1" t="n">
        <v>46191</v>
      </c>
      <c r="D1917" t="inlineStr">
        <is>
          <t>VÄRMLANDS LÄN</t>
        </is>
      </c>
      <c r="E1917" t="inlineStr">
        <is>
          <t>TORSBY</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3922-2024</t>
        </is>
      </c>
      <c r="B1918" s="1" t="n">
        <v>45322</v>
      </c>
      <c r="C1918" s="1" t="n">
        <v>46191</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50372-2024</t>
        </is>
      </c>
      <c r="B1919" s="1" t="n">
        <v>45601</v>
      </c>
      <c r="C1919" s="1" t="n">
        <v>46191</v>
      </c>
      <c r="D1919" t="inlineStr">
        <is>
          <t>VÄRMLANDS LÄN</t>
        </is>
      </c>
      <c r="E1919" t="inlineStr">
        <is>
          <t>TORSBY</t>
        </is>
      </c>
      <c r="F1919" t="inlineStr">
        <is>
          <t>Övriga Aktiebolag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37566-2025</t>
        </is>
      </c>
      <c r="B1920" s="1" t="n">
        <v>45880</v>
      </c>
      <c r="C1920" s="1" t="n">
        <v>46191</v>
      </c>
      <c r="D1920" t="inlineStr">
        <is>
          <t>VÄRMLANDS LÄN</t>
        </is>
      </c>
      <c r="E1920" t="inlineStr">
        <is>
          <t>TORSBY</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50852-2023</t>
        </is>
      </c>
      <c r="B1921" s="1" t="n">
        <v>45218</v>
      </c>
      <c r="C1921" s="1" t="n">
        <v>46191</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52982-2023</t>
        </is>
      </c>
      <c r="B1922" s="1" t="n">
        <v>45226</v>
      </c>
      <c r="C1922" s="1" t="n">
        <v>46191</v>
      </c>
      <c r="D1922" t="inlineStr">
        <is>
          <t>VÄRMLANDS LÄN</t>
        </is>
      </c>
      <c r="E1922" t="inlineStr">
        <is>
          <t>TORSBY</t>
        </is>
      </c>
      <c r="G1922" t="n">
        <v>35.5</v>
      </c>
      <c r="H1922" t="n">
        <v>0</v>
      </c>
      <c r="I1922" t="n">
        <v>0</v>
      </c>
      <c r="J1922" t="n">
        <v>0</v>
      </c>
      <c r="K1922" t="n">
        <v>0</v>
      </c>
      <c r="L1922" t="n">
        <v>0</v>
      </c>
      <c r="M1922" t="n">
        <v>0</v>
      </c>
      <c r="N1922" t="n">
        <v>0</v>
      </c>
      <c r="O1922" t="n">
        <v>0</v>
      </c>
      <c r="P1922" t="n">
        <v>0</v>
      </c>
      <c r="Q1922" t="n">
        <v>0</v>
      </c>
      <c r="R1922" s="2" t="inlineStr"/>
    </row>
    <row r="1923" ht="15" customHeight="1">
      <c r="A1923" t="inlineStr">
        <is>
          <t>A 11050-2022</t>
        </is>
      </c>
      <c r="B1923" s="1" t="n">
        <v>44628</v>
      </c>
      <c r="C1923" s="1" t="n">
        <v>46191</v>
      </c>
      <c r="D1923" t="inlineStr">
        <is>
          <t>VÄRMLANDS LÄN</t>
        </is>
      </c>
      <c r="E1923" t="inlineStr">
        <is>
          <t>TORSBY</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57216-2023</t>
        </is>
      </c>
      <c r="B1924" s="1" t="n">
        <v>45245</v>
      </c>
      <c r="C1924" s="1" t="n">
        <v>46191</v>
      </c>
      <c r="D1924" t="inlineStr">
        <is>
          <t>VÄRMLANDS LÄN</t>
        </is>
      </c>
      <c r="E1924" t="inlineStr">
        <is>
          <t>TORSBY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41270-2023</t>
        </is>
      </c>
      <c r="B1925" s="1" t="n">
        <v>45174</v>
      </c>
      <c r="C1925" s="1" t="n">
        <v>46191</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61565-2024</t>
        </is>
      </c>
      <c r="B1926" s="1" t="n">
        <v>45646</v>
      </c>
      <c r="C1926" s="1" t="n">
        <v>46191</v>
      </c>
      <c r="D1926" t="inlineStr">
        <is>
          <t>VÄRMLANDS LÄN</t>
        </is>
      </c>
      <c r="E1926" t="inlineStr">
        <is>
          <t>TORSBY</t>
        </is>
      </c>
      <c r="F1926" t="inlineStr">
        <is>
          <t>Bergvik skog väst AB</t>
        </is>
      </c>
      <c r="G1926" t="n">
        <v>14.4</v>
      </c>
      <c r="H1926" t="n">
        <v>0</v>
      </c>
      <c r="I1926" t="n">
        <v>0</v>
      </c>
      <c r="J1926" t="n">
        <v>0</v>
      </c>
      <c r="K1926" t="n">
        <v>0</v>
      </c>
      <c r="L1926" t="n">
        <v>0</v>
      </c>
      <c r="M1926" t="n">
        <v>0</v>
      </c>
      <c r="N1926" t="n">
        <v>0</v>
      </c>
      <c r="O1926" t="n">
        <v>0</v>
      </c>
      <c r="P1926" t="n">
        <v>0</v>
      </c>
      <c r="Q1926" t="n">
        <v>0</v>
      </c>
      <c r="R1926" s="2" t="inlineStr"/>
    </row>
    <row r="1927" ht="15" customHeight="1">
      <c r="A1927" t="inlineStr">
        <is>
          <t>A 22386-2025</t>
        </is>
      </c>
      <c r="B1927" s="1" t="n">
        <v>45786</v>
      </c>
      <c r="C1927" s="1" t="n">
        <v>46191</v>
      </c>
      <c r="D1927" t="inlineStr">
        <is>
          <t>VÄRMLANDS LÄN</t>
        </is>
      </c>
      <c r="E1927" t="inlineStr">
        <is>
          <t>TORSBY</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20898-2023</t>
        </is>
      </c>
      <c r="B1928" s="1" t="n">
        <v>45059</v>
      </c>
      <c r="C1928" s="1" t="n">
        <v>46191</v>
      </c>
      <c r="D1928" t="inlineStr">
        <is>
          <t>VÄRMLANDS LÄN</t>
        </is>
      </c>
      <c r="E1928" t="inlineStr">
        <is>
          <t>TORSBY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34500-2024</t>
        </is>
      </c>
      <c r="B1929" s="1" t="n">
        <v>45525</v>
      </c>
      <c r="C1929" s="1" t="n">
        <v>46191</v>
      </c>
      <c r="D1929" t="inlineStr">
        <is>
          <t>VÄRMLANDS LÄN</t>
        </is>
      </c>
      <c r="E1929" t="inlineStr">
        <is>
          <t>TORSBY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50138-2023</t>
        </is>
      </c>
      <c r="B1930" s="1" t="n">
        <v>45215</v>
      </c>
      <c r="C1930" s="1" t="n">
        <v>46191</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6653-2025</t>
        </is>
      </c>
      <c r="B1931" s="1" t="n">
        <v>45700</v>
      </c>
      <c r="C1931" s="1" t="n">
        <v>46191</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41315-2022</t>
        </is>
      </c>
      <c r="B1932" s="1" t="n">
        <v>44826</v>
      </c>
      <c r="C1932" s="1" t="n">
        <v>46191</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58062-2021</t>
        </is>
      </c>
      <c r="B1933" s="1" t="n">
        <v>44487</v>
      </c>
      <c r="C1933" s="1" t="n">
        <v>46191</v>
      </c>
      <c r="D1933" t="inlineStr">
        <is>
          <t>VÄRMLANDS LÄN</t>
        </is>
      </c>
      <c r="E1933" t="inlineStr">
        <is>
          <t>TORSBY</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54029-2021</t>
        </is>
      </c>
      <c r="B1934" s="1" t="n">
        <v>44470</v>
      </c>
      <c r="C1934" s="1" t="n">
        <v>46191</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15464-2025</t>
        </is>
      </c>
      <c r="B1935" s="1" t="n">
        <v>45747</v>
      </c>
      <c r="C1935" s="1" t="n">
        <v>46191</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59941-2023</t>
        </is>
      </c>
      <c r="B1936" s="1" t="n">
        <v>45257</v>
      </c>
      <c r="C1936" s="1" t="n">
        <v>46191</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7927-2024</t>
        </is>
      </c>
      <c r="B1937" s="1" t="n">
        <v>45350</v>
      </c>
      <c r="C1937" s="1" t="n">
        <v>46191</v>
      </c>
      <c r="D1937" t="inlineStr">
        <is>
          <t>VÄRMLANDS LÄN</t>
        </is>
      </c>
      <c r="E1937" t="inlineStr">
        <is>
          <t>TORSBY</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46191</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52580-2023</t>
        </is>
      </c>
      <c r="B1939" s="1" t="n">
        <v>45225</v>
      </c>
      <c r="C1939" s="1" t="n">
        <v>46191</v>
      </c>
      <c r="D1939" t="inlineStr">
        <is>
          <t>VÄRMLANDS LÄN</t>
        </is>
      </c>
      <c r="E1939" t="inlineStr">
        <is>
          <t>TORSBY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36790-2024</t>
        </is>
      </c>
      <c r="B1940" s="1" t="n">
        <v>45538</v>
      </c>
      <c r="C1940" s="1" t="n">
        <v>46191</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37736-2025</t>
        </is>
      </c>
      <c r="B1941" s="1" t="n">
        <v>45880</v>
      </c>
      <c r="C1941" s="1" t="n">
        <v>46191</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1166-2023</t>
        </is>
      </c>
      <c r="B1942" s="1" t="n">
        <v>44935</v>
      </c>
      <c r="C1942" s="1" t="n">
        <v>46191</v>
      </c>
      <c r="D1942" t="inlineStr">
        <is>
          <t>VÄRMLANDS LÄN</t>
        </is>
      </c>
      <c r="E1942" t="inlineStr">
        <is>
          <t>TORSBY</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36674-2023</t>
        </is>
      </c>
      <c r="B1943" s="1" t="n">
        <v>45153</v>
      </c>
      <c r="C1943" s="1" t="n">
        <v>46191</v>
      </c>
      <c r="D1943" t="inlineStr">
        <is>
          <t>VÄRMLANDS LÄN</t>
        </is>
      </c>
      <c r="E1943" t="inlineStr">
        <is>
          <t>TORSBY</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19675-2023</t>
        </is>
      </c>
      <c r="B1944" s="1" t="n">
        <v>45051</v>
      </c>
      <c r="C1944" s="1" t="n">
        <v>46191</v>
      </c>
      <c r="D1944" t="inlineStr">
        <is>
          <t>VÄRMLANDS LÄN</t>
        </is>
      </c>
      <c r="E1944" t="inlineStr">
        <is>
          <t>TORSBY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27677-2024</t>
        </is>
      </c>
      <c r="B1945" s="1" t="n">
        <v>45475</v>
      </c>
      <c r="C1945" s="1" t="n">
        <v>46191</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27678-2024</t>
        </is>
      </c>
      <c r="B1946" s="1" t="n">
        <v>45475</v>
      </c>
      <c r="C1946" s="1" t="n">
        <v>46191</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45152-2023</t>
        </is>
      </c>
      <c r="B1947" s="1" t="n">
        <v>45191</v>
      </c>
      <c r="C1947" s="1" t="n">
        <v>46191</v>
      </c>
      <c r="D1947" t="inlineStr">
        <is>
          <t>VÄRMLANDS LÄN</t>
        </is>
      </c>
      <c r="E1947" t="inlineStr">
        <is>
          <t>TORSBY</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28005-2024</t>
        </is>
      </c>
      <c r="B1948" s="1" t="n">
        <v>45476</v>
      </c>
      <c r="C1948" s="1" t="n">
        <v>46191</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49840-2024</t>
        </is>
      </c>
      <c r="B1949" s="1" t="n">
        <v>45597</v>
      </c>
      <c r="C1949" s="1" t="n">
        <v>46191</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17879-2024</t>
        </is>
      </c>
      <c r="B1950" s="1" t="n">
        <v>45419</v>
      </c>
      <c r="C1950" s="1" t="n">
        <v>46191</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41322-2022</t>
        </is>
      </c>
      <c r="B1951" s="1" t="n">
        <v>44826</v>
      </c>
      <c r="C1951" s="1" t="n">
        <v>46191</v>
      </c>
      <c r="D1951" t="inlineStr">
        <is>
          <t>VÄRMLANDS LÄN</t>
        </is>
      </c>
      <c r="E1951" t="inlineStr">
        <is>
          <t>TORSBY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13561-2023</t>
        </is>
      </c>
      <c r="B1952" s="1" t="n">
        <v>45006</v>
      </c>
      <c r="C1952" s="1" t="n">
        <v>46191</v>
      </c>
      <c r="D1952" t="inlineStr">
        <is>
          <t>VÄRMLANDS LÄN</t>
        </is>
      </c>
      <c r="E1952" t="inlineStr">
        <is>
          <t>TORSBY</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54033-2021</t>
        </is>
      </c>
      <c r="B1953" s="1" t="n">
        <v>44470</v>
      </c>
      <c r="C1953" s="1" t="n">
        <v>46191</v>
      </c>
      <c r="D1953" t="inlineStr">
        <is>
          <t>VÄRMLANDS LÄN</t>
        </is>
      </c>
      <c r="E1953" t="inlineStr">
        <is>
          <t>TORSBY</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40718-2022</t>
        </is>
      </c>
      <c r="B1954" s="1" t="n">
        <v>44824</v>
      </c>
      <c r="C1954" s="1" t="n">
        <v>46191</v>
      </c>
      <c r="D1954" t="inlineStr">
        <is>
          <t>VÄRMLANDS LÄN</t>
        </is>
      </c>
      <c r="E1954" t="inlineStr">
        <is>
          <t>TORSBY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42701-2022</t>
        </is>
      </c>
      <c r="B1955" s="1" t="n">
        <v>44832</v>
      </c>
      <c r="C1955" s="1" t="n">
        <v>46191</v>
      </c>
      <c r="D1955" t="inlineStr">
        <is>
          <t>VÄRMLANDS LÄN</t>
        </is>
      </c>
      <c r="E1955" t="inlineStr">
        <is>
          <t>TORSBY</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59613-2024</t>
        </is>
      </c>
      <c r="B1956" s="1" t="n">
        <v>45638</v>
      </c>
      <c r="C1956" s="1" t="n">
        <v>46191</v>
      </c>
      <c r="D1956" t="inlineStr">
        <is>
          <t>VÄRMLANDS LÄN</t>
        </is>
      </c>
      <c r="E1956" t="inlineStr">
        <is>
          <t>TORSBY</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5814-2024</t>
        </is>
      </c>
      <c r="B1957" s="1" t="n">
        <v>45335</v>
      </c>
      <c r="C1957" s="1" t="n">
        <v>46191</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37575-2025</t>
        </is>
      </c>
      <c r="B1958" s="1" t="n">
        <v>45880</v>
      </c>
      <c r="C1958" s="1" t="n">
        <v>46191</v>
      </c>
      <c r="D1958" t="inlineStr">
        <is>
          <t>VÄRMLANDS LÄN</t>
        </is>
      </c>
      <c r="E1958" t="inlineStr">
        <is>
          <t>TORSBY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26042-2024</t>
        </is>
      </c>
      <c r="B1959" s="1" t="n">
        <v>45468</v>
      </c>
      <c r="C1959" s="1" t="n">
        <v>46191</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58976-2024</t>
        </is>
      </c>
      <c r="B1960" s="1" t="n">
        <v>45636</v>
      </c>
      <c r="C1960" s="1" t="n">
        <v>46191</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33469-2024</t>
        </is>
      </c>
      <c r="B1961" s="1" t="n">
        <v>45519</v>
      </c>
      <c r="C1961" s="1" t="n">
        <v>46191</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74375-2021</t>
        </is>
      </c>
      <c r="B1962" s="1" t="n">
        <v>44559</v>
      </c>
      <c r="C1962" s="1" t="n">
        <v>46191</v>
      </c>
      <c r="D1962" t="inlineStr">
        <is>
          <t>VÄRMLANDS LÄN</t>
        </is>
      </c>
      <c r="E1962" t="inlineStr">
        <is>
          <t>TORSBY</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66133-2021</t>
        </is>
      </c>
      <c r="B1963" s="1" t="n">
        <v>44517</v>
      </c>
      <c r="C1963" s="1" t="n">
        <v>46191</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16427-2023</t>
        </is>
      </c>
      <c r="B1964" s="1" t="n">
        <v>45022</v>
      </c>
      <c r="C1964" s="1" t="n">
        <v>46191</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33848-2023</t>
        </is>
      </c>
      <c r="B1965" s="1" t="n">
        <v>45133</v>
      </c>
      <c r="C1965" s="1" t="n">
        <v>46191</v>
      </c>
      <c r="D1965" t="inlineStr">
        <is>
          <t>VÄRMLANDS LÄN</t>
        </is>
      </c>
      <c r="E1965" t="inlineStr">
        <is>
          <t>TORSBY</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15413-2023</t>
        </is>
      </c>
      <c r="B1966" s="1" t="n">
        <v>45019</v>
      </c>
      <c r="C1966" s="1" t="n">
        <v>46191</v>
      </c>
      <c r="D1966" t="inlineStr">
        <is>
          <t>VÄRMLANDS LÄN</t>
        </is>
      </c>
      <c r="E1966" t="inlineStr">
        <is>
          <t>TORSBY</t>
        </is>
      </c>
      <c r="G1966" t="n">
        <v>17.1</v>
      </c>
      <c r="H1966" t="n">
        <v>0</v>
      </c>
      <c r="I1966" t="n">
        <v>0</v>
      </c>
      <c r="J1966" t="n">
        <v>0</v>
      </c>
      <c r="K1966" t="n">
        <v>0</v>
      </c>
      <c r="L1966" t="n">
        <v>0</v>
      </c>
      <c r="M1966" t="n">
        <v>0</v>
      </c>
      <c r="N1966" t="n">
        <v>0</v>
      </c>
      <c r="O1966" t="n">
        <v>0</v>
      </c>
      <c r="P1966" t="n">
        <v>0</v>
      </c>
      <c r="Q1966" t="n">
        <v>0</v>
      </c>
      <c r="R1966" s="2" t="inlineStr"/>
    </row>
    <row r="1967" ht="15" customHeight="1">
      <c r="A1967" t="inlineStr">
        <is>
          <t>A 15488-2023</t>
        </is>
      </c>
      <c r="B1967" s="1" t="n">
        <v>45020</v>
      </c>
      <c r="C1967" s="1" t="n">
        <v>46191</v>
      </c>
      <c r="D1967" t="inlineStr">
        <is>
          <t>VÄRMLANDS LÄN</t>
        </is>
      </c>
      <c r="E1967" t="inlineStr">
        <is>
          <t>TORSBY</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11878-2024</t>
        </is>
      </c>
      <c r="B1968" s="1" t="n">
        <v>45376</v>
      </c>
      <c r="C1968" s="1" t="n">
        <v>46191</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c r="A1969" t="inlineStr">
        <is>
          <t>A 23843-2024</t>
        </is>
      </c>
      <c r="B1969" s="1" t="n">
        <v>45455</v>
      </c>
      <c r="C1969" s="1" t="n">
        <v>46191</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2026-06-18T13:19:45Z</dcterms:created>
  <dcterms:modified xmlns:dcterms="http://purl.org/dc/terms/" xmlns:xsi="http://www.w3.org/2001/XMLSchema-instance" xsi:type="dcterms:W3CDTF">2026-06-18T13:19:47Z</dcterms:modified>
</cp:coreProperties>
</file>