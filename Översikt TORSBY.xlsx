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45640</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45640</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45640</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45640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45640</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45640</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45640</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45640</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45640</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45640</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45640</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45640</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45640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45640</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45640</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45640</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45640</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45640</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45640</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45640</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45640</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45640</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45640</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45640</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45640</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45640</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45640</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45640</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45640</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45640</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45640</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45640</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45640</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45640</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45640</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45640</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45640</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45640</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45640</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45640</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45640</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45640</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45640</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45640</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45640</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45640</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45640</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45640</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45640</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45640</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45640</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45640</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45640</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45640</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45640</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45640</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45640</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45640</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45640</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45640</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45640</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45640</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45640</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45640</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45640</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45640</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45640</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45640</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59789-2024</t>
        </is>
      </c>
      <c r="B75" s="1" t="n">
        <v>45639</v>
      </c>
      <c r="C75" s="1" t="n">
        <v>45640</v>
      </c>
      <c r="D75" t="inlineStr">
        <is>
          <t>VÄRMLANDS LÄN</t>
        </is>
      </c>
      <c r="E75" t="inlineStr">
        <is>
          <t>TORSBY</t>
        </is>
      </c>
      <c r="G75" t="n">
        <v>4.8</v>
      </c>
      <c r="H75" t="n">
        <v>0</v>
      </c>
      <c r="I75" t="n">
        <v>0</v>
      </c>
      <c r="J75" t="n">
        <v>3</v>
      </c>
      <c r="K75" t="n">
        <v>0</v>
      </c>
      <c r="L75" t="n">
        <v>0</v>
      </c>
      <c r="M75" t="n">
        <v>0</v>
      </c>
      <c r="N75" t="n">
        <v>0</v>
      </c>
      <c r="O75" t="n">
        <v>3</v>
      </c>
      <c r="P75" t="n">
        <v>0</v>
      </c>
      <c r="Q75" t="n">
        <v>3</v>
      </c>
      <c r="R75" s="2" t="inlineStr">
        <is>
          <t>Garnlav
Vedskivlav
Violettgrå tagellav</t>
        </is>
      </c>
      <c r="S75">
        <f>HYPERLINK("https://klasma.github.io/Logging_1737/artfynd/A 59789-2024 artfynd.xlsx", "A 59789-2024")</f>
        <v/>
      </c>
      <c r="T75">
        <f>HYPERLINK("https://klasma.github.io/Logging_1737/kartor/A 59789-2024 karta.png", "A 59789-2024")</f>
        <v/>
      </c>
      <c r="V75">
        <f>HYPERLINK("https://klasma.github.io/Logging_1737/klagomål/A 59789-2024 FSC-klagomål.docx", "A 59789-2024")</f>
        <v/>
      </c>
      <c r="W75">
        <f>HYPERLINK("https://klasma.github.io/Logging_1737/klagomålsmail/A 59789-2024 FSC-klagomål mail.docx", "A 59789-2024")</f>
        <v/>
      </c>
      <c r="X75">
        <f>HYPERLINK("https://klasma.github.io/Logging_1737/tillsyn/A 59789-2024 tillsynsbegäran.docx", "A 59789-2024")</f>
        <v/>
      </c>
      <c r="Y75">
        <f>HYPERLINK("https://klasma.github.io/Logging_1737/tillsynsmail/A 59789-2024 tillsynsbegäran mail.docx", "A 59789-2024")</f>
        <v/>
      </c>
    </row>
    <row r="76" ht="15" customHeight="1">
      <c r="A76" t="inlineStr">
        <is>
          <t>A 18528-2019</t>
        </is>
      </c>
      <c r="B76" s="1" t="n">
        <v>43559</v>
      </c>
      <c r="C76" s="1" t="n">
        <v>45640</v>
      </c>
      <c r="D76" t="inlineStr">
        <is>
          <t>VÄRMLANDS LÄN</t>
        </is>
      </c>
      <c r="E76" t="inlineStr">
        <is>
          <t>TORSBY</t>
        </is>
      </c>
      <c r="G76" t="n">
        <v>1.9</v>
      </c>
      <c r="H76" t="n">
        <v>0</v>
      </c>
      <c r="I76" t="n">
        <v>1</v>
      </c>
      <c r="J76" t="n">
        <v>1</v>
      </c>
      <c r="K76" t="n">
        <v>0</v>
      </c>
      <c r="L76" t="n">
        <v>0</v>
      </c>
      <c r="M76" t="n">
        <v>0</v>
      </c>
      <c r="N76" t="n">
        <v>0</v>
      </c>
      <c r="O76" t="n">
        <v>1</v>
      </c>
      <c r="P76" t="n">
        <v>0</v>
      </c>
      <c r="Q76" t="n">
        <v>2</v>
      </c>
      <c r="R76" s="2" t="inlineStr">
        <is>
          <t>Lunglav
Kattfotslav</t>
        </is>
      </c>
      <c r="S76">
        <f>HYPERLINK("https://klasma.github.io/Logging_1737/artfynd/A 18528-2019 artfynd.xlsx", "A 18528-2019")</f>
        <v/>
      </c>
      <c r="T76">
        <f>HYPERLINK("https://klasma.github.io/Logging_1737/kartor/A 18528-2019 karta.png", "A 18528-2019")</f>
        <v/>
      </c>
      <c r="V76">
        <f>HYPERLINK("https://klasma.github.io/Logging_1737/klagomål/A 18528-2019 FSC-klagomål.docx", "A 18528-2019")</f>
        <v/>
      </c>
      <c r="W76">
        <f>HYPERLINK("https://klasma.github.io/Logging_1737/klagomålsmail/A 18528-2019 FSC-klagomål mail.docx", "A 18528-2019")</f>
        <v/>
      </c>
      <c r="X76">
        <f>HYPERLINK("https://klasma.github.io/Logging_1737/tillsyn/A 18528-2019 tillsynsbegäran.docx", "A 18528-2019")</f>
        <v/>
      </c>
      <c r="Y76">
        <f>HYPERLINK("https://klasma.github.io/Logging_1737/tillsynsmail/A 18528-2019 tillsynsbegäran mail.docx", "A 18528-2019")</f>
        <v/>
      </c>
    </row>
    <row r="77" ht="15" customHeight="1">
      <c r="A77" t="inlineStr">
        <is>
          <t>A 47423-2019</t>
        </is>
      </c>
      <c r="B77" s="1" t="n">
        <v>43723</v>
      </c>
      <c r="C77" s="1" t="n">
        <v>45640</v>
      </c>
      <c r="D77" t="inlineStr">
        <is>
          <t>VÄRMLANDS LÄN</t>
        </is>
      </c>
      <c r="E77" t="inlineStr">
        <is>
          <t>TORSBY</t>
        </is>
      </c>
      <c r="G77" t="n">
        <v>5.1</v>
      </c>
      <c r="H77" t="n">
        <v>0</v>
      </c>
      <c r="I77" t="n">
        <v>0</v>
      </c>
      <c r="J77" t="n">
        <v>2</v>
      </c>
      <c r="K77" t="n">
        <v>0</v>
      </c>
      <c r="L77" t="n">
        <v>0</v>
      </c>
      <c r="M77" t="n">
        <v>0</v>
      </c>
      <c r="N77" t="n">
        <v>0</v>
      </c>
      <c r="O77" t="n">
        <v>2</v>
      </c>
      <c r="P77" t="n">
        <v>0</v>
      </c>
      <c r="Q77" t="n">
        <v>2</v>
      </c>
      <c r="R77" s="2" t="inlineStr">
        <is>
          <t>Gammelgransskål
Garnlav</t>
        </is>
      </c>
      <c r="S77">
        <f>HYPERLINK("https://klasma.github.io/Logging_1737/artfynd/A 47423-2019 artfynd.xlsx", "A 47423-2019")</f>
        <v/>
      </c>
      <c r="T77">
        <f>HYPERLINK("https://klasma.github.io/Logging_1737/kartor/A 47423-2019 karta.png", "A 47423-2019")</f>
        <v/>
      </c>
      <c r="V77">
        <f>HYPERLINK("https://klasma.github.io/Logging_1737/klagomål/A 47423-2019 FSC-klagomål.docx", "A 47423-2019")</f>
        <v/>
      </c>
      <c r="W77">
        <f>HYPERLINK("https://klasma.github.io/Logging_1737/klagomålsmail/A 47423-2019 FSC-klagomål mail.docx", "A 47423-2019")</f>
        <v/>
      </c>
      <c r="X77">
        <f>HYPERLINK("https://klasma.github.io/Logging_1737/tillsyn/A 47423-2019 tillsynsbegäran.docx", "A 47423-2019")</f>
        <v/>
      </c>
      <c r="Y77">
        <f>HYPERLINK("https://klasma.github.io/Logging_1737/tillsynsmail/A 47423-2019 tillsynsbegäran mail.docx", "A 47423-2019")</f>
        <v/>
      </c>
    </row>
    <row r="78" ht="15" customHeight="1">
      <c r="A78" t="inlineStr">
        <is>
          <t>A 60661-2019</t>
        </is>
      </c>
      <c r="B78" s="1" t="n">
        <v>43781</v>
      </c>
      <c r="C78" s="1" t="n">
        <v>45640</v>
      </c>
      <c r="D78" t="inlineStr">
        <is>
          <t>VÄRMLANDS LÄN</t>
        </is>
      </c>
      <c r="E78" t="inlineStr">
        <is>
          <t>TORSBY</t>
        </is>
      </c>
      <c r="F78" t="inlineStr">
        <is>
          <t>Bergvik skog väst AB</t>
        </is>
      </c>
      <c r="G78" t="n">
        <v>40.4</v>
      </c>
      <c r="H78" t="n">
        <v>2</v>
      </c>
      <c r="I78" t="n">
        <v>0</v>
      </c>
      <c r="J78" t="n">
        <v>2</v>
      </c>
      <c r="K78" t="n">
        <v>0</v>
      </c>
      <c r="L78" t="n">
        <v>0</v>
      </c>
      <c r="M78" t="n">
        <v>0</v>
      </c>
      <c r="N78" t="n">
        <v>0</v>
      </c>
      <c r="O78" t="n">
        <v>2</v>
      </c>
      <c r="P78" t="n">
        <v>0</v>
      </c>
      <c r="Q78" t="n">
        <v>2</v>
      </c>
      <c r="R78" s="2" t="inlineStr">
        <is>
          <t>Kråka
Spillkråka</t>
        </is>
      </c>
      <c r="S78">
        <f>HYPERLINK("https://klasma.github.io/Logging_1737/artfynd/A 60661-2019 artfynd.xlsx", "A 60661-2019")</f>
        <v/>
      </c>
      <c r="T78">
        <f>HYPERLINK("https://klasma.github.io/Logging_1737/kartor/A 60661-2019 karta.png", "A 60661-2019")</f>
        <v/>
      </c>
      <c r="V78">
        <f>HYPERLINK("https://klasma.github.io/Logging_1737/klagomål/A 60661-2019 FSC-klagomål.docx", "A 60661-2019")</f>
        <v/>
      </c>
      <c r="W78">
        <f>HYPERLINK("https://klasma.github.io/Logging_1737/klagomålsmail/A 60661-2019 FSC-klagomål mail.docx", "A 60661-2019")</f>
        <v/>
      </c>
      <c r="X78">
        <f>HYPERLINK("https://klasma.github.io/Logging_1737/tillsyn/A 60661-2019 tillsynsbegäran.docx", "A 60661-2019")</f>
        <v/>
      </c>
      <c r="Y78">
        <f>HYPERLINK("https://klasma.github.io/Logging_1737/tillsynsmail/A 60661-2019 tillsynsbegäran mail.docx", "A 60661-2019")</f>
        <v/>
      </c>
      <c r="Z78">
        <f>HYPERLINK("https://klasma.github.io/Logging_1737/fåglar/A 60661-2019 prioriterade fågelarter.docx", "A 60661-2019")</f>
        <v/>
      </c>
    </row>
    <row r="79" ht="15" customHeight="1">
      <c r="A79" t="inlineStr">
        <is>
          <t>A 53198-2020</t>
        </is>
      </c>
      <c r="B79" s="1" t="n">
        <v>44122</v>
      </c>
      <c r="C79" s="1" t="n">
        <v>45640</v>
      </c>
      <c r="D79" t="inlineStr">
        <is>
          <t>VÄRMLANDS LÄN</t>
        </is>
      </c>
      <c r="E79" t="inlineStr">
        <is>
          <t>TORSBY</t>
        </is>
      </c>
      <c r="G79" t="n">
        <v>6.5</v>
      </c>
      <c r="H79" t="n">
        <v>0</v>
      </c>
      <c r="I79" t="n">
        <v>0</v>
      </c>
      <c r="J79" t="n">
        <v>2</v>
      </c>
      <c r="K79" t="n">
        <v>0</v>
      </c>
      <c r="L79" t="n">
        <v>0</v>
      </c>
      <c r="M79" t="n">
        <v>0</v>
      </c>
      <c r="N79" t="n">
        <v>0</v>
      </c>
      <c r="O79" t="n">
        <v>2</v>
      </c>
      <c r="P79" t="n">
        <v>0</v>
      </c>
      <c r="Q79" t="n">
        <v>2</v>
      </c>
      <c r="R79" s="2" t="inlineStr">
        <is>
          <t>Garnlav
Kolflarnlav</t>
        </is>
      </c>
      <c r="S79">
        <f>HYPERLINK("https://klasma.github.io/Logging_1737/artfynd/A 53198-2020 artfynd.xlsx", "A 53198-2020")</f>
        <v/>
      </c>
      <c r="T79">
        <f>HYPERLINK("https://klasma.github.io/Logging_1737/kartor/A 53198-2020 karta.png", "A 53198-2020")</f>
        <v/>
      </c>
      <c r="V79">
        <f>HYPERLINK("https://klasma.github.io/Logging_1737/klagomål/A 53198-2020 FSC-klagomål.docx", "A 53198-2020")</f>
        <v/>
      </c>
      <c r="W79">
        <f>HYPERLINK("https://klasma.github.io/Logging_1737/klagomålsmail/A 53198-2020 FSC-klagomål mail.docx", "A 53198-2020")</f>
        <v/>
      </c>
      <c r="X79">
        <f>HYPERLINK("https://klasma.github.io/Logging_1737/tillsyn/A 53198-2020 tillsynsbegäran.docx", "A 53198-2020")</f>
        <v/>
      </c>
      <c r="Y79">
        <f>HYPERLINK("https://klasma.github.io/Logging_1737/tillsynsmail/A 53198-2020 tillsynsbegäran mail.docx", "A 53198-2020")</f>
        <v/>
      </c>
    </row>
    <row r="80" ht="15" customHeight="1">
      <c r="A80" t="inlineStr">
        <is>
          <t>A 1524-2021</t>
        </is>
      </c>
      <c r="B80" s="1" t="n">
        <v>44209</v>
      </c>
      <c r="C80" s="1" t="n">
        <v>45640</v>
      </c>
      <c r="D80" t="inlineStr">
        <is>
          <t>VÄRMLANDS LÄN</t>
        </is>
      </c>
      <c r="E80" t="inlineStr">
        <is>
          <t>TORSBY</t>
        </is>
      </c>
      <c r="G80" t="n">
        <v>1</v>
      </c>
      <c r="H80" t="n">
        <v>0</v>
      </c>
      <c r="I80" t="n">
        <v>2</v>
      </c>
      <c r="J80" t="n">
        <v>0</v>
      </c>
      <c r="K80" t="n">
        <v>0</v>
      </c>
      <c r="L80" t="n">
        <v>0</v>
      </c>
      <c r="M80" t="n">
        <v>0</v>
      </c>
      <c r="N80" t="n">
        <v>0</v>
      </c>
      <c r="O80" t="n">
        <v>0</v>
      </c>
      <c r="P80" t="n">
        <v>0</v>
      </c>
      <c r="Q80" t="n">
        <v>2</v>
      </c>
      <c r="R80" s="2" t="inlineStr">
        <is>
          <t>Dropptaggsvamp
Skarp dropptaggsvamp</t>
        </is>
      </c>
      <c r="S80">
        <f>HYPERLINK("https://klasma.github.io/Logging_1737/artfynd/A 1524-2021 artfynd.xlsx", "A 1524-2021")</f>
        <v/>
      </c>
      <c r="T80">
        <f>HYPERLINK("https://klasma.github.io/Logging_1737/kartor/A 1524-2021 karta.png", "A 1524-2021")</f>
        <v/>
      </c>
      <c r="V80">
        <f>HYPERLINK("https://klasma.github.io/Logging_1737/klagomål/A 1524-2021 FSC-klagomål.docx", "A 1524-2021")</f>
        <v/>
      </c>
      <c r="W80">
        <f>HYPERLINK("https://klasma.github.io/Logging_1737/klagomålsmail/A 1524-2021 FSC-klagomål mail.docx", "A 1524-2021")</f>
        <v/>
      </c>
      <c r="X80">
        <f>HYPERLINK("https://klasma.github.io/Logging_1737/tillsyn/A 1524-2021 tillsynsbegäran.docx", "A 1524-2021")</f>
        <v/>
      </c>
      <c r="Y80">
        <f>HYPERLINK("https://klasma.github.io/Logging_1737/tillsynsmail/A 1524-2021 tillsynsbegäran mail.docx", "A 1524-2021")</f>
        <v/>
      </c>
    </row>
    <row r="81" ht="15" customHeight="1">
      <c r="A81" t="inlineStr">
        <is>
          <t>A 43023-2021</t>
        </is>
      </c>
      <c r="B81" s="1" t="n">
        <v>44431</v>
      </c>
      <c r="C81" s="1" t="n">
        <v>45640</v>
      </c>
      <c r="D81" t="inlineStr">
        <is>
          <t>VÄRMLANDS LÄN</t>
        </is>
      </c>
      <c r="E81" t="inlineStr">
        <is>
          <t>TORSBY</t>
        </is>
      </c>
      <c r="G81" t="n">
        <v>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43023-2021 artfynd.xlsx", "A 43023-2021")</f>
        <v/>
      </c>
      <c r="T81">
        <f>HYPERLINK("https://klasma.github.io/Logging_1737/kartor/A 43023-2021 karta.png", "A 43023-2021")</f>
        <v/>
      </c>
      <c r="V81">
        <f>HYPERLINK("https://klasma.github.io/Logging_1737/klagomål/A 43023-2021 FSC-klagomål.docx", "A 43023-2021")</f>
        <v/>
      </c>
      <c r="W81">
        <f>HYPERLINK("https://klasma.github.io/Logging_1737/klagomålsmail/A 43023-2021 FSC-klagomål mail.docx", "A 43023-2021")</f>
        <v/>
      </c>
      <c r="X81">
        <f>HYPERLINK("https://klasma.github.io/Logging_1737/tillsyn/A 43023-2021 tillsynsbegäran.docx", "A 43023-2021")</f>
        <v/>
      </c>
      <c r="Y81">
        <f>HYPERLINK("https://klasma.github.io/Logging_1737/tillsynsmail/A 43023-2021 tillsynsbegäran mail.docx", "A 43023-2021")</f>
        <v/>
      </c>
    </row>
    <row r="82" ht="15" customHeight="1">
      <c r="A82" t="inlineStr">
        <is>
          <t>A 12375-2022</t>
        </is>
      </c>
      <c r="B82" s="1" t="n">
        <v>44637</v>
      </c>
      <c r="C82" s="1" t="n">
        <v>45640</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12372-2022</t>
        </is>
      </c>
      <c r="B83" s="1" t="n">
        <v>44637</v>
      </c>
      <c r="C83" s="1" t="n">
        <v>45640</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22174-2022</t>
        </is>
      </c>
      <c r="B84" s="1" t="n">
        <v>44712</v>
      </c>
      <c r="C84" s="1" t="n">
        <v>45640</v>
      </c>
      <c r="D84" t="inlineStr">
        <is>
          <t>VÄRMLANDS LÄN</t>
        </is>
      </c>
      <c r="E84" t="inlineStr">
        <is>
          <t>TORSBY</t>
        </is>
      </c>
      <c r="G84" t="n">
        <v>11</v>
      </c>
      <c r="H84" t="n">
        <v>1</v>
      </c>
      <c r="I84" t="n">
        <v>1</v>
      </c>
      <c r="J84" t="n">
        <v>0</v>
      </c>
      <c r="K84" t="n">
        <v>0</v>
      </c>
      <c r="L84" t="n">
        <v>0</v>
      </c>
      <c r="M84" t="n">
        <v>0</v>
      </c>
      <c r="N84" t="n">
        <v>0</v>
      </c>
      <c r="O84" t="n">
        <v>0</v>
      </c>
      <c r="P84" t="n">
        <v>0</v>
      </c>
      <c r="Q84" t="n">
        <v>2</v>
      </c>
      <c r="R84" s="2" t="inlineStr">
        <is>
          <t>Svart trolldruva
Revlummer</t>
        </is>
      </c>
      <c r="S84">
        <f>HYPERLINK("https://klasma.github.io/Logging_1737/artfynd/A 22174-2022 artfynd.xlsx", "A 22174-2022")</f>
        <v/>
      </c>
      <c r="T84">
        <f>HYPERLINK("https://klasma.github.io/Logging_1737/kartor/A 22174-2022 karta.png", "A 22174-2022")</f>
        <v/>
      </c>
      <c r="V84">
        <f>HYPERLINK("https://klasma.github.io/Logging_1737/klagomål/A 22174-2022 FSC-klagomål.docx", "A 22174-2022")</f>
        <v/>
      </c>
      <c r="W84">
        <f>HYPERLINK("https://klasma.github.io/Logging_1737/klagomålsmail/A 22174-2022 FSC-klagomål mail.docx", "A 22174-2022")</f>
        <v/>
      </c>
      <c r="X84">
        <f>HYPERLINK("https://klasma.github.io/Logging_1737/tillsyn/A 22174-2022 tillsynsbegäran.docx", "A 22174-2022")</f>
        <v/>
      </c>
      <c r="Y84">
        <f>HYPERLINK("https://klasma.github.io/Logging_1737/tillsynsmail/A 22174-2022 tillsynsbegäran mail.docx", "A 22174-2022")</f>
        <v/>
      </c>
    </row>
    <row r="85" ht="15" customHeight="1">
      <c r="A85" t="inlineStr">
        <is>
          <t>A 28156-2022</t>
        </is>
      </c>
      <c r="B85" s="1" t="n">
        <v>44746</v>
      </c>
      <c r="C85" s="1" t="n">
        <v>45640</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34930-2022</t>
        </is>
      </c>
      <c r="B86" s="1" t="n">
        <v>44796</v>
      </c>
      <c r="C86" s="1" t="n">
        <v>45640</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2000-2023</t>
        </is>
      </c>
      <c r="B87" s="1" t="n">
        <v>44939</v>
      </c>
      <c r="C87" s="1" t="n">
        <v>45640</v>
      </c>
      <c r="D87" t="inlineStr">
        <is>
          <t>VÄRMLANDS LÄN</t>
        </is>
      </c>
      <c r="E87" t="inlineStr">
        <is>
          <t>TORSBY</t>
        </is>
      </c>
      <c r="G87" t="n">
        <v>3.2</v>
      </c>
      <c r="H87" t="n">
        <v>2</v>
      </c>
      <c r="I87" t="n">
        <v>1</v>
      </c>
      <c r="J87" t="n">
        <v>0</v>
      </c>
      <c r="K87" t="n">
        <v>0</v>
      </c>
      <c r="L87" t="n">
        <v>0</v>
      </c>
      <c r="M87" t="n">
        <v>0</v>
      </c>
      <c r="N87" t="n">
        <v>0</v>
      </c>
      <c r="O87" t="n">
        <v>0</v>
      </c>
      <c r="P87" t="n">
        <v>0</v>
      </c>
      <c r="Q87" t="n">
        <v>2</v>
      </c>
      <c r="R87" s="2" t="inlineStr">
        <is>
          <t>Spindelblomster
Mattlummer</t>
        </is>
      </c>
      <c r="S87">
        <f>HYPERLINK("https://klasma.github.io/Logging_1737/artfynd/A 2000-2023 artfynd.xlsx", "A 2000-2023")</f>
        <v/>
      </c>
      <c r="T87">
        <f>HYPERLINK("https://klasma.github.io/Logging_1737/kartor/A 2000-2023 karta.png", "A 2000-2023")</f>
        <v/>
      </c>
      <c r="V87">
        <f>HYPERLINK("https://klasma.github.io/Logging_1737/klagomål/A 2000-2023 FSC-klagomål.docx", "A 2000-2023")</f>
        <v/>
      </c>
      <c r="W87">
        <f>HYPERLINK("https://klasma.github.io/Logging_1737/klagomålsmail/A 2000-2023 FSC-klagomål mail.docx", "A 2000-2023")</f>
        <v/>
      </c>
      <c r="X87">
        <f>HYPERLINK("https://klasma.github.io/Logging_1737/tillsyn/A 2000-2023 tillsynsbegäran.docx", "A 2000-2023")</f>
        <v/>
      </c>
      <c r="Y87">
        <f>HYPERLINK("https://klasma.github.io/Logging_1737/tillsynsmail/A 2000-2023 tillsynsbegäran mail.docx", "A 2000-2023")</f>
        <v/>
      </c>
    </row>
    <row r="88" ht="15" customHeight="1">
      <c r="A88" t="inlineStr">
        <is>
          <t>A 4718-2023</t>
        </is>
      </c>
      <c r="B88" s="1" t="n">
        <v>44957</v>
      </c>
      <c r="C88" s="1" t="n">
        <v>45640</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13364-2023</t>
        </is>
      </c>
      <c r="B89" s="1" t="n">
        <v>45005</v>
      </c>
      <c r="C89" s="1" t="n">
        <v>45640</v>
      </c>
      <c r="D89" t="inlineStr">
        <is>
          <t>VÄRMLANDS LÄN</t>
        </is>
      </c>
      <c r="E89" t="inlineStr">
        <is>
          <t>TORSBY</t>
        </is>
      </c>
      <c r="G89" t="n">
        <v>16.3</v>
      </c>
      <c r="H89" t="n">
        <v>0</v>
      </c>
      <c r="I89" t="n">
        <v>1</v>
      </c>
      <c r="J89" t="n">
        <v>1</v>
      </c>
      <c r="K89" t="n">
        <v>0</v>
      </c>
      <c r="L89" t="n">
        <v>0</v>
      </c>
      <c r="M89" t="n">
        <v>0</v>
      </c>
      <c r="N89" t="n">
        <v>0</v>
      </c>
      <c r="O89" t="n">
        <v>1</v>
      </c>
      <c r="P89" t="n">
        <v>0</v>
      </c>
      <c r="Q89" t="n">
        <v>2</v>
      </c>
      <c r="R89" s="2" t="inlineStr">
        <is>
          <t>Mörk kolflarnlav
Dropptaggsvamp</t>
        </is>
      </c>
      <c r="S89">
        <f>HYPERLINK("https://klasma.github.io/Logging_1737/artfynd/A 13364-2023 artfynd.xlsx", "A 13364-2023")</f>
        <v/>
      </c>
      <c r="T89">
        <f>HYPERLINK("https://klasma.github.io/Logging_1737/kartor/A 13364-2023 karta.png", "A 13364-2023")</f>
        <v/>
      </c>
      <c r="V89">
        <f>HYPERLINK("https://klasma.github.io/Logging_1737/klagomål/A 13364-2023 FSC-klagomål.docx", "A 13364-2023")</f>
        <v/>
      </c>
      <c r="W89">
        <f>HYPERLINK("https://klasma.github.io/Logging_1737/klagomålsmail/A 13364-2023 FSC-klagomål mail.docx", "A 13364-2023")</f>
        <v/>
      </c>
      <c r="X89">
        <f>HYPERLINK("https://klasma.github.io/Logging_1737/tillsyn/A 13364-2023 tillsynsbegäran.docx", "A 13364-2023")</f>
        <v/>
      </c>
      <c r="Y89">
        <f>HYPERLINK("https://klasma.github.io/Logging_1737/tillsynsmail/A 13364-2023 tillsynsbegäran mail.docx", "A 13364-2023")</f>
        <v/>
      </c>
    </row>
    <row r="90" ht="15" customHeight="1">
      <c r="A90" t="inlineStr">
        <is>
          <t>A 16414-2023</t>
        </is>
      </c>
      <c r="B90" s="1" t="n">
        <v>45022</v>
      </c>
      <c r="C90" s="1" t="n">
        <v>45640</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16442-2023</t>
        </is>
      </c>
      <c r="B91" s="1" t="n">
        <v>45026</v>
      </c>
      <c r="C91" s="1" t="n">
        <v>45640</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42610-2023</t>
        </is>
      </c>
      <c r="B92" s="1" t="n">
        <v>45181</v>
      </c>
      <c r="C92" s="1" t="n">
        <v>45640</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46008-2023</t>
        </is>
      </c>
      <c r="B93" s="1" t="n">
        <v>45196</v>
      </c>
      <c r="C93" s="1" t="n">
        <v>45640</v>
      </c>
      <c r="D93" t="inlineStr">
        <is>
          <t>VÄRMLANDS LÄN</t>
        </is>
      </c>
      <c r="E93" t="inlineStr">
        <is>
          <t>TORSBY</t>
        </is>
      </c>
      <c r="G93" t="n">
        <v>15.4</v>
      </c>
      <c r="H93" t="n">
        <v>0</v>
      </c>
      <c r="I93" t="n">
        <v>0</v>
      </c>
      <c r="J93" t="n">
        <v>2</v>
      </c>
      <c r="K93" t="n">
        <v>0</v>
      </c>
      <c r="L93" t="n">
        <v>0</v>
      </c>
      <c r="M93" t="n">
        <v>0</v>
      </c>
      <c r="N93" t="n">
        <v>0</v>
      </c>
      <c r="O93" t="n">
        <v>2</v>
      </c>
      <c r="P93" t="n">
        <v>0</v>
      </c>
      <c r="Q93" t="n">
        <v>2</v>
      </c>
      <c r="R93" s="2" t="inlineStr">
        <is>
          <t>Dvärgbägarlav
Garnlav</t>
        </is>
      </c>
      <c r="S93">
        <f>HYPERLINK("https://klasma.github.io/Logging_1737/artfynd/A 46008-2023 artfynd.xlsx", "A 46008-2023")</f>
        <v/>
      </c>
      <c r="T93">
        <f>HYPERLINK("https://klasma.github.io/Logging_1737/kartor/A 46008-2023 karta.png", "A 46008-2023")</f>
        <v/>
      </c>
      <c r="V93">
        <f>HYPERLINK("https://klasma.github.io/Logging_1737/klagomål/A 46008-2023 FSC-klagomål.docx", "A 46008-2023")</f>
        <v/>
      </c>
      <c r="W93">
        <f>HYPERLINK("https://klasma.github.io/Logging_1737/klagomålsmail/A 46008-2023 FSC-klagomål mail.docx", "A 46008-2023")</f>
        <v/>
      </c>
      <c r="X93">
        <f>HYPERLINK("https://klasma.github.io/Logging_1737/tillsyn/A 46008-2023 tillsynsbegäran.docx", "A 46008-2023")</f>
        <v/>
      </c>
      <c r="Y93">
        <f>HYPERLINK("https://klasma.github.io/Logging_1737/tillsynsmail/A 46008-2023 tillsynsbegäran mail.docx", "A 46008-2023")</f>
        <v/>
      </c>
    </row>
    <row r="94" ht="15" customHeight="1">
      <c r="A94" t="inlineStr">
        <is>
          <t>A 48292-2023</t>
        </is>
      </c>
      <c r="B94" s="1" t="n">
        <v>45205</v>
      </c>
      <c r="C94" s="1" t="n">
        <v>45640</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62955-2023</t>
        </is>
      </c>
      <c r="B95" s="1" t="n">
        <v>45271</v>
      </c>
      <c r="C95" s="1" t="n">
        <v>45640</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4068-2024</t>
        </is>
      </c>
      <c r="B96" s="1" t="n">
        <v>45323</v>
      </c>
      <c r="C96" s="1" t="n">
        <v>45640</v>
      </c>
      <c r="D96" t="inlineStr">
        <is>
          <t>VÄRMLANDS LÄN</t>
        </is>
      </c>
      <c r="E96" t="inlineStr">
        <is>
          <t>TORSBY</t>
        </is>
      </c>
      <c r="G96" t="n">
        <v>2.9</v>
      </c>
      <c r="H96" t="n">
        <v>1</v>
      </c>
      <c r="I96" t="n">
        <v>2</v>
      </c>
      <c r="J96" t="n">
        <v>0</v>
      </c>
      <c r="K96" t="n">
        <v>0</v>
      </c>
      <c r="L96" t="n">
        <v>0</v>
      </c>
      <c r="M96" t="n">
        <v>0</v>
      </c>
      <c r="N96" t="n">
        <v>0</v>
      </c>
      <c r="O96" t="n">
        <v>0</v>
      </c>
      <c r="P96" t="n">
        <v>0</v>
      </c>
      <c r="Q96" t="n">
        <v>2</v>
      </c>
      <c r="R96" s="2" t="inlineStr">
        <is>
          <t>Korallrot
Springkorn</t>
        </is>
      </c>
      <c r="S96">
        <f>HYPERLINK("https://klasma.github.io/Logging_1737/artfynd/A 4068-2024 artfynd.xlsx", "A 4068-2024")</f>
        <v/>
      </c>
      <c r="T96">
        <f>HYPERLINK("https://klasma.github.io/Logging_1737/kartor/A 4068-2024 karta.png", "A 4068-2024")</f>
        <v/>
      </c>
      <c r="V96">
        <f>HYPERLINK("https://klasma.github.io/Logging_1737/klagomål/A 4068-2024 FSC-klagomål.docx", "A 4068-2024")</f>
        <v/>
      </c>
      <c r="W96">
        <f>HYPERLINK("https://klasma.github.io/Logging_1737/klagomålsmail/A 4068-2024 FSC-klagomål mail.docx", "A 4068-2024")</f>
        <v/>
      </c>
      <c r="X96">
        <f>HYPERLINK("https://klasma.github.io/Logging_1737/tillsyn/A 4068-2024 tillsynsbegäran.docx", "A 4068-2024")</f>
        <v/>
      </c>
      <c r="Y96">
        <f>HYPERLINK("https://klasma.github.io/Logging_1737/tillsynsmail/A 4068-2024 tillsynsbegäran mail.docx", "A 4068-2024")</f>
        <v/>
      </c>
    </row>
    <row r="97" ht="15" customHeight="1">
      <c r="A97" t="inlineStr">
        <is>
          <t>A 23091-2024</t>
        </is>
      </c>
      <c r="B97" s="1" t="n">
        <v>45450</v>
      </c>
      <c r="C97" s="1" t="n">
        <v>45640</v>
      </c>
      <c r="D97" t="inlineStr">
        <is>
          <t>VÄRMLANDS LÄN</t>
        </is>
      </c>
      <c r="E97" t="inlineStr">
        <is>
          <t>TORSBY</t>
        </is>
      </c>
      <c r="F97" t="inlineStr">
        <is>
          <t>Bergvik skog väst AB</t>
        </is>
      </c>
      <c r="G97" t="n">
        <v>14.3</v>
      </c>
      <c r="H97" t="n">
        <v>0</v>
      </c>
      <c r="I97" t="n">
        <v>1</v>
      </c>
      <c r="J97" t="n">
        <v>1</v>
      </c>
      <c r="K97" t="n">
        <v>0</v>
      </c>
      <c r="L97" t="n">
        <v>0</v>
      </c>
      <c r="M97" t="n">
        <v>0</v>
      </c>
      <c r="N97" t="n">
        <v>0</v>
      </c>
      <c r="O97" t="n">
        <v>1</v>
      </c>
      <c r="P97" t="n">
        <v>0</v>
      </c>
      <c r="Q97" t="n">
        <v>2</v>
      </c>
      <c r="R97" s="2" t="inlineStr">
        <is>
          <t>Vedskivlav
Kambräken</t>
        </is>
      </c>
      <c r="S97">
        <f>HYPERLINK("https://klasma.github.io/Logging_1737/artfynd/A 23091-2024 artfynd.xlsx", "A 23091-2024")</f>
        <v/>
      </c>
      <c r="T97">
        <f>HYPERLINK("https://klasma.github.io/Logging_1737/kartor/A 23091-2024 karta.png", "A 23091-2024")</f>
        <v/>
      </c>
      <c r="V97">
        <f>HYPERLINK("https://klasma.github.io/Logging_1737/klagomål/A 23091-2024 FSC-klagomål.docx", "A 23091-2024")</f>
        <v/>
      </c>
      <c r="W97">
        <f>HYPERLINK("https://klasma.github.io/Logging_1737/klagomålsmail/A 23091-2024 FSC-klagomål mail.docx", "A 23091-2024")</f>
        <v/>
      </c>
      <c r="X97">
        <f>HYPERLINK("https://klasma.github.io/Logging_1737/tillsyn/A 23091-2024 tillsynsbegäran.docx", "A 23091-2024")</f>
        <v/>
      </c>
      <c r="Y97">
        <f>HYPERLINK("https://klasma.github.io/Logging_1737/tillsynsmail/A 23091-2024 tillsynsbegäran mail.docx", "A 23091-2024")</f>
        <v/>
      </c>
    </row>
    <row r="98" ht="15" customHeight="1">
      <c r="A98" t="inlineStr">
        <is>
          <t>A 34491-2024</t>
        </is>
      </c>
      <c r="B98" s="1" t="n">
        <v>45525</v>
      </c>
      <c r="C98" s="1" t="n">
        <v>45640</v>
      </c>
      <c r="D98" t="inlineStr">
        <is>
          <t>VÄRMLANDS LÄN</t>
        </is>
      </c>
      <c r="E98" t="inlineStr">
        <is>
          <t>TORSBY</t>
        </is>
      </c>
      <c r="G98" t="n">
        <v>3.1</v>
      </c>
      <c r="H98" t="n">
        <v>0</v>
      </c>
      <c r="I98" t="n">
        <v>0</v>
      </c>
      <c r="J98" t="n">
        <v>2</v>
      </c>
      <c r="K98" t="n">
        <v>0</v>
      </c>
      <c r="L98" t="n">
        <v>0</v>
      </c>
      <c r="M98" t="n">
        <v>0</v>
      </c>
      <c r="N98" t="n">
        <v>0</v>
      </c>
      <c r="O98" t="n">
        <v>2</v>
      </c>
      <c r="P98" t="n">
        <v>0</v>
      </c>
      <c r="Q98" t="n">
        <v>2</v>
      </c>
      <c r="R98" s="2" t="inlineStr">
        <is>
          <t>Garnlav
Vedskivlav</t>
        </is>
      </c>
      <c r="S98">
        <f>HYPERLINK("https://klasma.github.io/Logging_1737/artfynd/A 34491-2024 artfynd.xlsx", "A 34491-2024")</f>
        <v/>
      </c>
      <c r="T98">
        <f>HYPERLINK("https://klasma.github.io/Logging_1737/kartor/A 34491-2024 karta.png", "A 34491-2024")</f>
        <v/>
      </c>
      <c r="V98">
        <f>HYPERLINK("https://klasma.github.io/Logging_1737/klagomål/A 34491-2024 FSC-klagomål.docx", "A 34491-2024")</f>
        <v/>
      </c>
      <c r="W98">
        <f>HYPERLINK("https://klasma.github.io/Logging_1737/klagomålsmail/A 34491-2024 FSC-klagomål mail.docx", "A 34491-2024")</f>
        <v/>
      </c>
      <c r="X98">
        <f>HYPERLINK("https://klasma.github.io/Logging_1737/tillsyn/A 34491-2024 tillsynsbegäran.docx", "A 34491-2024")</f>
        <v/>
      </c>
      <c r="Y98">
        <f>HYPERLINK("https://klasma.github.io/Logging_1737/tillsynsmail/A 34491-2024 tillsynsbegäran mail.docx", "A 34491-2024")</f>
        <v/>
      </c>
    </row>
    <row r="99" ht="15" customHeight="1">
      <c r="A99" t="inlineStr">
        <is>
          <t>A 37351-2024</t>
        </is>
      </c>
      <c r="B99" s="1" t="n">
        <v>45540</v>
      </c>
      <c r="C99" s="1" t="n">
        <v>45640</v>
      </c>
      <c r="D99" t="inlineStr">
        <is>
          <t>VÄRMLANDS LÄN</t>
        </is>
      </c>
      <c r="E99" t="inlineStr">
        <is>
          <t>TORSBY</t>
        </is>
      </c>
      <c r="F99" t="inlineStr">
        <is>
          <t>Bergvik skog väst AB</t>
        </is>
      </c>
      <c r="G99" t="n">
        <v>22.7</v>
      </c>
      <c r="H99" t="n">
        <v>1</v>
      </c>
      <c r="I99" t="n">
        <v>0</v>
      </c>
      <c r="J99" t="n">
        <v>2</v>
      </c>
      <c r="K99" t="n">
        <v>0</v>
      </c>
      <c r="L99" t="n">
        <v>0</v>
      </c>
      <c r="M99" t="n">
        <v>0</v>
      </c>
      <c r="N99" t="n">
        <v>0</v>
      </c>
      <c r="O99" t="n">
        <v>2</v>
      </c>
      <c r="P99" t="n">
        <v>0</v>
      </c>
      <c r="Q99" t="n">
        <v>2</v>
      </c>
      <c r="R99" s="2" t="inlineStr">
        <is>
          <t>Motaggsvamp
Talltita</t>
        </is>
      </c>
      <c r="S99">
        <f>HYPERLINK("https://klasma.github.io/Logging_1737/artfynd/A 37351-2024 artfynd.xlsx", "A 37351-2024")</f>
        <v/>
      </c>
      <c r="T99">
        <f>HYPERLINK("https://klasma.github.io/Logging_1737/kartor/A 37351-2024 karta.png", "A 37351-2024")</f>
        <v/>
      </c>
      <c r="V99">
        <f>HYPERLINK("https://klasma.github.io/Logging_1737/klagomål/A 37351-2024 FSC-klagomål.docx", "A 37351-2024")</f>
        <v/>
      </c>
      <c r="W99">
        <f>HYPERLINK("https://klasma.github.io/Logging_1737/klagomålsmail/A 37351-2024 FSC-klagomål mail.docx", "A 37351-2024")</f>
        <v/>
      </c>
      <c r="X99">
        <f>HYPERLINK("https://klasma.github.io/Logging_1737/tillsyn/A 37351-2024 tillsynsbegäran.docx", "A 37351-2024")</f>
        <v/>
      </c>
      <c r="Y99">
        <f>HYPERLINK("https://klasma.github.io/Logging_1737/tillsynsmail/A 37351-2024 tillsynsbegäran mail.docx", "A 37351-2024")</f>
        <v/>
      </c>
      <c r="Z99">
        <f>HYPERLINK("https://klasma.github.io/Logging_1737/fåglar/A 37351-2024 prioriterade fågelarter.docx", "A 37351-2024")</f>
        <v/>
      </c>
    </row>
    <row r="100" ht="15" customHeight="1">
      <c r="A100" t="inlineStr">
        <is>
          <t>A 37936-2024</t>
        </is>
      </c>
      <c r="B100" s="1" t="n">
        <v>45544</v>
      </c>
      <c r="C100" s="1" t="n">
        <v>45640</v>
      </c>
      <c r="D100" t="inlineStr">
        <is>
          <t>VÄRMLANDS LÄN</t>
        </is>
      </c>
      <c r="E100" t="inlineStr">
        <is>
          <t>TORSBY</t>
        </is>
      </c>
      <c r="G100" t="n">
        <v>5.4</v>
      </c>
      <c r="H100" t="n">
        <v>0</v>
      </c>
      <c r="I100" t="n">
        <v>0</v>
      </c>
      <c r="J100" t="n">
        <v>2</v>
      </c>
      <c r="K100" t="n">
        <v>0</v>
      </c>
      <c r="L100" t="n">
        <v>0</v>
      </c>
      <c r="M100" t="n">
        <v>0</v>
      </c>
      <c r="N100" t="n">
        <v>0</v>
      </c>
      <c r="O100" t="n">
        <v>2</v>
      </c>
      <c r="P100" t="n">
        <v>0</v>
      </c>
      <c r="Q100" t="n">
        <v>2</v>
      </c>
      <c r="R100" s="2" t="inlineStr">
        <is>
          <t>Dvärgbägarlav
Vedflamlav</t>
        </is>
      </c>
      <c r="S100">
        <f>HYPERLINK("https://klasma.github.io/Logging_1737/artfynd/A 37936-2024 artfynd.xlsx", "A 37936-2024")</f>
        <v/>
      </c>
      <c r="T100">
        <f>HYPERLINK("https://klasma.github.io/Logging_1737/kartor/A 37936-2024 karta.png", "A 37936-2024")</f>
        <v/>
      </c>
      <c r="V100">
        <f>HYPERLINK("https://klasma.github.io/Logging_1737/klagomål/A 37936-2024 FSC-klagomål.docx", "A 37936-2024")</f>
        <v/>
      </c>
      <c r="W100">
        <f>HYPERLINK("https://klasma.github.io/Logging_1737/klagomålsmail/A 37936-2024 FSC-klagomål mail.docx", "A 37936-2024")</f>
        <v/>
      </c>
      <c r="X100">
        <f>HYPERLINK("https://klasma.github.io/Logging_1737/tillsyn/A 37936-2024 tillsynsbegäran.docx", "A 37936-2024")</f>
        <v/>
      </c>
      <c r="Y100">
        <f>HYPERLINK("https://klasma.github.io/Logging_1737/tillsynsmail/A 37936-2024 tillsynsbegäran mail.docx", "A 37936-2024")</f>
        <v/>
      </c>
    </row>
    <row r="101" ht="15" customHeight="1">
      <c r="A101" t="inlineStr">
        <is>
          <t>A 50800-2024</t>
        </is>
      </c>
      <c r="B101" s="1" t="n">
        <v>45602</v>
      </c>
      <c r="C101" s="1" t="n">
        <v>45640</v>
      </c>
      <c r="D101" t="inlineStr">
        <is>
          <t>VÄRMLANDS LÄN</t>
        </is>
      </c>
      <c r="E101" t="inlineStr">
        <is>
          <t>TORSBY</t>
        </is>
      </c>
      <c r="G101" t="n">
        <v>6.3</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50800-2024 artfynd.xlsx", "A 50800-2024")</f>
        <v/>
      </c>
      <c r="T101">
        <f>HYPERLINK("https://klasma.github.io/Logging_1737/kartor/A 50800-2024 karta.png", "A 50800-2024")</f>
        <v/>
      </c>
      <c r="V101">
        <f>HYPERLINK("https://klasma.github.io/Logging_1737/klagomål/A 50800-2024 FSC-klagomål.docx", "A 50800-2024")</f>
        <v/>
      </c>
      <c r="W101">
        <f>HYPERLINK("https://klasma.github.io/Logging_1737/klagomålsmail/A 50800-2024 FSC-klagomål mail.docx", "A 50800-2024")</f>
        <v/>
      </c>
      <c r="X101">
        <f>HYPERLINK("https://klasma.github.io/Logging_1737/tillsyn/A 50800-2024 tillsynsbegäran.docx", "A 50800-2024")</f>
        <v/>
      </c>
      <c r="Y101">
        <f>HYPERLINK("https://klasma.github.io/Logging_1737/tillsynsmail/A 50800-2024 tillsynsbegäran mail.docx", "A 50800-2024")</f>
        <v/>
      </c>
    </row>
    <row r="102" ht="15" customHeight="1">
      <c r="A102" t="inlineStr">
        <is>
          <t>A 57775-2024</t>
        </is>
      </c>
      <c r="B102" s="1" t="n">
        <v>45630</v>
      </c>
      <c r="C102" s="1" t="n">
        <v>45640</v>
      </c>
      <c r="D102" t="inlineStr">
        <is>
          <t>VÄRMLANDS LÄN</t>
        </is>
      </c>
      <c r="E102" t="inlineStr">
        <is>
          <t>TORSBY</t>
        </is>
      </c>
      <c r="G102" t="n">
        <v>7.1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57775-2024 artfynd.xlsx", "A 57775-2024")</f>
        <v/>
      </c>
      <c r="T102">
        <f>HYPERLINK("https://klasma.github.io/Logging_1737/kartor/A 57775-2024 karta.png", "A 57775-2024")</f>
        <v/>
      </c>
      <c r="V102">
        <f>HYPERLINK("https://klasma.github.io/Logging_1737/klagomål/A 57775-2024 FSC-klagomål.docx", "A 57775-2024")</f>
        <v/>
      </c>
      <c r="W102">
        <f>HYPERLINK("https://klasma.github.io/Logging_1737/klagomålsmail/A 57775-2024 FSC-klagomål mail.docx", "A 57775-2024")</f>
        <v/>
      </c>
      <c r="X102">
        <f>HYPERLINK("https://klasma.github.io/Logging_1737/tillsyn/A 57775-2024 tillsynsbegäran.docx", "A 57775-2024")</f>
        <v/>
      </c>
      <c r="Y102">
        <f>HYPERLINK("https://klasma.github.io/Logging_1737/tillsynsmail/A 57775-2024 tillsynsbegäran mail.docx", "A 57775-2024")</f>
        <v/>
      </c>
    </row>
    <row r="103" ht="15" customHeight="1">
      <c r="A103" t="inlineStr">
        <is>
          <t>A 18499-2019</t>
        </is>
      </c>
      <c r="B103" s="1" t="n">
        <v>43559</v>
      </c>
      <c r="C103" s="1" t="n">
        <v>45640</v>
      </c>
      <c r="D103" t="inlineStr">
        <is>
          <t>VÄRMLANDS LÄN</t>
        </is>
      </c>
      <c r="E103" t="inlineStr">
        <is>
          <t>TORSBY</t>
        </is>
      </c>
      <c r="G103" t="n">
        <v>4.8</v>
      </c>
      <c r="H103" t="n">
        <v>0</v>
      </c>
      <c r="I103" t="n">
        <v>0</v>
      </c>
      <c r="J103" t="n">
        <v>0</v>
      </c>
      <c r="K103" t="n">
        <v>1</v>
      </c>
      <c r="L103" t="n">
        <v>0</v>
      </c>
      <c r="M103" t="n">
        <v>0</v>
      </c>
      <c r="N103" t="n">
        <v>0</v>
      </c>
      <c r="O103" t="n">
        <v>1</v>
      </c>
      <c r="P103" t="n">
        <v>1</v>
      </c>
      <c r="Q103" t="n">
        <v>1</v>
      </c>
      <c r="R103" s="2" t="inlineStr">
        <is>
          <t>Raggbock</t>
        </is>
      </c>
      <c r="S103">
        <f>HYPERLINK("https://klasma.github.io/Logging_1737/artfynd/A 18499-2019 artfynd.xlsx", "A 18499-2019")</f>
        <v/>
      </c>
      <c r="T103">
        <f>HYPERLINK("https://klasma.github.io/Logging_1737/kartor/A 18499-2019 karta.png", "A 18499-2019")</f>
        <v/>
      </c>
      <c r="V103">
        <f>HYPERLINK("https://klasma.github.io/Logging_1737/klagomål/A 18499-2019 FSC-klagomål.docx", "A 18499-2019")</f>
        <v/>
      </c>
      <c r="W103">
        <f>HYPERLINK("https://klasma.github.io/Logging_1737/klagomålsmail/A 18499-2019 FSC-klagomål mail.docx", "A 18499-2019")</f>
        <v/>
      </c>
      <c r="X103">
        <f>HYPERLINK("https://klasma.github.io/Logging_1737/tillsyn/A 18499-2019 tillsynsbegäran.docx", "A 18499-2019")</f>
        <v/>
      </c>
      <c r="Y103">
        <f>HYPERLINK("https://klasma.github.io/Logging_1737/tillsynsmail/A 18499-2019 tillsynsbegäran mail.docx", "A 18499-2019")</f>
        <v/>
      </c>
    </row>
    <row r="104" ht="15" customHeight="1">
      <c r="A104" t="inlineStr">
        <is>
          <t>A 31848-2019</t>
        </is>
      </c>
      <c r="B104" s="1" t="n">
        <v>43642</v>
      </c>
      <c r="C104" s="1" t="n">
        <v>45640</v>
      </c>
      <c r="D104" t="inlineStr">
        <is>
          <t>VÄRMLANDS LÄN</t>
        </is>
      </c>
      <c r="E104" t="inlineStr">
        <is>
          <t>TORSBY</t>
        </is>
      </c>
      <c r="G104" t="n">
        <v>6.1</v>
      </c>
      <c r="H104" t="n">
        <v>1</v>
      </c>
      <c r="I104" t="n">
        <v>0</v>
      </c>
      <c r="J104" t="n">
        <v>0</v>
      </c>
      <c r="K104" t="n">
        <v>1</v>
      </c>
      <c r="L104" t="n">
        <v>0</v>
      </c>
      <c r="M104" t="n">
        <v>0</v>
      </c>
      <c r="N104" t="n">
        <v>0</v>
      </c>
      <c r="O104" t="n">
        <v>1</v>
      </c>
      <c r="P104" t="n">
        <v>1</v>
      </c>
      <c r="Q104" t="n">
        <v>1</v>
      </c>
      <c r="R104" s="2" t="inlineStr">
        <is>
          <t>Knärot</t>
        </is>
      </c>
      <c r="S104">
        <f>HYPERLINK("https://klasma.github.io/Logging_1737/artfynd/A 31848-2019 artfynd.xlsx", "A 31848-2019")</f>
        <v/>
      </c>
      <c r="T104">
        <f>HYPERLINK("https://klasma.github.io/Logging_1737/kartor/A 31848-2019 karta.png", "A 31848-2019")</f>
        <v/>
      </c>
      <c r="U104">
        <f>HYPERLINK("https://klasma.github.io/Logging_1737/knärot/A 31848-2019 karta knärot.png", "A 31848-2019")</f>
        <v/>
      </c>
      <c r="V104">
        <f>HYPERLINK("https://klasma.github.io/Logging_1737/klagomål/A 31848-2019 FSC-klagomål.docx", "A 31848-2019")</f>
        <v/>
      </c>
      <c r="W104">
        <f>HYPERLINK("https://klasma.github.io/Logging_1737/klagomålsmail/A 31848-2019 FSC-klagomål mail.docx", "A 31848-2019")</f>
        <v/>
      </c>
      <c r="X104">
        <f>HYPERLINK("https://klasma.github.io/Logging_1737/tillsyn/A 31848-2019 tillsynsbegäran.docx", "A 31848-2019")</f>
        <v/>
      </c>
      <c r="Y104">
        <f>HYPERLINK("https://klasma.github.io/Logging_1737/tillsynsmail/A 31848-2019 tillsynsbegäran mail.docx", "A 31848-2019")</f>
        <v/>
      </c>
    </row>
    <row r="105" ht="15" customHeight="1">
      <c r="A105" t="inlineStr">
        <is>
          <t>A 45844-2019</t>
        </is>
      </c>
      <c r="B105" s="1" t="n">
        <v>43717</v>
      </c>
      <c r="C105" s="1" t="n">
        <v>45640</v>
      </c>
      <c r="D105" t="inlineStr">
        <is>
          <t>VÄRMLANDS LÄN</t>
        </is>
      </c>
      <c r="E105" t="inlineStr">
        <is>
          <t>TORSBY</t>
        </is>
      </c>
      <c r="G105" t="n">
        <v>4.1</v>
      </c>
      <c r="H105" t="n">
        <v>1</v>
      </c>
      <c r="I105" t="n">
        <v>0</v>
      </c>
      <c r="J105" t="n">
        <v>1</v>
      </c>
      <c r="K105" t="n">
        <v>0</v>
      </c>
      <c r="L105" t="n">
        <v>0</v>
      </c>
      <c r="M105" t="n">
        <v>0</v>
      </c>
      <c r="N105" t="n">
        <v>0</v>
      </c>
      <c r="O105" t="n">
        <v>1</v>
      </c>
      <c r="P105" t="n">
        <v>0</v>
      </c>
      <c r="Q105" t="n">
        <v>1</v>
      </c>
      <c r="R105" s="2" t="inlineStr">
        <is>
          <t>Talltita</t>
        </is>
      </c>
      <c r="S105">
        <f>HYPERLINK("https://klasma.github.io/Logging_1737/artfynd/A 45844-2019 artfynd.xlsx", "A 45844-2019")</f>
        <v/>
      </c>
      <c r="T105">
        <f>HYPERLINK("https://klasma.github.io/Logging_1737/kartor/A 45844-2019 karta.png", "A 45844-2019")</f>
        <v/>
      </c>
      <c r="V105">
        <f>HYPERLINK("https://klasma.github.io/Logging_1737/klagomål/A 45844-2019 FSC-klagomål.docx", "A 45844-2019")</f>
        <v/>
      </c>
      <c r="W105">
        <f>HYPERLINK("https://klasma.github.io/Logging_1737/klagomålsmail/A 45844-2019 FSC-klagomål mail.docx", "A 45844-2019")</f>
        <v/>
      </c>
      <c r="X105">
        <f>HYPERLINK("https://klasma.github.io/Logging_1737/tillsyn/A 45844-2019 tillsynsbegäran.docx", "A 45844-2019")</f>
        <v/>
      </c>
      <c r="Y105">
        <f>HYPERLINK("https://klasma.github.io/Logging_1737/tillsynsmail/A 45844-2019 tillsynsbegäran mail.docx", "A 45844-2019")</f>
        <v/>
      </c>
      <c r="Z105">
        <f>HYPERLINK("https://klasma.github.io/Logging_1737/fåglar/A 45844-2019 prioriterade fågelarter.docx", "A 45844-2019")</f>
        <v/>
      </c>
    </row>
    <row r="106" ht="15" customHeight="1">
      <c r="A106" t="inlineStr">
        <is>
          <t>A 47731-2019</t>
        </is>
      </c>
      <c r="B106" s="1" t="n">
        <v>43724</v>
      </c>
      <c r="C106" s="1" t="n">
        <v>45640</v>
      </c>
      <c r="D106" t="inlineStr">
        <is>
          <t>VÄRMLANDS LÄN</t>
        </is>
      </c>
      <c r="E106" t="inlineStr">
        <is>
          <t>TORSBY</t>
        </is>
      </c>
      <c r="G106" t="n">
        <v>3.5</v>
      </c>
      <c r="H106" t="n">
        <v>1</v>
      </c>
      <c r="I106" t="n">
        <v>0</v>
      </c>
      <c r="J106" t="n">
        <v>1</v>
      </c>
      <c r="K106" t="n">
        <v>0</v>
      </c>
      <c r="L106" t="n">
        <v>0</v>
      </c>
      <c r="M106" t="n">
        <v>0</v>
      </c>
      <c r="N106" t="n">
        <v>0</v>
      </c>
      <c r="O106" t="n">
        <v>1</v>
      </c>
      <c r="P106" t="n">
        <v>0</v>
      </c>
      <c r="Q106" t="n">
        <v>1</v>
      </c>
      <c r="R106" s="2" t="inlineStr">
        <is>
          <t>Gulsparv</t>
        </is>
      </c>
      <c r="S106">
        <f>HYPERLINK("https://klasma.github.io/Logging_1737/artfynd/A 47731-2019 artfynd.xlsx", "A 47731-2019")</f>
        <v/>
      </c>
      <c r="T106">
        <f>HYPERLINK("https://klasma.github.io/Logging_1737/kartor/A 47731-2019 karta.png", "A 47731-2019")</f>
        <v/>
      </c>
      <c r="V106">
        <f>HYPERLINK("https://klasma.github.io/Logging_1737/klagomål/A 47731-2019 FSC-klagomål.docx", "A 47731-2019")</f>
        <v/>
      </c>
      <c r="W106">
        <f>HYPERLINK("https://klasma.github.io/Logging_1737/klagomålsmail/A 47731-2019 FSC-klagomål mail.docx", "A 47731-2019")</f>
        <v/>
      </c>
      <c r="X106">
        <f>HYPERLINK("https://klasma.github.io/Logging_1737/tillsyn/A 47731-2019 tillsynsbegäran.docx", "A 47731-2019")</f>
        <v/>
      </c>
      <c r="Y106">
        <f>HYPERLINK("https://klasma.github.io/Logging_1737/tillsynsmail/A 47731-2019 tillsynsbegäran mail.docx", "A 47731-2019")</f>
        <v/>
      </c>
      <c r="Z106">
        <f>HYPERLINK("https://klasma.github.io/Logging_1737/fåglar/A 47731-2019 prioriterade fågelarter.docx", "A 47731-2019")</f>
        <v/>
      </c>
    </row>
    <row r="107" ht="15" customHeight="1">
      <c r="A107" t="inlineStr">
        <is>
          <t>A 53924-2019</t>
        </is>
      </c>
      <c r="B107" s="1" t="n">
        <v>43742</v>
      </c>
      <c r="C107" s="1" t="n">
        <v>45640</v>
      </c>
      <c r="D107" t="inlineStr">
        <is>
          <t>VÄRMLANDS LÄN</t>
        </is>
      </c>
      <c r="E107" t="inlineStr">
        <is>
          <t>TORSBY</t>
        </is>
      </c>
      <c r="G107" t="n">
        <v>7.1</v>
      </c>
      <c r="H107" t="n">
        <v>1</v>
      </c>
      <c r="I107" t="n">
        <v>0</v>
      </c>
      <c r="J107" t="n">
        <v>0</v>
      </c>
      <c r="K107" t="n">
        <v>0</v>
      </c>
      <c r="L107" t="n">
        <v>0</v>
      </c>
      <c r="M107" t="n">
        <v>0</v>
      </c>
      <c r="N107" t="n">
        <v>0</v>
      </c>
      <c r="O107" t="n">
        <v>0</v>
      </c>
      <c r="P107" t="n">
        <v>0</v>
      </c>
      <c r="Q107" t="n">
        <v>1</v>
      </c>
      <c r="R107" s="2" t="inlineStr">
        <is>
          <t>Fläcknycklar</t>
        </is>
      </c>
      <c r="S107">
        <f>HYPERLINK("https://klasma.github.io/Logging_1737/artfynd/A 53924-2019 artfynd.xlsx", "A 53924-2019")</f>
        <v/>
      </c>
      <c r="T107">
        <f>HYPERLINK("https://klasma.github.io/Logging_1737/kartor/A 53924-2019 karta.png", "A 53924-2019")</f>
        <v/>
      </c>
      <c r="V107">
        <f>HYPERLINK("https://klasma.github.io/Logging_1737/klagomål/A 53924-2019 FSC-klagomål.docx", "A 53924-2019")</f>
        <v/>
      </c>
      <c r="W107">
        <f>HYPERLINK("https://klasma.github.io/Logging_1737/klagomålsmail/A 53924-2019 FSC-klagomål mail.docx", "A 53924-2019")</f>
        <v/>
      </c>
      <c r="X107">
        <f>HYPERLINK("https://klasma.github.io/Logging_1737/tillsyn/A 53924-2019 tillsynsbegäran.docx", "A 53924-2019")</f>
        <v/>
      </c>
      <c r="Y107">
        <f>HYPERLINK("https://klasma.github.io/Logging_1737/tillsynsmail/A 53924-2019 tillsynsbegäran mail.docx", "A 53924-2019")</f>
        <v/>
      </c>
    </row>
    <row r="108" ht="15" customHeight="1">
      <c r="A108" t="inlineStr">
        <is>
          <t>A 63767-2019</t>
        </is>
      </c>
      <c r="B108" s="1" t="n">
        <v>43795</v>
      </c>
      <c r="C108" s="1" t="n">
        <v>45640</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Garnlav</t>
        </is>
      </c>
      <c r="S108">
        <f>HYPERLINK("https://klasma.github.io/Logging_1737/artfynd/A 63767-2019 artfynd.xlsx", "A 63767-2019")</f>
        <v/>
      </c>
      <c r="T108">
        <f>HYPERLINK("https://klasma.github.io/Logging_1737/kartor/A 63767-2019 karta.png", "A 63767-2019")</f>
        <v/>
      </c>
      <c r="V108">
        <f>HYPERLINK("https://klasma.github.io/Logging_1737/klagomål/A 63767-2019 FSC-klagomål.docx", "A 63767-2019")</f>
        <v/>
      </c>
      <c r="W108">
        <f>HYPERLINK("https://klasma.github.io/Logging_1737/klagomålsmail/A 63767-2019 FSC-klagomål mail.docx", "A 63767-2019")</f>
        <v/>
      </c>
      <c r="X108">
        <f>HYPERLINK("https://klasma.github.io/Logging_1737/tillsyn/A 63767-2019 tillsynsbegäran.docx", "A 63767-2019")</f>
        <v/>
      </c>
      <c r="Y108">
        <f>HYPERLINK("https://klasma.github.io/Logging_1737/tillsynsmail/A 63767-2019 tillsynsbegäran mail.docx", "A 63767-2019")</f>
        <v/>
      </c>
    </row>
    <row r="109" ht="15" customHeight="1">
      <c r="A109" t="inlineStr">
        <is>
          <t>A 65129-2019</t>
        </is>
      </c>
      <c r="B109" s="1" t="n">
        <v>43802</v>
      </c>
      <c r="C109" s="1" t="n">
        <v>45640</v>
      </c>
      <c r="D109" t="inlineStr">
        <is>
          <t>VÄRMLANDS LÄN</t>
        </is>
      </c>
      <c r="E109" t="inlineStr">
        <is>
          <t>TORSBY</t>
        </is>
      </c>
      <c r="G109" t="n">
        <v>3.3</v>
      </c>
      <c r="H109" t="n">
        <v>0</v>
      </c>
      <c r="I109" t="n">
        <v>0</v>
      </c>
      <c r="J109" t="n">
        <v>1</v>
      </c>
      <c r="K109" t="n">
        <v>0</v>
      </c>
      <c r="L109" t="n">
        <v>0</v>
      </c>
      <c r="M109" t="n">
        <v>0</v>
      </c>
      <c r="N109" t="n">
        <v>0</v>
      </c>
      <c r="O109" t="n">
        <v>1</v>
      </c>
      <c r="P109" t="n">
        <v>0</v>
      </c>
      <c r="Q109" t="n">
        <v>1</v>
      </c>
      <c r="R109" s="2" t="inlineStr">
        <is>
          <t>Garnlav</t>
        </is>
      </c>
      <c r="S109">
        <f>HYPERLINK("https://klasma.github.io/Logging_1737/artfynd/A 65129-2019 artfynd.xlsx", "A 65129-2019")</f>
        <v/>
      </c>
      <c r="T109">
        <f>HYPERLINK("https://klasma.github.io/Logging_1737/kartor/A 65129-2019 karta.png", "A 65129-2019")</f>
        <v/>
      </c>
      <c r="V109">
        <f>HYPERLINK("https://klasma.github.io/Logging_1737/klagomål/A 65129-2019 FSC-klagomål.docx", "A 65129-2019")</f>
        <v/>
      </c>
      <c r="W109">
        <f>HYPERLINK("https://klasma.github.io/Logging_1737/klagomålsmail/A 65129-2019 FSC-klagomål mail.docx", "A 65129-2019")</f>
        <v/>
      </c>
      <c r="X109">
        <f>HYPERLINK("https://klasma.github.io/Logging_1737/tillsyn/A 65129-2019 tillsynsbegäran.docx", "A 65129-2019")</f>
        <v/>
      </c>
      <c r="Y109">
        <f>HYPERLINK("https://klasma.github.io/Logging_1737/tillsynsmail/A 65129-2019 tillsynsbegäran mail.docx", "A 65129-2019")</f>
        <v/>
      </c>
    </row>
    <row r="110" ht="15" customHeight="1">
      <c r="A110" t="inlineStr">
        <is>
          <t>A 37035-2020</t>
        </is>
      </c>
      <c r="B110" s="1" t="n">
        <v>44054</v>
      </c>
      <c r="C110" s="1" t="n">
        <v>45640</v>
      </c>
      <c r="D110" t="inlineStr">
        <is>
          <t>VÄRMLANDS LÄN</t>
        </is>
      </c>
      <c r="E110" t="inlineStr">
        <is>
          <t>TORSBY</t>
        </is>
      </c>
      <c r="G110" t="n">
        <v>2.7</v>
      </c>
      <c r="H110" t="n">
        <v>0</v>
      </c>
      <c r="I110" t="n">
        <v>0</v>
      </c>
      <c r="J110" t="n">
        <v>0</v>
      </c>
      <c r="K110" t="n">
        <v>1</v>
      </c>
      <c r="L110" t="n">
        <v>0</v>
      </c>
      <c r="M110" t="n">
        <v>0</v>
      </c>
      <c r="N110" t="n">
        <v>0</v>
      </c>
      <c r="O110" t="n">
        <v>1</v>
      </c>
      <c r="P110" t="n">
        <v>1</v>
      </c>
      <c r="Q110" t="n">
        <v>1</v>
      </c>
      <c r="R110" s="2" t="inlineStr">
        <is>
          <t>Raggbock</t>
        </is>
      </c>
      <c r="S110">
        <f>HYPERLINK("https://klasma.github.io/Logging_1737/artfynd/A 37035-2020 artfynd.xlsx", "A 37035-2020")</f>
        <v/>
      </c>
      <c r="T110">
        <f>HYPERLINK("https://klasma.github.io/Logging_1737/kartor/A 37035-2020 karta.png", "A 37035-2020")</f>
        <v/>
      </c>
      <c r="V110">
        <f>HYPERLINK("https://klasma.github.io/Logging_1737/klagomål/A 37035-2020 FSC-klagomål.docx", "A 37035-2020")</f>
        <v/>
      </c>
      <c r="W110">
        <f>HYPERLINK("https://klasma.github.io/Logging_1737/klagomålsmail/A 37035-2020 FSC-klagomål mail.docx", "A 37035-2020")</f>
        <v/>
      </c>
      <c r="X110">
        <f>HYPERLINK("https://klasma.github.io/Logging_1737/tillsyn/A 37035-2020 tillsynsbegäran.docx", "A 37035-2020")</f>
        <v/>
      </c>
      <c r="Y110">
        <f>HYPERLINK("https://klasma.github.io/Logging_1737/tillsynsmail/A 37035-2020 tillsynsbegäran mail.docx", "A 37035-2020")</f>
        <v/>
      </c>
    </row>
    <row r="111" ht="15" customHeight="1">
      <c r="A111" t="inlineStr">
        <is>
          <t>A 50854-2020</t>
        </is>
      </c>
      <c r="B111" s="1" t="n">
        <v>44105</v>
      </c>
      <c r="C111" s="1" t="n">
        <v>45640</v>
      </c>
      <c r="D111" t="inlineStr">
        <is>
          <t>VÄRMLANDS LÄN</t>
        </is>
      </c>
      <c r="E111" t="inlineStr">
        <is>
          <t>TORSBY</t>
        </is>
      </c>
      <c r="G111" t="n">
        <v>6.5</v>
      </c>
      <c r="H111" t="n">
        <v>1</v>
      </c>
      <c r="I111" t="n">
        <v>0</v>
      </c>
      <c r="J111" t="n">
        <v>0</v>
      </c>
      <c r="K111" t="n">
        <v>1</v>
      </c>
      <c r="L111" t="n">
        <v>0</v>
      </c>
      <c r="M111" t="n">
        <v>0</v>
      </c>
      <c r="N111" t="n">
        <v>0</v>
      </c>
      <c r="O111" t="n">
        <v>1</v>
      </c>
      <c r="P111" t="n">
        <v>1</v>
      </c>
      <c r="Q111" t="n">
        <v>1</v>
      </c>
      <c r="R111" s="2" t="inlineStr">
        <is>
          <t>Knärot</t>
        </is>
      </c>
      <c r="S111">
        <f>HYPERLINK("https://klasma.github.io/Logging_1737/artfynd/A 50854-2020 artfynd.xlsx", "A 50854-2020")</f>
        <v/>
      </c>
      <c r="T111">
        <f>HYPERLINK("https://klasma.github.io/Logging_1737/kartor/A 50854-2020 karta.png", "A 50854-2020")</f>
        <v/>
      </c>
      <c r="U111">
        <f>HYPERLINK("https://klasma.github.io/Logging_1737/knärot/A 50854-2020 karta knärot.png", "A 50854-2020")</f>
        <v/>
      </c>
      <c r="V111">
        <f>HYPERLINK("https://klasma.github.io/Logging_1737/klagomål/A 50854-2020 FSC-klagomål.docx", "A 50854-2020")</f>
        <v/>
      </c>
      <c r="W111">
        <f>HYPERLINK("https://klasma.github.io/Logging_1737/klagomålsmail/A 50854-2020 FSC-klagomål mail.docx", "A 50854-2020")</f>
        <v/>
      </c>
      <c r="X111">
        <f>HYPERLINK("https://klasma.github.io/Logging_1737/tillsyn/A 50854-2020 tillsynsbegäran.docx", "A 50854-2020")</f>
        <v/>
      </c>
      <c r="Y111">
        <f>HYPERLINK("https://klasma.github.io/Logging_1737/tillsynsmail/A 50854-2020 tillsynsbegäran mail.docx", "A 50854-2020")</f>
        <v/>
      </c>
    </row>
    <row r="112" ht="15" customHeight="1">
      <c r="A112" t="inlineStr">
        <is>
          <t>A 50089-2020</t>
        </is>
      </c>
      <c r="B112" s="1" t="n">
        <v>44109</v>
      </c>
      <c r="C112" s="1" t="n">
        <v>45640</v>
      </c>
      <c r="D112" t="inlineStr">
        <is>
          <t>VÄRMLANDS LÄN</t>
        </is>
      </c>
      <c r="E112" t="inlineStr">
        <is>
          <t>TORSBY</t>
        </is>
      </c>
      <c r="G112" t="n">
        <v>0.9</v>
      </c>
      <c r="H112" t="n">
        <v>1</v>
      </c>
      <c r="I112" t="n">
        <v>0</v>
      </c>
      <c r="J112" t="n">
        <v>1</v>
      </c>
      <c r="K112" t="n">
        <v>0</v>
      </c>
      <c r="L112" t="n">
        <v>0</v>
      </c>
      <c r="M112" t="n">
        <v>0</v>
      </c>
      <c r="N112" t="n">
        <v>0</v>
      </c>
      <c r="O112" t="n">
        <v>1</v>
      </c>
      <c r="P112" t="n">
        <v>0</v>
      </c>
      <c r="Q112" t="n">
        <v>1</v>
      </c>
      <c r="R112" s="2" t="inlineStr">
        <is>
          <t>Spillkråka</t>
        </is>
      </c>
      <c r="S112">
        <f>HYPERLINK("https://klasma.github.io/Logging_1737/artfynd/A 50089-2020 artfynd.xlsx", "A 50089-2020")</f>
        <v/>
      </c>
      <c r="T112">
        <f>HYPERLINK("https://klasma.github.io/Logging_1737/kartor/A 50089-2020 karta.png", "A 50089-2020")</f>
        <v/>
      </c>
      <c r="V112">
        <f>HYPERLINK("https://klasma.github.io/Logging_1737/klagomål/A 50089-2020 FSC-klagomål.docx", "A 50089-2020")</f>
        <v/>
      </c>
      <c r="W112">
        <f>HYPERLINK("https://klasma.github.io/Logging_1737/klagomålsmail/A 50089-2020 FSC-klagomål mail.docx", "A 50089-2020")</f>
        <v/>
      </c>
      <c r="X112">
        <f>HYPERLINK("https://klasma.github.io/Logging_1737/tillsyn/A 50089-2020 tillsynsbegäran.docx", "A 50089-2020")</f>
        <v/>
      </c>
      <c r="Y112">
        <f>HYPERLINK("https://klasma.github.io/Logging_1737/tillsynsmail/A 50089-2020 tillsynsbegäran mail.docx", "A 50089-2020")</f>
        <v/>
      </c>
      <c r="Z112">
        <f>HYPERLINK("https://klasma.github.io/Logging_1737/fåglar/A 50089-2020 prioriterade fågelarter.docx", "A 50089-2020")</f>
        <v/>
      </c>
    </row>
    <row r="113" ht="15" customHeight="1">
      <c r="A113" t="inlineStr">
        <is>
          <t>A 53491-2020</t>
        </is>
      </c>
      <c r="B113" s="1" t="n">
        <v>44123</v>
      </c>
      <c r="C113" s="1" t="n">
        <v>45640</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53491-2020 artfynd.xlsx", "A 53491-2020")</f>
        <v/>
      </c>
      <c r="T113">
        <f>HYPERLINK("https://klasma.github.io/Logging_1737/kartor/A 53491-2020 karta.png", "A 53491-2020")</f>
        <v/>
      </c>
      <c r="V113">
        <f>HYPERLINK("https://klasma.github.io/Logging_1737/klagomål/A 53491-2020 FSC-klagomål.docx", "A 53491-2020")</f>
        <v/>
      </c>
      <c r="W113">
        <f>HYPERLINK("https://klasma.github.io/Logging_1737/klagomålsmail/A 53491-2020 FSC-klagomål mail.docx", "A 53491-2020")</f>
        <v/>
      </c>
      <c r="X113">
        <f>HYPERLINK("https://klasma.github.io/Logging_1737/tillsyn/A 53491-2020 tillsynsbegäran.docx", "A 53491-2020")</f>
        <v/>
      </c>
      <c r="Y113">
        <f>HYPERLINK("https://klasma.github.io/Logging_1737/tillsynsmail/A 53491-2020 tillsynsbegäran mail.docx", "A 53491-2020")</f>
        <v/>
      </c>
    </row>
    <row r="114" ht="15" customHeight="1">
      <c r="A114" t="inlineStr">
        <is>
          <t>A 8747-2021</t>
        </is>
      </c>
      <c r="B114" s="1" t="n">
        <v>44246</v>
      </c>
      <c r="C114" s="1" t="n">
        <v>45640</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24042-2021</t>
        </is>
      </c>
      <c r="B115" s="1" t="n">
        <v>44336</v>
      </c>
      <c r="C115" s="1" t="n">
        <v>45640</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34876-2021</t>
        </is>
      </c>
      <c r="B116" s="1" t="n">
        <v>44383</v>
      </c>
      <c r="C116" s="1" t="n">
        <v>45640</v>
      </c>
      <c r="D116" t="inlineStr">
        <is>
          <t>VÄRMLANDS LÄN</t>
        </is>
      </c>
      <c r="E116" t="inlineStr">
        <is>
          <t>TORSBY</t>
        </is>
      </c>
      <c r="G116" t="n">
        <v>4.7</v>
      </c>
      <c r="H116" t="n">
        <v>0</v>
      </c>
      <c r="I116" t="n">
        <v>0</v>
      </c>
      <c r="J116" t="n">
        <v>1</v>
      </c>
      <c r="K116" t="n">
        <v>0</v>
      </c>
      <c r="L116" t="n">
        <v>0</v>
      </c>
      <c r="M116" t="n">
        <v>0</v>
      </c>
      <c r="N116" t="n">
        <v>0</v>
      </c>
      <c r="O116" t="n">
        <v>1</v>
      </c>
      <c r="P116" t="n">
        <v>0</v>
      </c>
      <c r="Q116" t="n">
        <v>1</v>
      </c>
      <c r="R116" s="2" t="inlineStr">
        <is>
          <t>Doftskinn</t>
        </is>
      </c>
      <c r="S116">
        <f>HYPERLINK("https://klasma.github.io/Logging_1737/artfynd/A 34876-2021 artfynd.xlsx", "A 34876-2021")</f>
        <v/>
      </c>
      <c r="T116">
        <f>HYPERLINK("https://klasma.github.io/Logging_1737/kartor/A 34876-2021 karta.png", "A 34876-2021")</f>
        <v/>
      </c>
      <c r="V116">
        <f>HYPERLINK("https://klasma.github.io/Logging_1737/klagomål/A 34876-2021 FSC-klagomål.docx", "A 34876-2021")</f>
        <v/>
      </c>
      <c r="W116">
        <f>HYPERLINK("https://klasma.github.io/Logging_1737/klagomålsmail/A 34876-2021 FSC-klagomål mail.docx", "A 34876-2021")</f>
        <v/>
      </c>
      <c r="X116">
        <f>HYPERLINK("https://klasma.github.io/Logging_1737/tillsyn/A 34876-2021 tillsynsbegäran.docx", "A 34876-2021")</f>
        <v/>
      </c>
      <c r="Y116">
        <f>HYPERLINK("https://klasma.github.io/Logging_1737/tillsynsmail/A 34876-2021 tillsynsbegäran mail.docx", "A 34876-2021")</f>
        <v/>
      </c>
    </row>
    <row r="117" ht="15" customHeight="1">
      <c r="A117" t="inlineStr">
        <is>
          <t>A 34853-2021</t>
        </is>
      </c>
      <c r="B117" s="1" t="n">
        <v>44383</v>
      </c>
      <c r="C117" s="1" t="n">
        <v>45640</v>
      </c>
      <c r="D117" t="inlineStr">
        <is>
          <t>VÄRMLANDS LÄN</t>
        </is>
      </c>
      <c r="E117" t="inlineStr">
        <is>
          <t>TORSBY</t>
        </is>
      </c>
      <c r="G117" t="n">
        <v>14.8</v>
      </c>
      <c r="H117" t="n">
        <v>1</v>
      </c>
      <c r="I117" t="n">
        <v>0</v>
      </c>
      <c r="J117" t="n">
        <v>1</v>
      </c>
      <c r="K117" t="n">
        <v>0</v>
      </c>
      <c r="L117" t="n">
        <v>0</v>
      </c>
      <c r="M117" t="n">
        <v>0</v>
      </c>
      <c r="N117" t="n">
        <v>0</v>
      </c>
      <c r="O117" t="n">
        <v>1</v>
      </c>
      <c r="P117" t="n">
        <v>0</v>
      </c>
      <c r="Q117" t="n">
        <v>1</v>
      </c>
      <c r="R117" s="2" t="inlineStr">
        <is>
          <t>Talltita</t>
        </is>
      </c>
      <c r="S117">
        <f>HYPERLINK("https://klasma.github.io/Logging_1737/artfynd/A 34853-2021 artfynd.xlsx", "A 34853-2021")</f>
        <v/>
      </c>
      <c r="T117">
        <f>HYPERLINK("https://klasma.github.io/Logging_1737/kartor/A 34853-2021 karta.png", "A 34853-2021")</f>
        <v/>
      </c>
      <c r="V117">
        <f>HYPERLINK("https://klasma.github.io/Logging_1737/klagomål/A 34853-2021 FSC-klagomål.docx", "A 34853-2021")</f>
        <v/>
      </c>
      <c r="W117">
        <f>HYPERLINK("https://klasma.github.io/Logging_1737/klagomålsmail/A 34853-2021 FSC-klagomål mail.docx", "A 34853-2021")</f>
        <v/>
      </c>
      <c r="X117">
        <f>HYPERLINK("https://klasma.github.io/Logging_1737/tillsyn/A 34853-2021 tillsynsbegäran.docx", "A 34853-2021")</f>
        <v/>
      </c>
      <c r="Y117">
        <f>HYPERLINK("https://klasma.github.io/Logging_1737/tillsynsmail/A 34853-2021 tillsynsbegäran mail.docx", "A 34853-2021")</f>
        <v/>
      </c>
      <c r="Z117">
        <f>HYPERLINK("https://klasma.github.io/Logging_1737/fåglar/A 34853-2021 prioriterade fågelarter.docx", "A 34853-2021")</f>
        <v/>
      </c>
    </row>
    <row r="118" ht="15" customHeight="1">
      <c r="A118" t="inlineStr">
        <is>
          <t>A 40265-2021</t>
        </is>
      </c>
      <c r="B118" s="1" t="n">
        <v>44419</v>
      </c>
      <c r="C118" s="1" t="n">
        <v>45640</v>
      </c>
      <c r="D118" t="inlineStr">
        <is>
          <t>VÄRMLANDS LÄN</t>
        </is>
      </c>
      <c r="E118" t="inlineStr">
        <is>
          <t>TORSBY</t>
        </is>
      </c>
      <c r="F118" t="inlineStr">
        <is>
          <t>Bergvik skog väst AB</t>
        </is>
      </c>
      <c r="G118" t="n">
        <v>5.7</v>
      </c>
      <c r="H118" t="n">
        <v>1</v>
      </c>
      <c r="I118" t="n">
        <v>0</v>
      </c>
      <c r="J118" t="n">
        <v>1</v>
      </c>
      <c r="K118" t="n">
        <v>0</v>
      </c>
      <c r="L118" t="n">
        <v>0</v>
      </c>
      <c r="M118" t="n">
        <v>0</v>
      </c>
      <c r="N118" t="n">
        <v>0</v>
      </c>
      <c r="O118" t="n">
        <v>1</v>
      </c>
      <c r="P118" t="n">
        <v>0</v>
      </c>
      <c r="Q118" t="n">
        <v>1</v>
      </c>
      <c r="R118" s="2" t="inlineStr">
        <is>
          <t>Nordfladdermus</t>
        </is>
      </c>
      <c r="S118">
        <f>HYPERLINK("https://klasma.github.io/Logging_1737/artfynd/A 40265-2021 artfynd.xlsx", "A 40265-2021")</f>
        <v/>
      </c>
      <c r="T118">
        <f>HYPERLINK("https://klasma.github.io/Logging_1737/kartor/A 40265-2021 karta.png", "A 40265-2021")</f>
        <v/>
      </c>
      <c r="V118">
        <f>HYPERLINK("https://klasma.github.io/Logging_1737/klagomål/A 40265-2021 FSC-klagomål.docx", "A 40265-2021")</f>
        <v/>
      </c>
      <c r="W118">
        <f>HYPERLINK("https://klasma.github.io/Logging_1737/klagomålsmail/A 40265-2021 FSC-klagomål mail.docx", "A 40265-2021")</f>
        <v/>
      </c>
      <c r="X118">
        <f>HYPERLINK("https://klasma.github.io/Logging_1737/tillsyn/A 40265-2021 tillsynsbegäran.docx", "A 40265-2021")</f>
        <v/>
      </c>
      <c r="Y118">
        <f>HYPERLINK("https://klasma.github.io/Logging_1737/tillsynsmail/A 40265-2021 tillsynsbegäran mail.docx", "A 40265-2021")</f>
        <v/>
      </c>
    </row>
    <row r="119" ht="15" customHeight="1">
      <c r="A119" t="inlineStr">
        <is>
          <t>A 43784-2021</t>
        </is>
      </c>
      <c r="B119" s="1" t="n">
        <v>44433</v>
      </c>
      <c r="C119" s="1" t="n">
        <v>45640</v>
      </c>
      <c r="D119" t="inlineStr">
        <is>
          <t>VÄRMLANDS LÄN</t>
        </is>
      </c>
      <c r="E119" t="inlineStr">
        <is>
          <t>TORSBY</t>
        </is>
      </c>
      <c r="G119" t="n">
        <v>5.2</v>
      </c>
      <c r="H119" t="n">
        <v>1</v>
      </c>
      <c r="I119" t="n">
        <v>0</v>
      </c>
      <c r="J119" t="n">
        <v>0</v>
      </c>
      <c r="K119" t="n">
        <v>0</v>
      </c>
      <c r="L119" t="n">
        <v>0</v>
      </c>
      <c r="M119" t="n">
        <v>0</v>
      </c>
      <c r="N119" t="n">
        <v>0</v>
      </c>
      <c r="O119" t="n">
        <v>0</v>
      </c>
      <c r="P119" t="n">
        <v>0</v>
      </c>
      <c r="Q119" t="n">
        <v>1</v>
      </c>
      <c r="R119" s="2" t="inlineStr">
        <is>
          <t>Kopparödla</t>
        </is>
      </c>
      <c r="S119">
        <f>HYPERLINK("https://klasma.github.io/Logging_1737/artfynd/A 43784-2021 artfynd.xlsx", "A 43784-2021")</f>
        <v/>
      </c>
      <c r="T119">
        <f>HYPERLINK("https://klasma.github.io/Logging_1737/kartor/A 43784-2021 karta.png", "A 43784-2021")</f>
        <v/>
      </c>
      <c r="V119">
        <f>HYPERLINK("https://klasma.github.io/Logging_1737/klagomål/A 43784-2021 FSC-klagomål.docx", "A 43784-2021")</f>
        <v/>
      </c>
      <c r="W119">
        <f>HYPERLINK("https://klasma.github.io/Logging_1737/klagomålsmail/A 43784-2021 FSC-klagomål mail.docx", "A 43784-2021")</f>
        <v/>
      </c>
      <c r="X119">
        <f>HYPERLINK("https://klasma.github.io/Logging_1737/tillsyn/A 43784-2021 tillsynsbegäran.docx", "A 43784-2021")</f>
        <v/>
      </c>
      <c r="Y119">
        <f>HYPERLINK("https://klasma.github.io/Logging_1737/tillsynsmail/A 43784-2021 tillsynsbegäran mail.docx", "A 43784-2021")</f>
        <v/>
      </c>
    </row>
    <row r="120" ht="15" customHeight="1">
      <c r="A120" t="inlineStr">
        <is>
          <t>A 49110-2021</t>
        </is>
      </c>
      <c r="B120" s="1" t="n">
        <v>44453</v>
      </c>
      <c r="C120" s="1" t="n">
        <v>45640</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54982-2021</t>
        </is>
      </c>
      <c r="B121" s="1" t="n">
        <v>44469</v>
      </c>
      <c r="C121" s="1" t="n">
        <v>45640</v>
      </c>
      <c r="D121" t="inlineStr">
        <is>
          <t>VÄRMLANDS LÄN</t>
        </is>
      </c>
      <c r="E121" t="inlineStr">
        <is>
          <t>TORSBY</t>
        </is>
      </c>
      <c r="G121" t="n">
        <v>4.1</v>
      </c>
      <c r="H121" t="n">
        <v>0</v>
      </c>
      <c r="I121" t="n">
        <v>1</v>
      </c>
      <c r="J121" t="n">
        <v>0</v>
      </c>
      <c r="K121" t="n">
        <v>0</v>
      </c>
      <c r="L121" t="n">
        <v>0</v>
      </c>
      <c r="M121" t="n">
        <v>0</v>
      </c>
      <c r="N121" t="n">
        <v>0</v>
      </c>
      <c r="O121" t="n">
        <v>0</v>
      </c>
      <c r="P121" t="n">
        <v>0</v>
      </c>
      <c r="Q121" t="n">
        <v>1</v>
      </c>
      <c r="R121" s="2" t="inlineStr">
        <is>
          <t>Tibast</t>
        </is>
      </c>
      <c r="S121">
        <f>HYPERLINK("https://klasma.github.io/Logging_1737/artfynd/A 54982-2021 artfynd.xlsx", "A 54982-2021")</f>
        <v/>
      </c>
      <c r="T121">
        <f>HYPERLINK("https://klasma.github.io/Logging_1737/kartor/A 54982-2021 karta.png", "A 54982-2021")</f>
        <v/>
      </c>
      <c r="V121">
        <f>HYPERLINK("https://klasma.github.io/Logging_1737/klagomål/A 54982-2021 FSC-klagomål.docx", "A 54982-2021")</f>
        <v/>
      </c>
      <c r="W121">
        <f>HYPERLINK("https://klasma.github.io/Logging_1737/klagomålsmail/A 54982-2021 FSC-klagomål mail.docx", "A 54982-2021")</f>
        <v/>
      </c>
      <c r="X121">
        <f>HYPERLINK("https://klasma.github.io/Logging_1737/tillsyn/A 54982-2021 tillsynsbegäran.docx", "A 54982-2021")</f>
        <v/>
      </c>
      <c r="Y121">
        <f>HYPERLINK("https://klasma.github.io/Logging_1737/tillsynsmail/A 54982-2021 tillsynsbegäran mail.docx", "A 54982-2021")</f>
        <v/>
      </c>
    </row>
    <row r="122" ht="15" customHeight="1">
      <c r="A122" t="inlineStr">
        <is>
          <t>A 58471-2021</t>
        </is>
      </c>
      <c r="B122" s="1" t="n">
        <v>44488</v>
      </c>
      <c r="C122" s="1" t="n">
        <v>45640</v>
      </c>
      <c r="D122" t="inlineStr">
        <is>
          <t>VÄRMLANDS LÄN</t>
        </is>
      </c>
      <c r="E122" t="inlineStr">
        <is>
          <t>TORSBY</t>
        </is>
      </c>
      <c r="G122" t="n">
        <v>2.5</v>
      </c>
      <c r="H122" t="n">
        <v>0</v>
      </c>
      <c r="I122" t="n">
        <v>1</v>
      </c>
      <c r="J122" t="n">
        <v>0</v>
      </c>
      <c r="K122" t="n">
        <v>0</v>
      </c>
      <c r="L122" t="n">
        <v>0</v>
      </c>
      <c r="M122" t="n">
        <v>0</v>
      </c>
      <c r="N122" t="n">
        <v>0</v>
      </c>
      <c r="O122" t="n">
        <v>0</v>
      </c>
      <c r="P122" t="n">
        <v>0</v>
      </c>
      <c r="Q122" t="n">
        <v>1</v>
      </c>
      <c r="R122" s="2" t="inlineStr">
        <is>
          <t>Korallblylav</t>
        </is>
      </c>
      <c r="S122">
        <f>HYPERLINK("https://klasma.github.io/Logging_1737/artfynd/A 58471-2021 artfynd.xlsx", "A 58471-2021")</f>
        <v/>
      </c>
      <c r="T122">
        <f>HYPERLINK("https://klasma.github.io/Logging_1737/kartor/A 58471-2021 karta.png", "A 58471-2021")</f>
        <v/>
      </c>
      <c r="V122">
        <f>HYPERLINK("https://klasma.github.io/Logging_1737/klagomål/A 58471-2021 FSC-klagomål.docx", "A 58471-2021")</f>
        <v/>
      </c>
      <c r="W122">
        <f>HYPERLINK("https://klasma.github.io/Logging_1737/klagomålsmail/A 58471-2021 FSC-klagomål mail.docx", "A 58471-2021")</f>
        <v/>
      </c>
      <c r="X122">
        <f>HYPERLINK("https://klasma.github.io/Logging_1737/tillsyn/A 58471-2021 tillsynsbegäran.docx", "A 58471-2021")</f>
        <v/>
      </c>
      <c r="Y122">
        <f>HYPERLINK("https://klasma.github.io/Logging_1737/tillsynsmail/A 58471-2021 tillsynsbegäran mail.docx", "A 58471-2021")</f>
        <v/>
      </c>
    </row>
    <row r="123" ht="15" customHeight="1">
      <c r="A123" t="inlineStr">
        <is>
          <t>A 61813-2021</t>
        </is>
      </c>
      <c r="B123" s="1" t="n">
        <v>44501</v>
      </c>
      <c r="C123" s="1" t="n">
        <v>45640</v>
      </c>
      <c r="D123" t="inlineStr">
        <is>
          <t>VÄRMLANDS LÄN</t>
        </is>
      </c>
      <c r="E123" t="inlineStr">
        <is>
          <t>TORSBY</t>
        </is>
      </c>
      <c r="G123" t="n">
        <v>4.9</v>
      </c>
      <c r="H123" t="n">
        <v>0</v>
      </c>
      <c r="I123" t="n">
        <v>0</v>
      </c>
      <c r="J123" t="n">
        <v>1</v>
      </c>
      <c r="K123" t="n">
        <v>0</v>
      </c>
      <c r="L123" t="n">
        <v>0</v>
      </c>
      <c r="M123" t="n">
        <v>0</v>
      </c>
      <c r="N123" t="n">
        <v>0</v>
      </c>
      <c r="O123" t="n">
        <v>1</v>
      </c>
      <c r="P123" t="n">
        <v>0</v>
      </c>
      <c r="Q123" t="n">
        <v>1</v>
      </c>
      <c r="R123" s="2" t="inlineStr">
        <is>
          <t>Tallticka</t>
        </is>
      </c>
      <c r="S123">
        <f>HYPERLINK("https://klasma.github.io/Logging_1737/artfynd/A 61813-2021 artfynd.xlsx", "A 61813-2021")</f>
        <v/>
      </c>
      <c r="T123">
        <f>HYPERLINK("https://klasma.github.io/Logging_1737/kartor/A 61813-2021 karta.png", "A 61813-2021")</f>
        <v/>
      </c>
      <c r="V123">
        <f>HYPERLINK("https://klasma.github.io/Logging_1737/klagomål/A 61813-2021 FSC-klagomål.docx", "A 61813-2021")</f>
        <v/>
      </c>
      <c r="W123">
        <f>HYPERLINK("https://klasma.github.io/Logging_1737/klagomålsmail/A 61813-2021 FSC-klagomål mail.docx", "A 61813-2021")</f>
        <v/>
      </c>
      <c r="X123">
        <f>HYPERLINK("https://klasma.github.io/Logging_1737/tillsyn/A 61813-2021 tillsynsbegäran.docx", "A 61813-2021")</f>
        <v/>
      </c>
      <c r="Y123">
        <f>HYPERLINK("https://klasma.github.io/Logging_1737/tillsynsmail/A 61813-2021 tillsynsbegäran mail.docx", "A 61813-2021")</f>
        <v/>
      </c>
    </row>
    <row r="124" ht="15" customHeight="1">
      <c r="A124" t="inlineStr">
        <is>
          <t>A 65767-2021</t>
        </is>
      </c>
      <c r="B124" s="1" t="n">
        <v>44516</v>
      </c>
      <c r="C124" s="1" t="n">
        <v>45640</v>
      </c>
      <c r="D124" t="inlineStr">
        <is>
          <t>VÄRMLANDS LÄN</t>
        </is>
      </c>
      <c r="E124" t="inlineStr">
        <is>
          <t>TORSBY</t>
        </is>
      </c>
      <c r="G124" t="n">
        <v>7.5</v>
      </c>
      <c r="H124" t="n">
        <v>0</v>
      </c>
      <c r="I124" t="n">
        <v>1</v>
      </c>
      <c r="J124" t="n">
        <v>0</v>
      </c>
      <c r="K124" t="n">
        <v>0</v>
      </c>
      <c r="L124" t="n">
        <v>0</v>
      </c>
      <c r="M124" t="n">
        <v>0</v>
      </c>
      <c r="N124" t="n">
        <v>0</v>
      </c>
      <c r="O124" t="n">
        <v>0</v>
      </c>
      <c r="P124" t="n">
        <v>0</v>
      </c>
      <c r="Q124" t="n">
        <v>1</v>
      </c>
      <c r="R124" s="2" t="inlineStr">
        <is>
          <t>Mörk husmossa</t>
        </is>
      </c>
      <c r="S124">
        <f>HYPERLINK("https://klasma.github.io/Logging_1737/artfynd/A 65767-2021 artfynd.xlsx", "A 65767-2021")</f>
        <v/>
      </c>
      <c r="T124">
        <f>HYPERLINK("https://klasma.github.io/Logging_1737/kartor/A 65767-2021 karta.png", "A 65767-2021")</f>
        <v/>
      </c>
      <c r="V124">
        <f>HYPERLINK("https://klasma.github.io/Logging_1737/klagomål/A 65767-2021 FSC-klagomål.docx", "A 65767-2021")</f>
        <v/>
      </c>
      <c r="W124">
        <f>HYPERLINK("https://klasma.github.io/Logging_1737/klagomålsmail/A 65767-2021 FSC-klagomål mail.docx", "A 65767-2021")</f>
        <v/>
      </c>
      <c r="X124">
        <f>HYPERLINK("https://klasma.github.io/Logging_1737/tillsyn/A 65767-2021 tillsynsbegäran.docx", "A 65767-2021")</f>
        <v/>
      </c>
      <c r="Y124">
        <f>HYPERLINK("https://klasma.github.io/Logging_1737/tillsynsmail/A 65767-2021 tillsynsbegäran mail.docx", "A 65767-2021")</f>
        <v/>
      </c>
    </row>
    <row r="125" ht="15" customHeight="1">
      <c r="A125" t="inlineStr">
        <is>
          <t>A 71594-2021</t>
        </is>
      </c>
      <c r="B125" s="1" t="n">
        <v>44541</v>
      </c>
      <c r="C125" s="1" t="n">
        <v>45640</v>
      </c>
      <c r="D125" t="inlineStr">
        <is>
          <t>VÄRMLANDS LÄN</t>
        </is>
      </c>
      <c r="E125" t="inlineStr">
        <is>
          <t>TORSBY</t>
        </is>
      </c>
      <c r="G125" t="n">
        <v>13.1</v>
      </c>
      <c r="H125" t="n">
        <v>0</v>
      </c>
      <c r="I125" t="n">
        <v>0</v>
      </c>
      <c r="J125" t="n">
        <v>1</v>
      </c>
      <c r="K125" t="n">
        <v>0</v>
      </c>
      <c r="L125" t="n">
        <v>0</v>
      </c>
      <c r="M125" t="n">
        <v>0</v>
      </c>
      <c r="N125" t="n">
        <v>0</v>
      </c>
      <c r="O125" t="n">
        <v>1</v>
      </c>
      <c r="P125" t="n">
        <v>0</v>
      </c>
      <c r="Q125" t="n">
        <v>1</v>
      </c>
      <c r="R125" s="2" t="inlineStr">
        <is>
          <t>Garnlav</t>
        </is>
      </c>
      <c r="S125">
        <f>HYPERLINK("https://klasma.github.io/Logging_1737/artfynd/A 71594-2021 artfynd.xlsx", "A 71594-2021")</f>
        <v/>
      </c>
      <c r="T125">
        <f>HYPERLINK("https://klasma.github.io/Logging_1737/kartor/A 71594-2021 karta.png", "A 71594-2021")</f>
        <v/>
      </c>
      <c r="V125">
        <f>HYPERLINK("https://klasma.github.io/Logging_1737/klagomål/A 71594-2021 FSC-klagomål.docx", "A 71594-2021")</f>
        <v/>
      </c>
      <c r="W125">
        <f>HYPERLINK("https://klasma.github.io/Logging_1737/klagomålsmail/A 71594-2021 FSC-klagomål mail.docx", "A 71594-2021")</f>
        <v/>
      </c>
      <c r="X125">
        <f>HYPERLINK("https://klasma.github.io/Logging_1737/tillsyn/A 71594-2021 tillsynsbegäran.docx", "A 71594-2021")</f>
        <v/>
      </c>
      <c r="Y125">
        <f>HYPERLINK("https://klasma.github.io/Logging_1737/tillsynsmail/A 71594-2021 tillsynsbegäran mail.docx", "A 71594-2021")</f>
        <v/>
      </c>
    </row>
    <row r="126" ht="15" customHeight="1">
      <c r="A126" t="inlineStr">
        <is>
          <t>A 3404-2022</t>
        </is>
      </c>
      <c r="B126" s="1" t="n">
        <v>44585</v>
      </c>
      <c r="C126" s="1" t="n">
        <v>45640</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Vedtrappmossa</t>
        </is>
      </c>
      <c r="S126">
        <f>HYPERLINK("https://klasma.github.io/Logging_1737/artfynd/A 3404-2022 artfynd.xlsx", "A 3404-2022")</f>
        <v/>
      </c>
      <c r="T126">
        <f>HYPERLINK("https://klasma.github.io/Logging_1737/kartor/A 3404-2022 karta.png", "A 3404-2022")</f>
        <v/>
      </c>
      <c r="V126">
        <f>HYPERLINK("https://klasma.github.io/Logging_1737/klagomål/A 3404-2022 FSC-klagomål.docx", "A 3404-2022")</f>
        <v/>
      </c>
      <c r="W126">
        <f>HYPERLINK("https://klasma.github.io/Logging_1737/klagomålsmail/A 3404-2022 FSC-klagomål mail.docx", "A 3404-2022")</f>
        <v/>
      </c>
      <c r="X126">
        <f>HYPERLINK("https://klasma.github.io/Logging_1737/tillsyn/A 3404-2022 tillsynsbegäran.docx", "A 3404-2022")</f>
        <v/>
      </c>
      <c r="Y126">
        <f>HYPERLINK("https://klasma.github.io/Logging_1737/tillsynsmail/A 3404-2022 tillsynsbegäran mail.docx", "A 3404-2022")</f>
        <v/>
      </c>
    </row>
    <row r="127" ht="15" customHeight="1">
      <c r="A127" t="inlineStr">
        <is>
          <t>A 16572-2022</t>
        </is>
      </c>
      <c r="B127" s="1" t="n">
        <v>44672</v>
      </c>
      <c r="C127" s="1" t="n">
        <v>45640</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23486-2022</t>
        </is>
      </c>
      <c r="B128" s="1" t="n">
        <v>44721</v>
      </c>
      <c r="C128" s="1" t="n">
        <v>45640</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Tallriska</t>
        </is>
      </c>
      <c r="S128">
        <f>HYPERLINK("https://klasma.github.io/Logging_1737/artfynd/A 23486-2022 artfynd.xlsx", "A 23486-2022")</f>
        <v/>
      </c>
      <c r="T128">
        <f>HYPERLINK("https://klasma.github.io/Logging_1737/kartor/A 23486-2022 karta.png", "A 23486-2022")</f>
        <v/>
      </c>
      <c r="V128">
        <f>HYPERLINK("https://klasma.github.io/Logging_1737/klagomål/A 23486-2022 FSC-klagomål.docx", "A 23486-2022")</f>
        <v/>
      </c>
      <c r="W128">
        <f>HYPERLINK("https://klasma.github.io/Logging_1737/klagomålsmail/A 23486-2022 FSC-klagomål mail.docx", "A 23486-2022")</f>
        <v/>
      </c>
      <c r="X128">
        <f>HYPERLINK("https://klasma.github.io/Logging_1737/tillsyn/A 23486-2022 tillsynsbegäran.docx", "A 23486-2022")</f>
        <v/>
      </c>
      <c r="Y128">
        <f>HYPERLINK("https://klasma.github.io/Logging_1737/tillsynsmail/A 23486-2022 tillsynsbegäran mail.docx", "A 23486-2022")</f>
        <v/>
      </c>
    </row>
    <row r="129" ht="15" customHeight="1">
      <c r="A129" t="inlineStr">
        <is>
          <t>A 25999-2022</t>
        </is>
      </c>
      <c r="B129" s="1" t="n">
        <v>44734</v>
      </c>
      <c r="C129" s="1" t="n">
        <v>45640</v>
      </c>
      <c r="D129" t="inlineStr">
        <is>
          <t>VÄRMLANDS LÄN</t>
        </is>
      </c>
      <c r="E129" t="inlineStr">
        <is>
          <t>TORSBY</t>
        </is>
      </c>
      <c r="G129" t="n">
        <v>0.6</v>
      </c>
      <c r="H129" t="n">
        <v>0</v>
      </c>
      <c r="I129" t="n">
        <v>1</v>
      </c>
      <c r="J129" t="n">
        <v>0</v>
      </c>
      <c r="K129" t="n">
        <v>0</v>
      </c>
      <c r="L129" t="n">
        <v>0</v>
      </c>
      <c r="M129" t="n">
        <v>0</v>
      </c>
      <c r="N129" t="n">
        <v>0</v>
      </c>
      <c r="O129" t="n">
        <v>0</v>
      </c>
      <c r="P129" t="n">
        <v>0</v>
      </c>
      <c r="Q129" t="n">
        <v>1</v>
      </c>
      <c r="R129" s="2" t="inlineStr">
        <is>
          <t>Korallblylav</t>
        </is>
      </c>
      <c r="S129">
        <f>HYPERLINK("https://klasma.github.io/Logging_1737/artfynd/A 25999-2022 artfynd.xlsx", "A 25999-2022")</f>
        <v/>
      </c>
      <c r="T129">
        <f>HYPERLINK("https://klasma.github.io/Logging_1737/kartor/A 25999-2022 karta.png", "A 25999-2022")</f>
        <v/>
      </c>
      <c r="V129">
        <f>HYPERLINK("https://klasma.github.io/Logging_1737/klagomål/A 25999-2022 FSC-klagomål.docx", "A 25999-2022")</f>
        <v/>
      </c>
      <c r="W129">
        <f>HYPERLINK("https://klasma.github.io/Logging_1737/klagomålsmail/A 25999-2022 FSC-klagomål mail.docx", "A 25999-2022")</f>
        <v/>
      </c>
      <c r="X129">
        <f>HYPERLINK("https://klasma.github.io/Logging_1737/tillsyn/A 25999-2022 tillsynsbegäran.docx", "A 25999-2022")</f>
        <v/>
      </c>
      <c r="Y129">
        <f>HYPERLINK("https://klasma.github.io/Logging_1737/tillsynsmail/A 25999-2022 tillsynsbegäran mail.docx", "A 25999-2022")</f>
        <v/>
      </c>
    </row>
    <row r="130" ht="15" customHeight="1">
      <c r="A130" t="inlineStr">
        <is>
          <t>A 35709-2022</t>
        </is>
      </c>
      <c r="B130" s="1" t="n">
        <v>44799</v>
      </c>
      <c r="C130" s="1" t="n">
        <v>45640</v>
      </c>
      <c r="D130" t="inlineStr">
        <is>
          <t>VÄRMLANDS LÄN</t>
        </is>
      </c>
      <c r="E130" t="inlineStr">
        <is>
          <t>TORSBY</t>
        </is>
      </c>
      <c r="G130" t="n">
        <v>4.4</v>
      </c>
      <c r="H130" t="n">
        <v>0</v>
      </c>
      <c r="I130" t="n">
        <v>1</v>
      </c>
      <c r="J130" t="n">
        <v>0</v>
      </c>
      <c r="K130" t="n">
        <v>0</v>
      </c>
      <c r="L130" t="n">
        <v>0</v>
      </c>
      <c r="M130" t="n">
        <v>0</v>
      </c>
      <c r="N130" t="n">
        <v>0</v>
      </c>
      <c r="O130" t="n">
        <v>0</v>
      </c>
      <c r="P130" t="n">
        <v>0</v>
      </c>
      <c r="Q130" t="n">
        <v>1</v>
      </c>
      <c r="R130" s="2" t="inlineStr">
        <is>
          <t>Dropptaggsvamp</t>
        </is>
      </c>
      <c r="S130">
        <f>HYPERLINK("https://klasma.github.io/Logging_1737/artfynd/A 35709-2022 artfynd.xlsx", "A 35709-2022")</f>
        <v/>
      </c>
      <c r="T130">
        <f>HYPERLINK("https://klasma.github.io/Logging_1737/kartor/A 35709-2022 karta.png", "A 35709-2022")</f>
        <v/>
      </c>
      <c r="V130">
        <f>HYPERLINK("https://klasma.github.io/Logging_1737/klagomål/A 35709-2022 FSC-klagomål.docx", "A 35709-2022")</f>
        <v/>
      </c>
      <c r="W130">
        <f>HYPERLINK("https://klasma.github.io/Logging_1737/klagomålsmail/A 35709-2022 FSC-klagomål mail.docx", "A 35709-2022")</f>
        <v/>
      </c>
      <c r="X130">
        <f>HYPERLINK("https://klasma.github.io/Logging_1737/tillsyn/A 35709-2022 tillsynsbegäran.docx", "A 35709-2022")</f>
        <v/>
      </c>
      <c r="Y130">
        <f>HYPERLINK("https://klasma.github.io/Logging_1737/tillsynsmail/A 35709-2022 tillsynsbegäran mail.docx", "A 35709-2022")</f>
        <v/>
      </c>
    </row>
    <row r="131" ht="15" customHeight="1">
      <c r="A131" t="inlineStr">
        <is>
          <t>A 42500-2022</t>
        </is>
      </c>
      <c r="B131" s="1" t="n">
        <v>44831</v>
      </c>
      <c r="C131" s="1" t="n">
        <v>45640</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44007-2022</t>
        </is>
      </c>
      <c r="B132" s="1" t="n">
        <v>44838</v>
      </c>
      <c r="C132" s="1" t="n">
        <v>45640</v>
      </c>
      <c r="D132" t="inlineStr">
        <is>
          <t>VÄRMLANDS LÄN</t>
        </is>
      </c>
      <c r="E132" t="inlineStr">
        <is>
          <t>TORSBY</t>
        </is>
      </c>
      <c r="F132" t="inlineStr">
        <is>
          <t>Bergvik skog väst AB</t>
        </is>
      </c>
      <c r="G132" t="n">
        <v>8</v>
      </c>
      <c r="H132" t="n">
        <v>1</v>
      </c>
      <c r="I132" t="n">
        <v>0</v>
      </c>
      <c r="J132" t="n">
        <v>1</v>
      </c>
      <c r="K132" t="n">
        <v>0</v>
      </c>
      <c r="L132" t="n">
        <v>0</v>
      </c>
      <c r="M132" t="n">
        <v>0</v>
      </c>
      <c r="N132" t="n">
        <v>0</v>
      </c>
      <c r="O132" t="n">
        <v>1</v>
      </c>
      <c r="P132" t="n">
        <v>0</v>
      </c>
      <c r="Q132" t="n">
        <v>1</v>
      </c>
      <c r="R132" s="2" t="inlineStr">
        <is>
          <t>Utter</t>
        </is>
      </c>
      <c r="S132">
        <f>HYPERLINK("https://klasma.github.io/Logging_1737/artfynd/A 44007-2022 artfynd.xlsx", "A 44007-2022")</f>
        <v/>
      </c>
      <c r="T132">
        <f>HYPERLINK("https://klasma.github.io/Logging_1737/kartor/A 44007-2022 karta.png", "A 44007-2022")</f>
        <v/>
      </c>
      <c r="V132">
        <f>HYPERLINK("https://klasma.github.io/Logging_1737/klagomål/A 44007-2022 FSC-klagomål.docx", "A 44007-2022")</f>
        <v/>
      </c>
      <c r="W132">
        <f>HYPERLINK("https://klasma.github.io/Logging_1737/klagomålsmail/A 44007-2022 FSC-klagomål mail.docx", "A 44007-2022")</f>
        <v/>
      </c>
      <c r="X132">
        <f>HYPERLINK("https://klasma.github.io/Logging_1737/tillsyn/A 44007-2022 tillsynsbegäran.docx", "A 44007-2022")</f>
        <v/>
      </c>
      <c r="Y132">
        <f>HYPERLINK("https://klasma.github.io/Logging_1737/tillsynsmail/A 44007-2022 tillsynsbegäran mail.docx", "A 44007-2022")</f>
        <v/>
      </c>
    </row>
    <row r="133" ht="15" customHeight="1">
      <c r="A133" t="inlineStr">
        <is>
          <t>A 50236-2022</t>
        </is>
      </c>
      <c r="B133" s="1" t="n">
        <v>44865</v>
      </c>
      <c r="C133" s="1" t="n">
        <v>45640</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51288-2022</t>
        </is>
      </c>
      <c r="B134" s="1" t="n">
        <v>44868</v>
      </c>
      <c r="C134" s="1" t="n">
        <v>45640</v>
      </c>
      <c r="D134" t="inlineStr">
        <is>
          <t>VÄRMLANDS LÄN</t>
        </is>
      </c>
      <c r="E134" t="inlineStr">
        <is>
          <t>TORSBY</t>
        </is>
      </c>
      <c r="G134" t="n">
        <v>1.9</v>
      </c>
      <c r="H134" t="n">
        <v>1</v>
      </c>
      <c r="I134" t="n">
        <v>0</v>
      </c>
      <c r="J134" t="n">
        <v>0</v>
      </c>
      <c r="K134" t="n">
        <v>1</v>
      </c>
      <c r="L134" t="n">
        <v>0</v>
      </c>
      <c r="M134" t="n">
        <v>0</v>
      </c>
      <c r="N134" t="n">
        <v>0</v>
      </c>
      <c r="O134" t="n">
        <v>1</v>
      </c>
      <c r="P134" t="n">
        <v>1</v>
      </c>
      <c r="Q134" t="n">
        <v>1</v>
      </c>
      <c r="R134" s="2" t="inlineStr">
        <is>
          <t>Bombmurkla</t>
        </is>
      </c>
      <c r="S134">
        <f>HYPERLINK("https://klasma.github.io/Logging_1737/artfynd/A 51288-2022 artfynd.xlsx", "A 51288-2022")</f>
        <v/>
      </c>
      <c r="T134">
        <f>HYPERLINK("https://klasma.github.io/Logging_1737/kartor/A 51288-2022 karta.png", "A 51288-2022")</f>
        <v/>
      </c>
      <c r="V134">
        <f>HYPERLINK("https://klasma.github.io/Logging_1737/klagomål/A 51288-2022 FSC-klagomål.docx", "A 51288-2022")</f>
        <v/>
      </c>
      <c r="W134">
        <f>HYPERLINK("https://klasma.github.io/Logging_1737/klagomålsmail/A 51288-2022 FSC-klagomål mail.docx", "A 51288-2022")</f>
        <v/>
      </c>
      <c r="X134">
        <f>HYPERLINK("https://klasma.github.io/Logging_1737/tillsyn/A 51288-2022 tillsynsbegäran.docx", "A 51288-2022")</f>
        <v/>
      </c>
      <c r="Y134">
        <f>HYPERLINK("https://klasma.github.io/Logging_1737/tillsynsmail/A 51288-2022 tillsynsbegäran mail.docx", "A 51288-2022")</f>
        <v/>
      </c>
    </row>
    <row r="135" ht="15" customHeight="1">
      <c r="A135" t="inlineStr">
        <is>
          <t>A 13361-2023</t>
        </is>
      </c>
      <c r="B135" s="1" t="n">
        <v>45005</v>
      </c>
      <c r="C135" s="1" t="n">
        <v>45640</v>
      </c>
      <c r="D135" t="inlineStr">
        <is>
          <t>VÄRMLANDS LÄN</t>
        </is>
      </c>
      <c r="E135" t="inlineStr">
        <is>
          <t>TORSBY</t>
        </is>
      </c>
      <c r="G135" t="n">
        <v>8.5</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13361-2023 artfynd.xlsx", "A 13361-2023")</f>
        <v/>
      </c>
      <c r="T135">
        <f>HYPERLINK("https://klasma.github.io/Logging_1737/kartor/A 13361-2023 karta.png", "A 13361-2023")</f>
        <v/>
      </c>
      <c r="V135">
        <f>HYPERLINK("https://klasma.github.io/Logging_1737/klagomål/A 13361-2023 FSC-klagomål.docx", "A 13361-2023")</f>
        <v/>
      </c>
      <c r="W135">
        <f>HYPERLINK("https://klasma.github.io/Logging_1737/klagomålsmail/A 13361-2023 FSC-klagomål mail.docx", "A 13361-2023")</f>
        <v/>
      </c>
      <c r="X135">
        <f>HYPERLINK("https://klasma.github.io/Logging_1737/tillsyn/A 13361-2023 tillsynsbegäran.docx", "A 13361-2023")</f>
        <v/>
      </c>
      <c r="Y135">
        <f>HYPERLINK("https://klasma.github.io/Logging_1737/tillsynsmail/A 13361-2023 tillsynsbegäran mail.docx", "A 13361-2023")</f>
        <v/>
      </c>
    </row>
    <row r="136" ht="15" customHeight="1">
      <c r="A136" t="inlineStr">
        <is>
          <t>A 13359-2023</t>
        </is>
      </c>
      <c r="B136" s="1" t="n">
        <v>45005</v>
      </c>
      <c r="C136" s="1" t="n">
        <v>45640</v>
      </c>
      <c r="D136" t="inlineStr">
        <is>
          <t>VÄRMLANDS LÄN</t>
        </is>
      </c>
      <c r="E136" t="inlineStr">
        <is>
          <t>TORSBY</t>
        </is>
      </c>
      <c r="G136" t="n">
        <v>12.9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13359-2023 artfynd.xlsx", "A 13359-2023")</f>
        <v/>
      </c>
      <c r="T136">
        <f>HYPERLINK("https://klasma.github.io/Logging_1737/kartor/A 13359-2023 karta.png", "A 13359-2023")</f>
        <v/>
      </c>
      <c r="V136">
        <f>HYPERLINK("https://klasma.github.io/Logging_1737/klagomål/A 13359-2023 FSC-klagomål.docx", "A 13359-2023")</f>
        <v/>
      </c>
      <c r="W136">
        <f>HYPERLINK("https://klasma.github.io/Logging_1737/klagomålsmail/A 13359-2023 FSC-klagomål mail.docx", "A 13359-2023")</f>
        <v/>
      </c>
      <c r="X136">
        <f>HYPERLINK("https://klasma.github.io/Logging_1737/tillsyn/A 13359-2023 tillsynsbegäran.docx", "A 13359-2023")</f>
        <v/>
      </c>
      <c r="Y136">
        <f>HYPERLINK("https://klasma.github.io/Logging_1737/tillsynsmail/A 13359-2023 tillsynsbegäran mail.docx", "A 13359-2023")</f>
        <v/>
      </c>
    </row>
    <row r="137" ht="15" customHeight="1">
      <c r="A137" t="inlineStr">
        <is>
          <t>A 15548-2023</t>
        </is>
      </c>
      <c r="B137" s="1" t="n">
        <v>45020</v>
      </c>
      <c r="C137" s="1" t="n">
        <v>45640</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18882-2023</t>
        </is>
      </c>
      <c r="B138" s="1" t="n">
        <v>45044</v>
      </c>
      <c r="C138" s="1" t="n">
        <v>45640</v>
      </c>
      <c r="D138" t="inlineStr">
        <is>
          <t>VÄRMLANDS LÄN</t>
        </is>
      </c>
      <c r="E138" t="inlineStr">
        <is>
          <t>TORSBY</t>
        </is>
      </c>
      <c r="G138" t="n">
        <v>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18882-2023 artfynd.xlsx", "A 18882-2023")</f>
        <v/>
      </c>
      <c r="T138">
        <f>HYPERLINK("https://klasma.github.io/Logging_1737/kartor/A 18882-2023 karta.png", "A 18882-2023")</f>
        <v/>
      </c>
      <c r="V138">
        <f>HYPERLINK("https://klasma.github.io/Logging_1737/klagomål/A 18882-2023 FSC-klagomål.docx", "A 18882-2023")</f>
        <v/>
      </c>
      <c r="W138">
        <f>HYPERLINK("https://klasma.github.io/Logging_1737/klagomålsmail/A 18882-2023 FSC-klagomål mail.docx", "A 18882-2023")</f>
        <v/>
      </c>
      <c r="X138">
        <f>HYPERLINK("https://klasma.github.io/Logging_1737/tillsyn/A 18882-2023 tillsynsbegäran.docx", "A 18882-2023")</f>
        <v/>
      </c>
      <c r="Y138">
        <f>HYPERLINK("https://klasma.github.io/Logging_1737/tillsynsmail/A 18882-2023 tillsynsbegäran mail.docx", "A 18882-2023")</f>
        <v/>
      </c>
    </row>
    <row r="139" ht="15" customHeight="1">
      <c r="A139" t="inlineStr">
        <is>
          <t>A 19669-2023</t>
        </is>
      </c>
      <c r="B139" s="1" t="n">
        <v>45051</v>
      </c>
      <c r="C139" s="1" t="n">
        <v>45640</v>
      </c>
      <c r="D139" t="inlineStr">
        <is>
          <t>VÄRMLANDS LÄN</t>
        </is>
      </c>
      <c r="E139" t="inlineStr">
        <is>
          <t>TORSBY</t>
        </is>
      </c>
      <c r="F139" t="inlineStr">
        <is>
          <t>Kyrkan</t>
        </is>
      </c>
      <c r="G139" t="n">
        <v>5.2</v>
      </c>
      <c r="H139" t="n">
        <v>1</v>
      </c>
      <c r="I139" t="n">
        <v>0</v>
      </c>
      <c r="J139" t="n">
        <v>1</v>
      </c>
      <c r="K139" t="n">
        <v>0</v>
      </c>
      <c r="L139" t="n">
        <v>0</v>
      </c>
      <c r="M139" t="n">
        <v>0</v>
      </c>
      <c r="N139" t="n">
        <v>0</v>
      </c>
      <c r="O139" t="n">
        <v>1</v>
      </c>
      <c r="P139" t="n">
        <v>0</v>
      </c>
      <c r="Q139" t="n">
        <v>1</v>
      </c>
      <c r="R139" s="2" t="inlineStr">
        <is>
          <t>Utter</t>
        </is>
      </c>
      <c r="S139">
        <f>HYPERLINK("https://klasma.github.io/Logging_1737/artfynd/A 19669-2023 artfynd.xlsx", "A 19669-2023")</f>
        <v/>
      </c>
      <c r="T139">
        <f>HYPERLINK("https://klasma.github.io/Logging_1737/kartor/A 19669-2023 karta.png", "A 19669-2023")</f>
        <v/>
      </c>
      <c r="V139">
        <f>HYPERLINK("https://klasma.github.io/Logging_1737/klagomål/A 19669-2023 FSC-klagomål.docx", "A 19669-2023")</f>
        <v/>
      </c>
      <c r="W139">
        <f>HYPERLINK("https://klasma.github.io/Logging_1737/klagomålsmail/A 19669-2023 FSC-klagomål mail.docx", "A 19669-2023")</f>
        <v/>
      </c>
      <c r="X139">
        <f>HYPERLINK("https://klasma.github.io/Logging_1737/tillsyn/A 19669-2023 tillsynsbegäran.docx", "A 19669-2023")</f>
        <v/>
      </c>
      <c r="Y139">
        <f>HYPERLINK("https://klasma.github.io/Logging_1737/tillsynsmail/A 19669-2023 tillsynsbegäran mail.docx", "A 19669-2023")</f>
        <v/>
      </c>
    </row>
    <row r="140" ht="15" customHeight="1">
      <c r="A140" t="inlineStr">
        <is>
          <t>A 26747-2023</t>
        </is>
      </c>
      <c r="B140" s="1" t="n">
        <v>45090</v>
      </c>
      <c r="C140" s="1" t="n">
        <v>45640</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33835-2023</t>
        </is>
      </c>
      <c r="B141" s="1" t="n">
        <v>45133</v>
      </c>
      <c r="C141" s="1" t="n">
        <v>45640</v>
      </c>
      <c r="D141" t="inlineStr">
        <is>
          <t>VÄRMLANDS LÄN</t>
        </is>
      </c>
      <c r="E141" t="inlineStr">
        <is>
          <t>TORSBY</t>
        </is>
      </c>
      <c r="F141" t="inlineStr">
        <is>
          <t>Bergvik skog väst AB</t>
        </is>
      </c>
      <c r="G141" t="n">
        <v>17.3</v>
      </c>
      <c r="H141" t="n">
        <v>1</v>
      </c>
      <c r="I141" t="n">
        <v>0</v>
      </c>
      <c r="J141" t="n">
        <v>0</v>
      </c>
      <c r="K141" t="n">
        <v>0</v>
      </c>
      <c r="L141" t="n">
        <v>0</v>
      </c>
      <c r="M141" t="n">
        <v>0</v>
      </c>
      <c r="N141" t="n">
        <v>0</v>
      </c>
      <c r="O141" t="n">
        <v>0</v>
      </c>
      <c r="P141" t="n">
        <v>0</v>
      </c>
      <c r="Q141" t="n">
        <v>1</v>
      </c>
      <c r="R141" s="2" t="inlineStr">
        <is>
          <t>Sparvuggla</t>
        </is>
      </c>
      <c r="S141">
        <f>HYPERLINK("https://klasma.github.io/Logging_1737/artfynd/A 33835-2023 artfynd.xlsx", "A 33835-2023")</f>
        <v/>
      </c>
      <c r="T141">
        <f>HYPERLINK("https://klasma.github.io/Logging_1737/kartor/A 33835-2023 karta.png", "A 33835-2023")</f>
        <v/>
      </c>
      <c r="V141">
        <f>HYPERLINK("https://klasma.github.io/Logging_1737/klagomål/A 33835-2023 FSC-klagomål.docx", "A 33835-2023")</f>
        <v/>
      </c>
      <c r="W141">
        <f>HYPERLINK("https://klasma.github.io/Logging_1737/klagomålsmail/A 33835-2023 FSC-klagomål mail.docx", "A 33835-2023")</f>
        <v/>
      </c>
      <c r="X141">
        <f>HYPERLINK("https://klasma.github.io/Logging_1737/tillsyn/A 33835-2023 tillsynsbegäran.docx", "A 33835-2023")</f>
        <v/>
      </c>
      <c r="Y141">
        <f>HYPERLINK("https://klasma.github.io/Logging_1737/tillsynsmail/A 33835-2023 tillsynsbegäran mail.docx", "A 33835-2023")</f>
        <v/>
      </c>
      <c r="Z141">
        <f>HYPERLINK("https://klasma.github.io/Logging_1737/fåglar/A 33835-2023 prioriterade fågelarter.docx", "A 33835-2023")</f>
        <v/>
      </c>
    </row>
    <row r="142" ht="15" customHeight="1">
      <c r="A142" t="inlineStr">
        <is>
          <t>A 35809-2023</t>
        </is>
      </c>
      <c r="B142" s="1" t="n">
        <v>45147</v>
      </c>
      <c r="C142" s="1" t="n">
        <v>45640</v>
      </c>
      <c r="D142" t="inlineStr">
        <is>
          <t>VÄRMLANDS LÄN</t>
        </is>
      </c>
      <c r="E142" t="inlineStr">
        <is>
          <t>TORSBY</t>
        </is>
      </c>
      <c r="F142" t="inlineStr">
        <is>
          <t>Övriga statliga verk och myndigheter</t>
        </is>
      </c>
      <c r="G142" t="n">
        <v>7.2</v>
      </c>
      <c r="H142" t="n">
        <v>1</v>
      </c>
      <c r="I142" t="n">
        <v>0</v>
      </c>
      <c r="J142" t="n">
        <v>0</v>
      </c>
      <c r="K142" t="n">
        <v>0</v>
      </c>
      <c r="L142" t="n">
        <v>0</v>
      </c>
      <c r="M142" t="n">
        <v>0</v>
      </c>
      <c r="N142" t="n">
        <v>0</v>
      </c>
      <c r="O142" t="n">
        <v>0</v>
      </c>
      <c r="P142" t="n">
        <v>0</v>
      </c>
      <c r="Q142" t="n">
        <v>1</v>
      </c>
      <c r="R142" s="2" t="inlineStr">
        <is>
          <t>Fläcknycklar</t>
        </is>
      </c>
      <c r="S142">
        <f>HYPERLINK("https://klasma.github.io/Logging_1737/artfynd/A 35809-2023 artfynd.xlsx", "A 35809-2023")</f>
        <v/>
      </c>
      <c r="T142">
        <f>HYPERLINK("https://klasma.github.io/Logging_1737/kartor/A 35809-2023 karta.png", "A 35809-2023")</f>
        <v/>
      </c>
      <c r="V142">
        <f>HYPERLINK("https://klasma.github.io/Logging_1737/klagomål/A 35809-2023 FSC-klagomål.docx", "A 35809-2023")</f>
        <v/>
      </c>
      <c r="W142">
        <f>HYPERLINK("https://klasma.github.io/Logging_1737/klagomålsmail/A 35809-2023 FSC-klagomål mail.docx", "A 35809-2023")</f>
        <v/>
      </c>
      <c r="X142">
        <f>HYPERLINK("https://klasma.github.io/Logging_1737/tillsyn/A 35809-2023 tillsynsbegäran.docx", "A 35809-2023")</f>
        <v/>
      </c>
      <c r="Y142">
        <f>HYPERLINK("https://klasma.github.io/Logging_1737/tillsynsmail/A 35809-2023 tillsynsbegäran mail.docx", "A 35809-2023")</f>
        <v/>
      </c>
    </row>
    <row r="143" ht="15" customHeight="1">
      <c r="A143" t="inlineStr">
        <is>
          <t>A 39681-2023</t>
        </is>
      </c>
      <c r="B143" s="1" t="n">
        <v>45167</v>
      </c>
      <c r="C143" s="1" t="n">
        <v>45640</v>
      </c>
      <c r="D143" t="inlineStr">
        <is>
          <t>VÄRMLANDS LÄN</t>
        </is>
      </c>
      <c r="E143" t="inlineStr">
        <is>
          <t>TORSBY</t>
        </is>
      </c>
      <c r="G143" t="n">
        <v>5.2</v>
      </c>
      <c r="H143" t="n">
        <v>0</v>
      </c>
      <c r="I143" t="n">
        <v>0</v>
      </c>
      <c r="J143" t="n">
        <v>1</v>
      </c>
      <c r="K143" t="n">
        <v>0</v>
      </c>
      <c r="L143" t="n">
        <v>0</v>
      </c>
      <c r="M143" t="n">
        <v>0</v>
      </c>
      <c r="N143" t="n">
        <v>0</v>
      </c>
      <c r="O143" t="n">
        <v>1</v>
      </c>
      <c r="P143" t="n">
        <v>0</v>
      </c>
      <c r="Q143" t="n">
        <v>1</v>
      </c>
      <c r="R143" s="2" t="inlineStr">
        <is>
          <t>Garnlav</t>
        </is>
      </c>
      <c r="S143">
        <f>HYPERLINK("https://klasma.github.io/Logging_1737/artfynd/A 39681-2023 artfynd.xlsx", "A 39681-2023")</f>
        <v/>
      </c>
      <c r="T143">
        <f>HYPERLINK("https://klasma.github.io/Logging_1737/kartor/A 39681-2023 karta.png", "A 39681-2023")</f>
        <v/>
      </c>
      <c r="V143">
        <f>HYPERLINK("https://klasma.github.io/Logging_1737/klagomål/A 39681-2023 FSC-klagomål.docx", "A 39681-2023")</f>
        <v/>
      </c>
      <c r="W143">
        <f>HYPERLINK("https://klasma.github.io/Logging_1737/klagomålsmail/A 39681-2023 FSC-klagomål mail.docx", "A 39681-2023")</f>
        <v/>
      </c>
      <c r="X143">
        <f>HYPERLINK("https://klasma.github.io/Logging_1737/tillsyn/A 39681-2023 tillsynsbegäran.docx", "A 39681-2023")</f>
        <v/>
      </c>
      <c r="Y143">
        <f>HYPERLINK("https://klasma.github.io/Logging_1737/tillsynsmail/A 39681-2023 tillsynsbegäran mail.docx", "A 39681-2023")</f>
        <v/>
      </c>
    </row>
    <row r="144" ht="15" customHeight="1">
      <c r="A144" t="inlineStr">
        <is>
          <t>A 39983-2023</t>
        </is>
      </c>
      <c r="B144" s="1" t="n">
        <v>45168</v>
      </c>
      <c r="C144" s="1" t="n">
        <v>45640</v>
      </c>
      <c r="D144" t="inlineStr">
        <is>
          <t>VÄRMLANDS LÄN</t>
        </is>
      </c>
      <c r="E144" t="inlineStr">
        <is>
          <t>TORSBY</t>
        </is>
      </c>
      <c r="G144" t="n">
        <v>17.2</v>
      </c>
      <c r="H144" t="n">
        <v>1</v>
      </c>
      <c r="I144" t="n">
        <v>0</v>
      </c>
      <c r="J144" t="n">
        <v>1</v>
      </c>
      <c r="K144" t="n">
        <v>0</v>
      </c>
      <c r="L144" t="n">
        <v>0</v>
      </c>
      <c r="M144" t="n">
        <v>0</v>
      </c>
      <c r="N144" t="n">
        <v>0</v>
      </c>
      <c r="O144" t="n">
        <v>1</v>
      </c>
      <c r="P144" t="n">
        <v>0</v>
      </c>
      <c r="Q144" t="n">
        <v>1</v>
      </c>
      <c r="R144" s="2" t="inlineStr">
        <is>
          <t>Kråka</t>
        </is>
      </c>
      <c r="S144">
        <f>HYPERLINK("https://klasma.github.io/Logging_1737/artfynd/A 39983-2023 artfynd.xlsx", "A 39983-2023")</f>
        <v/>
      </c>
      <c r="T144">
        <f>HYPERLINK("https://klasma.github.io/Logging_1737/kartor/A 39983-2023 karta.png", "A 39983-2023")</f>
        <v/>
      </c>
      <c r="V144">
        <f>HYPERLINK("https://klasma.github.io/Logging_1737/klagomål/A 39983-2023 FSC-klagomål.docx", "A 39983-2023")</f>
        <v/>
      </c>
      <c r="W144">
        <f>HYPERLINK("https://klasma.github.io/Logging_1737/klagomålsmail/A 39983-2023 FSC-klagomål mail.docx", "A 39983-2023")</f>
        <v/>
      </c>
      <c r="X144">
        <f>HYPERLINK("https://klasma.github.io/Logging_1737/tillsyn/A 39983-2023 tillsynsbegäran.docx", "A 39983-2023")</f>
        <v/>
      </c>
      <c r="Y144">
        <f>HYPERLINK("https://klasma.github.io/Logging_1737/tillsynsmail/A 39983-2023 tillsynsbegäran mail.docx", "A 39983-2023")</f>
        <v/>
      </c>
      <c r="Z144">
        <f>HYPERLINK("https://klasma.github.io/Logging_1737/fåglar/A 39983-2023 prioriterade fågelarter.docx", "A 39983-2023")</f>
        <v/>
      </c>
    </row>
    <row r="145" ht="15" customHeight="1">
      <c r="A145" t="inlineStr">
        <is>
          <t>A 46099-2023</t>
        </is>
      </c>
      <c r="B145" s="1" t="n">
        <v>45196</v>
      </c>
      <c r="C145" s="1" t="n">
        <v>45640</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49724-2023</t>
        </is>
      </c>
      <c r="B146" s="1" t="n">
        <v>45208</v>
      </c>
      <c r="C146" s="1" t="n">
        <v>45640</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Garnlav</t>
        </is>
      </c>
      <c r="S146">
        <f>HYPERLINK("https://klasma.github.io/Logging_1737/artfynd/A 49724-2023 artfynd.xlsx", "A 49724-2023")</f>
        <v/>
      </c>
      <c r="T146">
        <f>HYPERLINK("https://klasma.github.io/Logging_1737/kartor/A 49724-2023 karta.png", "A 49724-2023")</f>
        <v/>
      </c>
      <c r="V146">
        <f>HYPERLINK("https://klasma.github.io/Logging_1737/klagomål/A 49724-2023 FSC-klagomål.docx", "A 49724-2023")</f>
        <v/>
      </c>
      <c r="W146">
        <f>HYPERLINK("https://klasma.github.io/Logging_1737/klagomålsmail/A 49724-2023 FSC-klagomål mail.docx", "A 49724-2023")</f>
        <v/>
      </c>
      <c r="X146">
        <f>HYPERLINK("https://klasma.github.io/Logging_1737/tillsyn/A 49724-2023 tillsynsbegäran.docx", "A 49724-2023")</f>
        <v/>
      </c>
      <c r="Y146">
        <f>HYPERLINK("https://klasma.github.io/Logging_1737/tillsynsmail/A 49724-2023 tillsynsbegäran mail.docx", "A 49724-2023")</f>
        <v/>
      </c>
    </row>
    <row r="147" ht="15" customHeight="1">
      <c r="A147" t="inlineStr">
        <is>
          <t>A 57971-2023</t>
        </is>
      </c>
      <c r="B147" s="1" t="n">
        <v>45247</v>
      </c>
      <c r="C147" s="1" t="n">
        <v>45640</v>
      </c>
      <c r="D147" t="inlineStr">
        <is>
          <t>VÄRMLANDS LÄN</t>
        </is>
      </c>
      <c r="E147" t="inlineStr">
        <is>
          <t>TORSBY</t>
        </is>
      </c>
      <c r="G147" t="n">
        <v>12.4</v>
      </c>
      <c r="H147" t="n">
        <v>0</v>
      </c>
      <c r="I147" t="n">
        <v>0</v>
      </c>
      <c r="J147" t="n">
        <v>1</v>
      </c>
      <c r="K147" t="n">
        <v>0</v>
      </c>
      <c r="L147" t="n">
        <v>0</v>
      </c>
      <c r="M147" t="n">
        <v>0</v>
      </c>
      <c r="N147" t="n">
        <v>0</v>
      </c>
      <c r="O147" t="n">
        <v>1</v>
      </c>
      <c r="P147" t="n">
        <v>0</v>
      </c>
      <c r="Q147" t="n">
        <v>1</v>
      </c>
      <c r="R147" s="2" t="inlineStr">
        <is>
          <t>Garnlav</t>
        </is>
      </c>
      <c r="S147">
        <f>HYPERLINK("https://klasma.github.io/Logging_1737/artfynd/A 57971-2023 artfynd.xlsx", "A 57971-2023")</f>
        <v/>
      </c>
      <c r="T147">
        <f>HYPERLINK("https://klasma.github.io/Logging_1737/kartor/A 57971-2023 karta.png", "A 57971-2023")</f>
        <v/>
      </c>
      <c r="V147">
        <f>HYPERLINK("https://klasma.github.io/Logging_1737/klagomål/A 57971-2023 FSC-klagomål.docx", "A 57971-2023")</f>
        <v/>
      </c>
      <c r="W147">
        <f>HYPERLINK("https://klasma.github.io/Logging_1737/klagomålsmail/A 57971-2023 FSC-klagomål mail.docx", "A 57971-2023")</f>
        <v/>
      </c>
      <c r="X147">
        <f>HYPERLINK("https://klasma.github.io/Logging_1737/tillsyn/A 57971-2023 tillsynsbegäran.docx", "A 57971-2023")</f>
        <v/>
      </c>
      <c r="Y147">
        <f>HYPERLINK("https://klasma.github.io/Logging_1737/tillsynsmail/A 57971-2023 tillsynsbegäran mail.docx", "A 57971-2023")</f>
        <v/>
      </c>
    </row>
    <row r="148" ht="15" customHeight="1">
      <c r="A148" t="inlineStr">
        <is>
          <t>A 61911-2023</t>
        </is>
      </c>
      <c r="B148" s="1" t="n">
        <v>45266</v>
      </c>
      <c r="C148" s="1" t="n">
        <v>45640</v>
      </c>
      <c r="D148" t="inlineStr">
        <is>
          <t>VÄRMLANDS LÄN</t>
        </is>
      </c>
      <c r="E148" t="inlineStr">
        <is>
          <t>TORSBY</t>
        </is>
      </c>
      <c r="F148" t="inlineStr">
        <is>
          <t>Kommuner</t>
        </is>
      </c>
      <c r="G148" t="n">
        <v>9.1</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61911-2023 artfynd.xlsx", "A 61911-2023")</f>
        <v/>
      </c>
      <c r="T148">
        <f>HYPERLINK("https://klasma.github.io/Logging_1737/kartor/A 61911-2023 karta.png", "A 61911-2023")</f>
        <v/>
      </c>
      <c r="V148">
        <f>HYPERLINK("https://klasma.github.io/Logging_1737/klagomål/A 61911-2023 FSC-klagomål.docx", "A 61911-2023")</f>
        <v/>
      </c>
      <c r="W148">
        <f>HYPERLINK("https://klasma.github.io/Logging_1737/klagomålsmail/A 61911-2023 FSC-klagomål mail.docx", "A 61911-2023")</f>
        <v/>
      </c>
      <c r="X148">
        <f>HYPERLINK("https://klasma.github.io/Logging_1737/tillsyn/A 61911-2023 tillsynsbegäran.docx", "A 61911-2023")</f>
        <v/>
      </c>
      <c r="Y148">
        <f>HYPERLINK("https://klasma.github.io/Logging_1737/tillsynsmail/A 61911-2023 tillsynsbegäran mail.docx", "A 61911-2023")</f>
        <v/>
      </c>
    </row>
    <row r="149" ht="15" customHeight="1">
      <c r="A149" t="inlineStr">
        <is>
          <t>A 1811-2024</t>
        </is>
      </c>
      <c r="B149" s="1" t="n">
        <v>45307</v>
      </c>
      <c r="C149" s="1" t="n">
        <v>45640</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2039-2024</t>
        </is>
      </c>
      <c r="B150" s="1" t="n">
        <v>45308</v>
      </c>
      <c r="C150" s="1" t="n">
        <v>45640</v>
      </c>
      <c r="D150" t="inlineStr">
        <is>
          <t>VÄRMLANDS LÄN</t>
        </is>
      </c>
      <c r="E150" t="inlineStr">
        <is>
          <t>TORSBY</t>
        </is>
      </c>
      <c r="G150" t="n">
        <v>6.4</v>
      </c>
      <c r="H150" t="n">
        <v>1</v>
      </c>
      <c r="I150" t="n">
        <v>0</v>
      </c>
      <c r="J150" t="n">
        <v>1</v>
      </c>
      <c r="K150" t="n">
        <v>0</v>
      </c>
      <c r="L150" t="n">
        <v>0</v>
      </c>
      <c r="M150" t="n">
        <v>0</v>
      </c>
      <c r="N150" t="n">
        <v>0</v>
      </c>
      <c r="O150" t="n">
        <v>1</v>
      </c>
      <c r="P150" t="n">
        <v>0</v>
      </c>
      <c r="Q150" t="n">
        <v>1</v>
      </c>
      <c r="R150" s="2" t="inlineStr">
        <is>
          <t>Kungsörn</t>
        </is>
      </c>
      <c r="S150">
        <f>HYPERLINK("https://klasma.github.io/Logging_1737/artfynd/A 2039-2024 artfynd.xlsx", "A 2039-2024")</f>
        <v/>
      </c>
      <c r="T150">
        <f>HYPERLINK("https://klasma.github.io/Logging_1737/kartor/A 2039-2024 karta.png", "A 2039-2024")</f>
        <v/>
      </c>
      <c r="V150">
        <f>HYPERLINK("https://klasma.github.io/Logging_1737/klagomål/A 2039-2024 FSC-klagomål.docx", "A 2039-2024")</f>
        <v/>
      </c>
      <c r="W150">
        <f>HYPERLINK("https://klasma.github.io/Logging_1737/klagomålsmail/A 2039-2024 FSC-klagomål mail.docx", "A 2039-2024")</f>
        <v/>
      </c>
      <c r="X150">
        <f>HYPERLINK("https://klasma.github.io/Logging_1737/tillsyn/A 2039-2024 tillsynsbegäran.docx", "A 2039-2024")</f>
        <v/>
      </c>
      <c r="Y150">
        <f>HYPERLINK("https://klasma.github.io/Logging_1737/tillsynsmail/A 2039-2024 tillsynsbegäran mail.docx", "A 2039-2024")</f>
        <v/>
      </c>
      <c r="Z150">
        <f>HYPERLINK("https://klasma.github.io/Logging_1737/fåglar/A 2039-2024 prioriterade fågelarter.docx", "A 2039-2024")</f>
        <v/>
      </c>
    </row>
    <row r="151" ht="15" customHeight="1">
      <c r="A151" t="inlineStr">
        <is>
          <t>A 4985-2024</t>
        </is>
      </c>
      <c r="B151" s="1" t="n">
        <v>45329</v>
      </c>
      <c r="C151" s="1" t="n">
        <v>45640</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Garnlav</t>
        </is>
      </c>
      <c r="S151">
        <f>HYPERLINK("https://klasma.github.io/Logging_1737/artfynd/A 4985-2024 artfynd.xlsx", "A 4985-2024")</f>
        <v/>
      </c>
      <c r="T151">
        <f>HYPERLINK("https://klasma.github.io/Logging_1737/kartor/A 4985-2024 karta.png", "A 4985-2024")</f>
        <v/>
      </c>
      <c r="V151">
        <f>HYPERLINK("https://klasma.github.io/Logging_1737/klagomål/A 4985-2024 FSC-klagomål.docx", "A 4985-2024")</f>
        <v/>
      </c>
      <c r="W151">
        <f>HYPERLINK("https://klasma.github.io/Logging_1737/klagomålsmail/A 4985-2024 FSC-klagomål mail.docx", "A 4985-2024")</f>
        <v/>
      </c>
      <c r="X151">
        <f>HYPERLINK("https://klasma.github.io/Logging_1737/tillsyn/A 4985-2024 tillsynsbegäran.docx", "A 4985-2024")</f>
        <v/>
      </c>
      <c r="Y151">
        <f>HYPERLINK("https://klasma.github.io/Logging_1737/tillsynsmail/A 4985-2024 tillsynsbegäran mail.docx", "A 4985-2024")</f>
        <v/>
      </c>
    </row>
    <row r="152" ht="15" customHeight="1">
      <c r="A152" t="inlineStr">
        <is>
          <t>A 19760-2024</t>
        </is>
      </c>
      <c r="B152" s="1" t="n">
        <v>45432</v>
      </c>
      <c r="C152" s="1" t="n">
        <v>45640</v>
      </c>
      <c r="D152" t="inlineStr">
        <is>
          <t>VÄRMLANDS LÄN</t>
        </is>
      </c>
      <c r="E152" t="inlineStr">
        <is>
          <t>TORSBY</t>
        </is>
      </c>
      <c r="F152" t="inlineStr">
        <is>
          <t>Bergvik skog väst AB</t>
        </is>
      </c>
      <c r="G152" t="n">
        <v>7.9</v>
      </c>
      <c r="H152" t="n">
        <v>1</v>
      </c>
      <c r="I152" t="n">
        <v>0</v>
      </c>
      <c r="J152" t="n">
        <v>1</v>
      </c>
      <c r="K152" t="n">
        <v>0</v>
      </c>
      <c r="L152" t="n">
        <v>0</v>
      </c>
      <c r="M152" t="n">
        <v>0</v>
      </c>
      <c r="N152" t="n">
        <v>0</v>
      </c>
      <c r="O152" t="n">
        <v>1</v>
      </c>
      <c r="P152" t="n">
        <v>0</v>
      </c>
      <c r="Q152" t="n">
        <v>1</v>
      </c>
      <c r="R152" s="2" t="inlineStr">
        <is>
          <t>Utter</t>
        </is>
      </c>
      <c r="S152">
        <f>HYPERLINK("https://klasma.github.io/Logging_1737/artfynd/A 19760-2024 artfynd.xlsx", "A 19760-2024")</f>
        <v/>
      </c>
      <c r="T152">
        <f>HYPERLINK("https://klasma.github.io/Logging_1737/kartor/A 19760-2024 karta.png", "A 19760-2024")</f>
        <v/>
      </c>
      <c r="V152">
        <f>HYPERLINK("https://klasma.github.io/Logging_1737/klagomål/A 19760-2024 FSC-klagomål.docx", "A 19760-2024")</f>
        <v/>
      </c>
      <c r="W152">
        <f>HYPERLINK("https://klasma.github.io/Logging_1737/klagomålsmail/A 19760-2024 FSC-klagomål mail.docx", "A 19760-2024")</f>
        <v/>
      </c>
      <c r="X152">
        <f>HYPERLINK("https://klasma.github.io/Logging_1737/tillsyn/A 19760-2024 tillsynsbegäran.docx", "A 19760-2024")</f>
        <v/>
      </c>
      <c r="Y152">
        <f>HYPERLINK("https://klasma.github.io/Logging_1737/tillsynsmail/A 19760-2024 tillsynsbegäran mail.docx", "A 19760-2024")</f>
        <v/>
      </c>
    </row>
    <row r="153" ht="15" customHeight="1">
      <c r="A153" t="inlineStr">
        <is>
          <t>A 25789-2024</t>
        </is>
      </c>
      <c r="B153" s="1" t="n">
        <v>45467</v>
      </c>
      <c r="C153" s="1" t="n">
        <v>45640</v>
      </c>
      <c r="D153" t="inlineStr">
        <is>
          <t>VÄRMLANDS LÄN</t>
        </is>
      </c>
      <c r="E153" t="inlineStr">
        <is>
          <t>TORSBY</t>
        </is>
      </c>
      <c r="F153" t="inlineStr">
        <is>
          <t>Bergvik skog väst AB</t>
        </is>
      </c>
      <c r="G153" t="n">
        <v>9</v>
      </c>
      <c r="H153" t="n">
        <v>1</v>
      </c>
      <c r="I153" t="n">
        <v>0</v>
      </c>
      <c r="J153" t="n">
        <v>1</v>
      </c>
      <c r="K153" t="n">
        <v>0</v>
      </c>
      <c r="L153" t="n">
        <v>0</v>
      </c>
      <c r="M153" t="n">
        <v>0</v>
      </c>
      <c r="N153" t="n">
        <v>0</v>
      </c>
      <c r="O153" t="n">
        <v>1</v>
      </c>
      <c r="P153" t="n">
        <v>0</v>
      </c>
      <c r="Q153" t="n">
        <v>1</v>
      </c>
      <c r="R153" s="2" t="inlineStr">
        <is>
          <t>Järpe</t>
        </is>
      </c>
      <c r="S153">
        <f>HYPERLINK("https://klasma.github.io/Logging_1737/artfynd/A 25789-2024 artfynd.xlsx", "A 25789-2024")</f>
        <v/>
      </c>
      <c r="T153">
        <f>HYPERLINK("https://klasma.github.io/Logging_1737/kartor/A 25789-2024 karta.png", "A 25789-2024")</f>
        <v/>
      </c>
      <c r="V153">
        <f>HYPERLINK("https://klasma.github.io/Logging_1737/klagomål/A 25789-2024 FSC-klagomål.docx", "A 25789-2024")</f>
        <v/>
      </c>
      <c r="W153">
        <f>HYPERLINK("https://klasma.github.io/Logging_1737/klagomålsmail/A 25789-2024 FSC-klagomål mail.docx", "A 25789-2024")</f>
        <v/>
      </c>
      <c r="X153">
        <f>HYPERLINK("https://klasma.github.io/Logging_1737/tillsyn/A 25789-2024 tillsynsbegäran.docx", "A 25789-2024")</f>
        <v/>
      </c>
      <c r="Y153">
        <f>HYPERLINK("https://klasma.github.io/Logging_1737/tillsynsmail/A 25789-2024 tillsynsbegäran mail.docx", "A 25789-2024")</f>
        <v/>
      </c>
      <c r="Z153">
        <f>HYPERLINK("https://klasma.github.io/Logging_1737/fåglar/A 25789-2024 prioriterade fågelarter.docx", "A 25789-2024")</f>
        <v/>
      </c>
    </row>
    <row r="154" ht="15" customHeight="1">
      <c r="A154" t="inlineStr">
        <is>
          <t>A 36962-2024</t>
        </is>
      </c>
      <c r="B154" s="1" t="n">
        <v>45538</v>
      </c>
      <c r="C154" s="1" t="n">
        <v>45640</v>
      </c>
      <c r="D154" t="inlineStr">
        <is>
          <t>VÄRMLANDS LÄN</t>
        </is>
      </c>
      <c r="E154" t="inlineStr">
        <is>
          <t>TORSBY</t>
        </is>
      </c>
      <c r="G154" t="n">
        <v>17</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36962-2024 artfynd.xlsx", "A 36962-2024")</f>
        <v/>
      </c>
      <c r="T154">
        <f>HYPERLINK("https://klasma.github.io/Logging_1737/kartor/A 36962-2024 karta.png", "A 36962-2024")</f>
        <v/>
      </c>
      <c r="V154">
        <f>HYPERLINK("https://klasma.github.io/Logging_1737/klagomål/A 36962-2024 FSC-klagomål.docx", "A 36962-2024")</f>
        <v/>
      </c>
      <c r="W154">
        <f>HYPERLINK("https://klasma.github.io/Logging_1737/klagomålsmail/A 36962-2024 FSC-klagomål mail.docx", "A 36962-2024")</f>
        <v/>
      </c>
      <c r="X154">
        <f>HYPERLINK("https://klasma.github.io/Logging_1737/tillsyn/A 36962-2024 tillsynsbegäran.docx", "A 36962-2024")</f>
        <v/>
      </c>
      <c r="Y154">
        <f>HYPERLINK("https://klasma.github.io/Logging_1737/tillsynsmail/A 36962-2024 tillsynsbegäran mail.docx", "A 36962-2024")</f>
        <v/>
      </c>
    </row>
    <row r="155" ht="15" customHeight="1">
      <c r="A155" t="inlineStr">
        <is>
          <t>A 40033-2024</t>
        </is>
      </c>
      <c r="B155" s="1" t="n">
        <v>45553</v>
      </c>
      <c r="C155" s="1" t="n">
        <v>45640</v>
      </c>
      <c r="D155" t="inlineStr">
        <is>
          <t>VÄRMLANDS LÄN</t>
        </is>
      </c>
      <c r="E155" t="inlineStr">
        <is>
          <t>TORSBY</t>
        </is>
      </c>
      <c r="G155" t="n">
        <v>6.2</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40033-2024 artfynd.xlsx", "A 40033-2024")</f>
        <v/>
      </c>
      <c r="T155">
        <f>HYPERLINK("https://klasma.github.io/Logging_1737/kartor/A 40033-2024 karta.png", "A 40033-2024")</f>
        <v/>
      </c>
      <c r="V155">
        <f>HYPERLINK("https://klasma.github.io/Logging_1737/klagomål/A 40033-2024 FSC-klagomål.docx", "A 40033-2024")</f>
        <v/>
      </c>
      <c r="W155">
        <f>HYPERLINK("https://klasma.github.io/Logging_1737/klagomålsmail/A 40033-2024 FSC-klagomål mail.docx", "A 40033-2024")</f>
        <v/>
      </c>
      <c r="X155">
        <f>HYPERLINK("https://klasma.github.io/Logging_1737/tillsyn/A 40033-2024 tillsynsbegäran.docx", "A 40033-2024")</f>
        <v/>
      </c>
      <c r="Y155">
        <f>HYPERLINK("https://klasma.github.io/Logging_1737/tillsynsmail/A 40033-2024 tillsynsbegäran mail.docx", "A 40033-2024")</f>
        <v/>
      </c>
    </row>
    <row r="156" ht="15" customHeight="1">
      <c r="A156" t="inlineStr">
        <is>
          <t>A 40934-2024</t>
        </is>
      </c>
      <c r="B156" s="1" t="n">
        <v>45558</v>
      </c>
      <c r="C156" s="1" t="n">
        <v>45640</v>
      </c>
      <c r="D156" t="inlineStr">
        <is>
          <t>VÄRMLANDS LÄN</t>
        </is>
      </c>
      <c r="E156" t="inlineStr">
        <is>
          <t>TORSBY</t>
        </is>
      </c>
      <c r="G156" t="n">
        <v>8.1</v>
      </c>
      <c r="H156" t="n">
        <v>0</v>
      </c>
      <c r="I156" t="n">
        <v>0</v>
      </c>
      <c r="J156" t="n">
        <v>1</v>
      </c>
      <c r="K156" t="n">
        <v>0</v>
      </c>
      <c r="L156" t="n">
        <v>0</v>
      </c>
      <c r="M156" t="n">
        <v>0</v>
      </c>
      <c r="N156" t="n">
        <v>0</v>
      </c>
      <c r="O156" t="n">
        <v>1</v>
      </c>
      <c r="P156" t="n">
        <v>0</v>
      </c>
      <c r="Q156" t="n">
        <v>1</v>
      </c>
      <c r="R156" s="2" t="inlineStr">
        <is>
          <t>Lunglav</t>
        </is>
      </c>
      <c r="S156">
        <f>HYPERLINK("https://klasma.github.io/Logging_1737/artfynd/A 40934-2024 artfynd.xlsx", "A 40934-2024")</f>
        <v/>
      </c>
      <c r="T156">
        <f>HYPERLINK("https://klasma.github.io/Logging_1737/kartor/A 40934-2024 karta.png", "A 40934-2024")</f>
        <v/>
      </c>
      <c r="V156">
        <f>HYPERLINK("https://klasma.github.io/Logging_1737/klagomål/A 40934-2024 FSC-klagomål.docx", "A 40934-2024")</f>
        <v/>
      </c>
      <c r="W156">
        <f>HYPERLINK("https://klasma.github.io/Logging_1737/klagomålsmail/A 40934-2024 FSC-klagomål mail.docx", "A 40934-2024")</f>
        <v/>
      </c>
      <c r="X156">
        <f>HYPERLINK("https://klasma.github.io/Logging_1737/tillsyn/A 40934-2024 tillsynsbegäran.docx", "A 40934-2024")</f>
        <v/>
      </c>
      <c r="Y156">
        <f>HYPERLINK("https://klasma.github.io/Logging_1737/tillsynsmail/A 40934-2024 tillsynsbegäran mail.docx", "A 40934-2024")</f>
        <v/>
      </c>
    </row>
    <row r="157" ht="15" customHeight="1">
      <c r="A157" t="inlineStr">
        <is>
          <t>A 41350-2024</t>
        </is>
      </c>
      <c r="B157" s="1" t="n">
        <v>45559</v>
      </c>
      <c r="C157" s="1" t="n">
        <v>45640</v>
      </c>
      <c r="D157" t="inlineStr">
        <is>
          <t>VÄRMLANDS LÄN</t>
        </is>
      </c>
      <c r="E157" t="inlineStr">
        <is>
          <t>TORSBY</t>
        </is>
      </c>
      <c r="G157" t="n">
        <v>5.5</v>
      </c>
      <c r="H157" t="n">
        <v>0</v>
      </c>
      <c r="I157" t="n">
        <v>0</v>
      </c>
      <c r="J157" t="n">
        <v>1</v>
      </c>
      <c r="K157" t="n">
        <v>0</v>
      </c>
      <c r="L157" t="n">
        <v>0</v>
      </c>
      <c r="M157" t="n">
        <v>0</v>
      </c>
      <c r="N157" t="n">
        <v>0</v>
      </c>
      <c r="O157" t="n">
        <v>1</v>
      </c>
      <c r="P157" t="n">
        <v>0</v>
      </c>
      <c r="Q157" t="n">
        <v>1</v>
      </c>
      <c r="R157" s="2" t="inlineStr">
        <is>
          <t>Garnlav</t>
        </is>
      </c>
      <c r="S157">
        <f>HYPERLINK("https://klasma.github.io/Logging_1737/artfynd/A 41350-2024 artfynd.xlsx", "A 41350-2024")</f>
        <v/>
      </c>
      <c r="T157">
        <f>HYPERLINK("https://klasma.github.io/Logging_1737/kartor/A 41350-2024 karta.png", "A 41350-2024")</f>
        <v/>
      </c>
      <c r="V157">
        <f>HYPERLINK("https://klasma.github.io/Logging_1737/klagomål/A 41350-2024 FSC-klagomål.docx", "A 41350-2024")</f>
        <v/>
      </c>
      <c r="W157">
        <f>HYPERLINK("https://klasma.github.io/Logging_1737/klagomålsmail/A 41350-2024 FSC-klagomål mail.docx", "A 41350-2024")</f>
        <v/>
      </c>
      <c r="X157">
        <f>HYPERLINK("https://klasma.github.io/Logging_1737/tillsyn/A 41350-2024 tillsynsbegäran.docx", "A 41350-2024")</f>
        <v/>
      </c>
      <c r="Y157">
        <f>HYPERLINK("https://klasma.github.io/Logging_1737/tillsynsmail/A 41350-2024 tillsynsbegäran mail.docx", "A 41350-2024")</f>
        <v/>
      </c>
    </row>
    <row r="158" ht="15" customHeight="1">
      <c r="A158" t="inlineStr">
        <is>
          <t>A 41477-2024</t>
        </is>
      </c>
      <c r="B158" s="1" t="n">
        <v>45560</v>
      </c>
      <c r="C158" s="1" t="n">
        <v>45640</v>
      </c>
      <c r="D158" t="inlineStr">
        <is>
          <t>VÄRMLANDS LÄN</t>
        </is>
      </c>
      <c r="E158" t="inlineStr">
        <is>
          <t>TORSBY</t>
        </is>
      </c>
      <c r="G158" t="n">
        <v>6.7</v>
      </c>
      <c r="H158" t="n">
        <v>0</v>
      </c>
      <c r="I158" t="n">
        <v>0</v>
      </c>
      <c r="J158" t="n">
        <v>1</v>
      </c>
      <c r="K158" t="n">
        <v>0</v>
      </c>
      <c r="L158" t="n">
        <v>0</v>
      </c>
      <c r="M158" t="n">
        <v>0</v>
      </c>
      <c r="N158" t="n">
        <v>0</v>
      </c>
      <c r="O158" t="n">
        <v>1</v>
      </c>
      <c r="P158" t="n">
        <v>0</v>
      </c>
      <c r="Q158" t="n">
        <v>1</v>
      </c>
      <c r="R158" s="2" t="inlineStr">
        <is>
          <t>Garnlav</t>
        </is>
      </c>
      <c r="S158">
        <f>HYPERLINK("https://klasma.github.io/Logging_1737/artfynd/A 41477-2024 artfynd.xlsx", "A 41477-2024")</f>
        <v/>
      </c>
      <c r="T158">
        <f>HYPERLINK("https://klasma.github.io/Logging_1737/kartor/A 41477-2024 karta.png", "A 41477-2024")</f>
        <v/>
      </c>
      <c r="V158">
        <f>HYPERLINK("https://klasma.github.io/Logging_1737/klagomål/A 41477-2024 FSC-klagomål.docx", "A 41477-2024")</f>
        <v/>
      </c>
      <c r="W158">
        <f>HYPERLINK("https://klasma.github.io/Logging_1737/klagomålsmail/A 41477-2024 FSC-klagomål mail.docx", "A 41477-2024")</f>
        <v/>
      </c>
      <c r="X158">
        <f>HYPERLINK("https://klasma.github.io/Logging_1737/tillsyn/A 41477-2024 tillsynsbegäran.docx", "A 41477-2024")</f>
        <v/>
      </c>
      <c r="Y158">
        <f>HYPERLINK("https://klasma.github.io/Logging_1737/tillsynsmail/A 41477-2024 tillsynsbegäran mail.docx", "A 41477-2024")</f>
        <v/>
      </c>
    </row>
    <row r="159" ht="15" customHeight="1">
      <c r="A159" t="inlineStr">
        <is>
          <t>A 47689-2024</t>
        </is>
      </c>
      <c r="B159" s="1" t="n">
        <v>45588</v>
      </c>
      <c r="C159" s="1" t="n">
        <v>45640</v>
      </c>
      <c r="D159" t="inlineStr">
        <is>
          <t>VÄRMLANDS LÄN</t>
        </is>
      </c>
      <c r="E159" t="inlineStr">
        <is>
          <t>TORSBY</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HYPERLINK("https://klasma.github.io/Logging_1737/artfynd/A 47689-2024 artfynd.xlsx", "A 47689-2024")</f>
        <v/>
      </c>
      <c r="T159">
        <f>HYPERLINK("https://klasma.github.io/Logging_1737/kartor/A 47689-2024 karta.png", "A 47689-2024")</f>
        <v/>
      </c>
      <c r="V159">
        <f>HYPERLINK("https://klasma.github.io/Logging_1737/klagomål/A 47689-2024 FSC-klagomål.docx", "A 47689-2024")</f>
        <v/>
      </c>
      <c r="W159">
        <f>HYPERLINK("https://klasma.github.io/Logging_1737/klagomålsmail/A 47689-2024 FSC-klagomål mail.docx", "A 47689-2024")</f>
        <v/>
      </c>
      <c r="X159">
        <f>HYPERLINK("https://klasma.github.io/Logging_1737/tillsyn/A 47689-2024 tillsynsbegäran.docx", "A 47689-2024")</f>
        <v/>
      </c>
      <c r="Y159">
        <f>HYPERLINK("https://klasma.github.io/Logging_1737/tillsynsmail/A 47689-2024 tillsynsbegäran mail.docx", "A 47689-2024")</f>
        <v/>
      </c>
    </row>
    <row r="160" ht="15" customHeight="1">
      <c r="A160" t="inlineStr">
        <is>
          <t>A 53862-2024</t>
        </is>
      </c>
      <c r="B160" s="1" t="n">
        <v>45615</v>
      </c>
      <c r="C160" s="1" t="n">
        <v>45640</v>
      </c>
      <c r="D160" t="inlineStr">
        <is>
          <t>VÄRMLANDS LÄN</t>
        </is>
      </c>
      <c r="E160" t="inlineStr">
        <is>
          <t>TORSBY</t>
        </is>
      </c>
      <c r="G160" t="n">
        <v>3.4</v>
      </c>
      <c r="H160" t="n">
        <v>0</v>
      </c>
      <c r="I160" t="n">
        <v>0</v>
      </c>
      <c r="J160" t="n">
        <v>1</v>
      </c>
      <c r="K160" t="n">
        <v>0</v>
      </c>
      <c r="L160" t="n">
        <v>0</v>
      </c>
      <c r="M160" t="n">
        <v>0</v>
      </c>
      <c r="N160" t="n">
        <v>0</v>
      </c>
      <c r="O160" t="n">
        <v>1</v>
      </c>
      <c r="P160" t="n">
        <v>0</v>
      </c>
      <c r="Q160" t="n">
        <v>1</v>
      </c>
      <c r="R160" s="2" t="inlineStr">
        <is>
          <t>Kolflarnlav</t>
        </is>
      </c>
      <c r="S160">
        <f>HYPERLINK("https://klasma.github.io/Logging_1737/artfynd/A 53862-2024 artfynd.xlsx", "A 53862-2024")</f>
        <v/>
      </c>
      <c r="T160">
        <f>HYPERLINK("https://klasma.github.io/Logging_1737/kartor/A 53862-2024 karta.png", "A 53862-2024")</f>
        <v/>
      </c>
      <c r="V160">
        <f>HYPERLINK("https://klasma.github.io/Logging_1737/klagomål/A 53862-2024 FSC-klagomål.docx", "A 53862-2024")</f>
        <v/>
      </c>
      <c r="W160">
        <f>HYPERLINK("https://klasma.github.io/Logging_1737/klagomålsmail/A 53862-2024 FSC-klagomål mail.docx", "A 53862-2024")</f>
        <v/>
      </c>
      <c r="X160">
        <f>HYPERLINK("https://klasma.github.io/Logging_1737/tillsyn/A 53862-2024 tillsynsbegäran.docx", "A 53862-2024")</f>
        <v/>
      </c>
      <c r="Y160">
        <f>HYPERLINK("https://klasma.github.io/Logging_1737/tillsynsmail/A 53862-2024 tillsynsbegäran mail.docx", "A 53862-2024")</f>
        <v/>
      </c>
    </row>
    <row r="161" ht="15" customHeight="1">
      <c r="A161" t="inlineStr">
        <is>
          <t>A 54009-2024</t>
        </is>
      </c>
      <c r="B161" s="1" t="n">
        <v>45616</v>
      </c>
      <c r="C161" s="1" t="n">
        <v>45640</v>
      </c>
      <c r="D161" t="inlineStr">
        <is>
          <t>VÄRMLANDS LÄN</t>
        </is>
      </c>
      <c r="E161" t="inlineStr">
        <is>
          <t>TORSBY</t>
        </is>
      </c>
      <c r="F161" t="inlineStr">
        <is>
          <t>Bergvik skog väst AB</t>
        </is>
      </c>
      <c r="G161" t="n">
        <v>8.800000000000001</v>
      </c>
      <c r="H161" t="n">
        <v>1</v>
      </c>
      <c r="I161" t="n">
        <v>1</v>
      </c>
      <c r="J161" t="n">
        <v>0</v>
      </c>
      <c r="K161" t="n">
        <v>0</v>
      </c>
      <c r="L161" t="n">
        <v>0</v>
      </c>
      <c r="M161" t="n">
        <v>0</v>
      </c>
      <c r="N161" t="n">
        <v>0</v>
      </c>
      <c r="O161" t="n">
        <v>0</v>
      </c>
      <c r="P161" t="n">
        <v>0</v>
      </c>
      <c r="Q161" t="n">
        <v>1</v>
      </c>
      <c r="R161" s="2" t="inlineStr">
        <is>
          <t>Korallrot</t>
        </is>
      </c>
      <c r="S161">
        <f>HYPERLINK("https://klasma.github.io/Logging_1737/artfynd/A 54009-2024 artfynd.xlsx", "A 54009-2024")</f>
        <v/>
      </c>
      <c r="T161">
        <f>HYPERLINK("https://klasma.github.io/Logging_1737/kartor/A 54009-2024 karta.png", "A 54009-2024")</f>
        <v/>
      </c>
      <c r="V161">
        <f>HYPERLINK("https://klasma.github.io/Logging_1737/klagomål/A 54009-2024 FSC-klagomål.docx", "A 54009-2024")</f>
        <v/>
      </c>
      <c r="W161">
        <f>HYPERLINK("https://klasma.github.io/Logging_1737/klagomålsmail/A 54009-2024 FSC-klagomål mail.docx", "A 54009-2024")</f>
        <v/>
      </c>
      <c r="X161">
        <f>HYPERLINK("https://klasma.github.io/Logging_1737/tillsyn/A 54009-2024 tillsynsbegäran.docx", "A 54009-2024")</f>
        <v/>
      </c>
      <c r="Y161">
        <f>HYPERLINK("https://klasma.github.io/Logging_1737/tillsynsmail/A 54009-2024 tillsynsbegäran mail.docx", "A 54009-2024")</f>
        <v/>
      </c>
    </row>
    <row r="162" ht="15" customHeight="1">
      <c r="A162" t="inlineStr">
        <is>
          <t>A 54029-2024</t>
        </is>
      </c>
      <c r="B162" s="1" t="n">
        <v>45616</v>
      </c>
      <c r="C162" s="1" t="n">
        <v>45640</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54786-2024</t>
        </is>
      </c>
      <c r="B163" s="1" t="n">
        <v>45618</v>
      </c>
      <c r="C163" s="1" t="n">
        <v>45640</v>
      </c>
      <c r="D163" t="inlineStr">
        <is>
          <t>VÄRMLANDS LÄN</t>
        </is>
      </c>
      <c r="E163" t="inlineStr">
        <is>
          <t>TORSBY</t>
        </is>
      </c>
      <c r="G163" t="n">
        <v>3.8</v>
      </c>
      <c r="H163" t="n">
        <v>0</v>
      </c>
      <c r="I163" t="n">
        <v>0</v>
      </c>
      <c r="J163" t="n">
        <v>1</v>
      </c>
      <c r="K163" t="n">
        <v>0</v>
      </c>
      <c r="L163" t="n">
        <v>0</v>
      </c>
      <c r="M163" t="n">
        <v>0</v>
      </c>
      <c r="N163" t="n">
        <v>0</v>
      </c>
      <c r="O163" t="n">
        <v>1</v>
      </c>
      <c r="P163" t="n">
        <v>0</v>
      </c>
      <c r="Q163" t="n">
        <v>1</v>
      </c>
      <c r="R163" s="2" t="inlineStr">
        <is>
          <t>Dvärgbägarlav</t>
        </is>
      </c>
      <c r="S163">
        <f>HYPERLINK("https://klasma.github.io/Logging_1737/artfynd/A 54786-2024 artfynd.xlsx", "A 54786-2024")</f>
        <v/>
      </c>
      <c r="T163">
        <f>HYPERLINK("https://klasma.github.io/Logging_1737/kartor/A 54786-2024 karta.png", "A 54786-2024")</f>
        <v/>
      </c>
      <c r="V163">
        <f>HYPERLINK("https://klasma.github.io/Logging_1737/klagomål/A 54786-2024 FSC-klagomål.docx", "A 54786-2024")</f>
        <v/>
      </c>
      <c r="W163">
        <f>HYPERLINK("https://klasma.github.io/Logging_1737/klagomålsmail/A 54786-2024 FSC-klagomål mail.docx", "A 54786-2024")</f>
        <v/>
      </c>
      <c r="X163">
        <f>HYPERLINK("https://klasma.github.io/Logging_1737/tillsyn/A 54786-2024 tillsynsbegäran.docx", "A 54786-2024")</f>
        <v/>
      </c>
      <c r="Y163">
        <f>HYPERLINK("https://klasma.github.io/Logging_1737/tillsynsmail/A 54786-2024 tillsynsbegäran mail.docx", "A 54786-2024")</f>
        <v/>
      </c>
    </row>
    <row r="164" ht="15" customHeight="1">
      <c r="A164" t="inlineStr">
        <is>
          <t>A 54788-2024</t>
        </is>
      </c>
      <c r="B164" s="1" t="n">
        <v>45618</v>
      </c>
      <c r="C164" s="1" t="n">
        <v>45640</v>
      </c>
      <c r="D164" t="inlineStr">
        <is>
          <t>VÄRMLANDS LÄN</t>
        </is>
      </c>
      <c r="E164" t="inlineStr">
        <is>
          <t>TORSBY</t>
        </is>
      </c>
      <c r="G164" t="n">
        <v>2.4</v>
      </c>
      <c r="H164" t="n">
        <v>0</v>
      </c>
      <c r="I164" t="n">
        <v>0</v>
      </c>
      <c r="J164" t="n">
        <v>1</v>
      </c>
      <c r="K164" t="n">
        <v>0</v>
      </c>
      <c r="L164" t="n">
        <v>0</v>
      </c>
      <c r="M164" t="n">
        <v>0</v>
      </c>
      <c r="N164" t="n">
        <v>0</v>
      </c>
      <c r="O164" t="n">
        <v>1</v>
      </c>
      <c r="P164" t="n">
        <v>0</v>
      </c>
      <c r="Q164" t="n">
        <v>1</v>
      </c>
      <c r="R164" s="2" t="inlineStr">
        <is>
          <t>Mörk kolflarnlav</t>
        </is>
      </c>
      <c r="S164">
        <f>HYPERLINK("https://klasma.github.io/Logging_1737/artfynd/A 54788-2024 artfynd.xlsx", "A 54788-2024")</f>
        <v/>
      </c>
      <c r="T164">
        <f>HYPERLINK("https://klasma.github.io/Logging_1737/kartor/A 54788-2024 karta.png", "A 54788-2024")</f>
        <v/>
      </c>
      <c r="V164">
        <f>HYPERLINK("https://klasma.github.io/Logging_1737/klagomål/A 54788-2024 FSC-klagomål.docx", "A 54788-2024")</f>
        <v/>
      </c>
      <c r="W164">
        <f>HYPERLINK("https://klasma.github.io/Logging_1737/klagomålsmail/A 54788-2024 FSC-klagomål mail.docx", "A 54788-2024")</f>
        <v/>
      </c>
      <c r="X164">
        <f>HYPERLINK("https://klasma.github.io/Logging_1737/tillsyn/A 54788-2024 tillsynsbegäran.docx", "A 54788-2024")</f>
        <v/>
      </c>
      <c r="Y164">
        <f>HYPERLINK("https://klasma.github.io/Logging_1737/tillsynsmail/A 54788-2024 tillsynsbegäran mail.docx", "A 54788-2024")</f>
        <v/>
      </c>
    </row>
    <row r="165" ht="15" customHeight="1">
      <c r="A165" t="inlineStr">
        <is>
          <t>A 56133-2024</t>
        </is>
      </c>
      <c r="B165" s="1" t="n">
        <v>45624</v>
      </c>
      <c r="C165" s="1" t="n">
        <v>45640</v>
      </c>
      <c r="D165" t="inlineStr">
        <is>
          <t>VÄRMLANDS LÄN</t>
        </is>
      </c>
      <c r="E165" t="inlineStr">
        <is>
          <t>TORSBY</t>
        </is>
      </c>
      <c r="G165" t="n">
        <v>2.4</v>
      </c>
      <c r="H165" t="n">
        <v>0</v>
      </c>
      <c r="I165" t="n">
        <v>1</v>
      </c>
      <c r="J165" t="n">
        <v>0</v>
      </c>
      <c r="K165" t="n">
        <v>0</v>
      </c>
      <c r="L165" t="n">
        <v>0</v>
      </c>
      <c r="M165" t="n">
        <v>0</v>
      </c>
      <c r="N165" t="n">
        <v>0</v>
      </c>
      <c r="O165" t="n">
        <v>0</v>
      </c>
      <c r="P165" t="n">
        <v>0</v>
      </c>
      <c r="Q165" t="n">
        <v>1</v>
      </c>
      <c r="R165" s="2" t="inlineStr">
        <is>
          <t>Vedticka</t>
        </is>
      </c>
      <c r="S165">
        <f>HYPERLINK("https://klasma.github.io/Logging_1737/artfynd/A 56133-2024 artfynd.xlsx", "A 56133-2024")</f>
        <v/>
      </c>
      <c r="T165">
        <f>HYPERLINK("https://klasma.github.io/Logging_1737/kartor/A 56133-2024 karta.png", "A 56133-2024")</f>
        <v/>
      </c>
      <c r="V165">
        <f>HYPERLINK("https://klasma.github.io/Logging_1737/klagomål/A 56133-2024 FSC-klagomål.docx", "A 56133-2024")</f>
        <v/>
      </c>
      <c r="W165">
        <f>HYPERLINK("https://klasma.github.io/Logging_1737/klagomålsmail/A 56133-2024 FSC-klagomål mail.docx", "A 56133-2024")</f>
        <v/>
      </c>
      <c r="X165">
        <f>HYPERLINK("https://klasma.github.io/Logging_1737/tillsyn/A 56133-2024 tillsynsbegäran.docx", "A 56133-2024")</f>
        <v/>
      </c>
      <c r="Y165">
        <f>HYPERLINK("https://klasma.github.io/Logging_1737/tillsynsmail/A 56133-2024 tillsynsbegäran mail.docx", "A 56133-2024")</f>
        <v/>
      </c>
    </row>
    <row r="166" ht="15" customHeight="1">
      <c r="A166" t="inlineStr">
        <is>
          <t>A 56990-2024</t>
        </is>
      </c>
      <c r="B166" s="1" t="n">
        <v>45628</v>
      </c>
      <c r="C166" s="1" t="n">
        <v>45640</v>
      </c>
      <c r="D166" t="inlineStr">
        <is>
          <t>VÄRMLANDS LÄN</t>
        </is>
      </c>
      <c r="E166" t="inlineStr">
        <is>
          <t>TORSBY</t>
        </is>
      </c>
      <c r="F166" t="inlineStr">
        <is>
          <t>Bergvik skog väst AB</t>
        </is>
      </c>
      <c r="G166" t="n">
        <v>8.699999999999999</v>
      </c>
      <c r="H166" t="n">
        <v>1</v>
      </c>
      <c r="I166" t="n">
        <v>0</v>
      </c>
      <c r="J166" t="n">
        <v>1</v>
      </c>
      <c r="K166" t="n">
        <v>0</v>
      </c>
      <c r="L166" t="n">
        <v>0</v>
      </c>
      <c r="M166" t="n">
        <v>0</v>
      </c>
      <c r="N166" t="n">
        <v>0</v>
      </c>
      <c r="O166" t="n">
        <v>1</v>
      </c>
      <c r="P166" t="n">
        <v>0</v>
      </c>
      <c r="Q166" t="n">
        <v>1</v>
      </c>
      <c r="R166" s="2" t="inlineStr">
        <is>
          <t>Grönsångare</t>
        </is>
      </c>
      <c r="S166">
        <f>HYPERLINK("https://klasma.github.io/Logging_1737/artfynd/A 56990-2024 artfynd.xlsx", "A 56990-2024")</f>
        <v/>
      </c>
      <c r="T166">
        <f>HYPERLINK("https://klasma.github.io/Logging_1737/kartor/A 56990-2024 karta.png", "A 56990-2024")</f>
        <v/>
      </c>
      <c r="V166">
        <f>HYPERLINK("https://klasma.github.io/Logging_1737/klagomål/A 56990-2024 FSC-klagomål.docx", "A 56990-2024")</f>
        <v/>
      </c>
      <c r="W166">
        <f>HYPERLINK("https://klasma.github.io/Logging_1737/klagomålsmail/A 56990-2024 FSC-klagomål mail.docx", "A 56990-2024")</f>
        <v/>
      </c>
      <c r="X166">
        <f>HYPERLINK("https://klasma.github.io/Logging_1737/tillsyn/A 56990-2024 tillsynsbegäran.docx", "A 56990-2024")</f>
        <v/>
      </c>
      <c r="Y166">
        <f>HYPERLINK("https://klasma.github.io/Logging_1737/tillsynsmail/A 56990-2024 tillsynsbegäran mail.docx", "A 56990-2024")</f>
        <v/>
      </c>
      <c r="Z166">
        <f>HYPERLINK("https://klasma.github.io/Logging_1737/fåglar/A 56990-2024 prioriterade fågelarter.docx", "A 56990-2024")</f>
        <v/>
      </c>
    </row>
    <row r="167" ht="15" customHeight="1">
      <c r="A167" t="inlineStr">
        <is>
          <t>A 58014-2024</t>
        </is>
      </c>
      <c r="B167" s="1" t="n">
        <v>45631</v>
      </c>
      <c r="C167" s="1" t="n">
        <v>45640</v>
      </c>
      <c r="D167" t="inlineStr">
        <is>
          <t>VÄRMLANDS LÄN</t>
        </is>
      </c>
      <c r="E167" t="inlineStr">
        <is>
          <t>TORSBY</t>
        </is>
      </c>
      <c r="G167" t="n">
        <v>2.2</v>
      </c>
      <c r="H167" t="n">
        <v>0</v>
      </c>
      <c r="I167" t="n">
        <v>1</v>
      </c>
      <c r="J167" t="n">
        <v>0</v>
      </c>
      <c r="K167" t="n">
        <v>0</v>
      </c>
      <c r="L167" t="n">
        <v>0</v>
      </c>
      <c r="M167" t="n">
        <v>0</v>
      </c>
      <c r="N167" t="n">
        <v>0</v>
      </c>
      <c r="O167" t="n">
        <v>0</v>
      </c>
      <c r="P167" t="n">
        <v>0</v>
      </c>
      <c r="Q167" t="n">
        <v>1</v>
      </c>
      <c r="R167" s="2" t="inlineStr">
        <is>
          <t>Kattfotslav</t>
        </is>
      </c>
      <c r="S167">
        <f>HYPERLINK("https://klasma.github.io/Logging_1737/artfynd/A 58014-2024 artfynd.xlsx", "A 58014-2024")</f>
        <v/>
      </c>
      <c r="T167">
        <f>HYPERLINK("https://klasma.github.io/Logging_1737/kartor/A 58014-2024 karta.png", "A 58014-2024")</f>
        <v/>
      </c>
      <c r="V167">
        <f>HYPERLINK("https://klasma.github.io/Logging_1737/klagomål/A 58014-2024 FSC-klagomål.docx", "A 58014-2024")</f>
        <v/>
      </c>
      <c r="W167">
        <f>HYPERLINK("https://klasma.github.io/Logging_1737/klagomålsmail/A 58014-2024 FSC-klagomål mail.docx", "A 58014-2024")</f>
        <v/>
      </c>
      <c r="X167">
        <f>HYPERLINK("https://klasma.github.io/Logging_1737/tillsyn/A 58014-2024 tillsynsbegäran.docx", "A 58014-2024")</f>
        <v/>
      </c>
      <c r="Y167">
        <f>HYPERLINK("https://klasma.github.io/Logging_1737/tillsynsmail/A 58014-2024 tillsynsbegäran mail.docx", "A 58014-2024")</f>
        <v/>
      </c>
    </row>
    <row r="168" ht="15" customHeight="1">
      <c r="A168" t="inlineStr">
        <is>
          <t>A 17808-2019</t>
        </is>
      </c>
      <c r="B168" s="1" t="n">
        <v>43556</v>
      </c>
      <c r="C168" s="1" t="n">
        <v>45640</v>
      </c>
      <c r="D168" t="inlineStr">
        <is>
          <t>VÄRMLANDS LÄN</t>
        </is>
      </c>
      <c r="E168" t="inlineStr">
        <is>
          <t>TORSBY</t>
        </is>
      </c>
      <c r="G168" t="n">
        <v>2.1</v>
      </c>
      <c r="H168" t="n">
        <v>0</v>
      </c>
      <c r="I168" t="n">
        <v>0</v>
      </c>
      <c r="J168" t="n">
        <v>0</v>
      </c>
      <c r="K168" t="n">
        <v>0</v>
      </c>
      <c r="L168" t="n">
        <v>0</v>
      </c>
      <c r="M168" t="n">
        <v>0</v>
      </c>
      <c r="N168" t="n">
        <v>0</v>
      </c>
      <c r="O168" t="n">
        <v>0</v>
      </c>
      <c r="P168" t="n">
        <v>0</v>
      </c>
      <c r="Q168" t="n">
        <v>0</v>
      </c>
      <c r="R168" s="2" t="inlineStr"/>
    </row>
    <row r="169" ht="15" customHeight="1">
      <c r="A169" t="inlineStr">
        <is>
          <t>A 17788-2019</t>
        </is>
      </c>
      <c r="B169" s="1" t="n">
        <v>43556</v>
      </c>
      <c r="C169" s="1" t="n">
        <v>45640</v>
      </c>
      <c r="D169" t="inlineStr">
        <is>
          <t>VÄRMLANDS LÄN</t>
        </is>
      </c>
      <c r="E169" t="inlineStr">
        <is>
          <t>TORSBY</t>
        </is>
      </c>
      <c r="G169" t="n">
        <v>2.3</v>
      </c>
      <c r="H169" t="n">
        <v>0</v>
      </c>
      <c r="I169" t="n">
        <v>0</v>
      </c>
      <c r="J169" t="n">
        <v>0</v>
      </c>
      <c r="K169" t="n">
        <v>0</v>
      </c>
      <c r="L169" t="n">
        <v>0</v>
      </c>
      <c r="M169" t="n">
        <v>0</v>
      </c>
      <c r="N169" t="n">
        <v>0</v>
      </c>
      <c r="O169" t="n">
        <v>0</v>
      </c>
      <c r="P169" t="n">
        <v>0</v>
      </c>
      <c r="Q169" t="n">
        <v>0</v>
      </c>
      <c r="R169" s="2" t="inlineStr"/>
    </row>
    <row r="170" ht="15" customHeight="1">
      <c r="A170" t="inlineStr">
        <is>
          <t>A 17957-2019</t>
        </is>
      </c>
      <c r="B170" s="1" t="n">
        <v>43557</v>
      </c>
      <c r="C170" s="1" t="n">
        <v>45640</v>
      </c>
      <c r="D170" t="inlineStr">
        <is>
          <t>VÄRMLANDS LÄN</t>
        </is>
      </c>
      <c r="E170" t="inlineStr">
        <is>
          <t>TORSBY</t>
        </is>
      </c>
      <c r="G170" t="n">
        <v>1.6</v>
      </c>
      <c r="H170" t="n">
        <v>0</v>
      </c>
      <c r="I170" t="n">
        <v>0</v>
      </c>
      <c r="J170" t="n">
        <v>0</v>
      </c>
      <c r="K170" t="n">
        <v>0</v>
      </c>
      <c r="L170" t="n">
        <v>0</v>
      </c>
      <c r="M170" t="n">
        <v>0</v>
      </c>
      <c r="N170" t="n">
        <v>0</v>
      </c>
      <c r="O170" t="n">
        <v>0</v>
      </c>
      <c r="P170" t="n">
        <v>0</v>
      </c>
      <c r="Q170" t="n">
        <v>0</v>
      </c>
      <c r="R170" s="2" t="inlineStr"/>
    </row>
    <row r="171" ht="15" customHeight="1">
      <c r="A171" t="inlineStr">
        <is>
          <t>A 17864-2019</t>
        </is>
      </c>
      <c r="B171" s="1" t="n">
        <v>43557</v>
      </c>
      <c r="C171" s="1" t="n">
        <v>45640</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18551-2019</t>
        </is>
      </c>
      <c r="B172" s="1" t="n">
        <v>43559</v>
      </c>
      <c r="C172" s="1" t="n">
        <v>45640</v>
      </c>
      <c r="D172" t="inlineStr">
        <is>
          <t>VÄRMLANDS LÄN</t>
        </is>
      </c>
      <c r="E172" t="inlineStr">
        <is>
          <t>TORSBY</t>
        </is>
      </c>
      <c r="G172" t="n">
        <v>1.5</v>
      </c>
      <c r="H172" t="n">
        <v>0</v>
      </c>
      <c r="I172" t="n">
        <v>0</v>
      </c>
      <c r="J172" t="n">
        <v>0</v>
      </c>
      <c r="K172" t="n">
        <v>0</v>
      </c>
      <c r="L172" t="n">
        <v>0</v>
      </c>
      <c r="M172" t="n">
        <v>0</v>
      </c>
      <c r="N172" t="n">
        <v>0</v>
      </c>
      <c r="O172" t="n">
        <v>0</v>
      </c>
      <c r="P172" t="n">
        <v>0</v>
      </c>
      <c r="Q172" t="n">
        <v>0</v>
      </c>
      <c r="R172" s="2" t="inlineStr"/>
    </row>
    <row r="173" ht="15" customHeight="1">
      <c r="A173" t="inlineStr">
        <is>
          <t>A 18947-2019</t>
        </is>
      </c>
      <c r="B173" s="1" t="n">
        <v>43563</v>
      </c>
      <c r="C173" s="1" t="n">
        <v>45640</v>
      </c>
      <c r="D173" t="inlineStr">
        <is>
          <t>VÄRMLANDS LÄN</t>
        </is>
      </c>
      <c r="E173" t="inlineStr">
        <is>
          <t>TORSBY</t>
        </is>
      </c>
      <c r="G173" t="n">
        <v>7.6</v>
      </c>
      <c r="H173" t="n">
        <v>0</v>
      </c>
      <c r="I173" t="n">
        <v>0</v>
      </c>
      <c r="J173" t="n">
        <v>0</v>
      </c>
      <c r="K173" t="n">
        <v>0</v>
      </c>
      <c r="L173" t="n">
        <v>0</v>
      </c>
      <c r="M173" t="n">
        <v>0</v>
      </c>
      <c r="N173" t="n">
        <v>0</v>
      </c>
      <c r="O173" t="n">
        <v>0</v>
      </c>
      <c r="P173" t="n">
        <v>0</v>
      </c>
      <c r="Q173" t="n">
        <v>0</v>
      </c>
      <c r="R173" s="2" t="inlineStr"/>
    </row>
    <row r="174" ht="15" customHeight="1">
      <c r="A174" t="inlineStr">
        <is>
          <t>A 19974-2019</t>
        </is>
      </c>
      <c r="B174" s="1" t="n">
        <v>43564</v>
      </c>
      <c r="C174" s="1" t="n">
        <v>45640</v>
      </c>
      <c r="D174" t="inlineStr">
        <is>
          <t>VÄRMLANDS LÄN</t>
        </is>
      </c>
      <c r="E174" t="inlineStr">
        <is>
          <t>TORSBY</t>
        </is>
      </c>
      <c r="G174" t="n">
        <v>5.1</v>
      </c>
      <c r="H174" t="n">
        <v>0</v>
      </c>
      <c r="I174" t="n">
        <v>0</v>
      </c>
      <c r="J174" t="n">
        <v>0</v>
      </c>
      <c r="K174" t="n">
        <v>0</v>
      </c>
      <c r="L174" t="n">
        <v>0</v>
      </c>
      <c r="M174" t="n">
        <v>0</v>
      </c>
      <c r="N174" t="n">
        <v>0</v>
      </c>
      <c r="O174" t="n">
        <v>0</v>
      </c>
      <c r="P174" t="n">
        <v>0</v>
      </c>
      <c r="Q174" t="n">
        <v>0</v>
      </c>
      <c r="R174" s="2" t="inlineStr"/>
    </row>
    <row r="175" ht="15" customHeight="1">
      <c r="A175" t="inlineStr">
        <is>
          <t>A 19125-2019</t>
        </is>
      </c>
      <c r="B175" s="1" t="n">
        <v>43564</v>
      </c>
      <c r="C175" s="1" t="n">
        <v>45640</v>
      </c>
      <c r="D175" t="inlineStr">
        <is>
          <t>VÄRMLANDS LÄN</t>
        </is>
      </c>
      <c r="E175" t="inlineStr">
        <is>
          <t>TORSBY</t>
        </is>
      </c>
      <c r="G175" t="n">
        <v>18.3</v>
      </c>
      <c r="H175" t="n">
        <v>0</v>
      </c>
      <c r="I175" t="n">
        <v>0</v>
      </c>
      <c r="J175" t="n">
        <v>0</v>
      </c>
      <c r="K175" t="n">
        <v>0</v>
      </c>
      <c r="L175" t="n">
        <v>0</v>
      </c>
      <c r="M175" t="n">
        <v>0</v>
      </c>
      <c r="N175" t="n">
        <v>0</v>
      </c>
      <c r="O175" t="n">
        <v>0</v>
      </c>
      <c r="P175" t="n">
        <v>0</v>
      </c>
      <c r="Q175" t="n">
        <v>0</v>
      </c>
      <c r="R175" s="2" t="inlineStr"/>
    </row>
    <row r="176" ht="15" customHeight="1">
      <c r="A176" t="inlineStr">
        <is>
          <t>A 19591-2019</t>
        </is>
      </c>
      <c r="B176" s="1" t="n">
        <v>43566</v>
      </c>
      <c r="C176" s="1" t="n">
        <v>45640</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20167-2019</t>
        </is>
      </c>
      <c r="B177" s="1" t="n">
        <v>43570</v>
      </c>
      <c r="C177" s="1" t="n">
        <v>45640</v>
      </c>
      <c r="D177" t="inlineStr">
        <is>
          <t>VÄRMLANDS LÄN</t>
        </is>
      </c>
      <c r="E177" t="inlineStr">
        <is>
          <t>TORSBY</t>
        </is>
      </c>
      <c r="G177" t="n">
        <v>5</v>
      </c>
      <c r="H177" t="n">
        <v>0</v>
      </c>
      <c r="I177" t="n">
        <v>0</v>
      </c>
      <c r="J177" t="n">
        <v>0</v>
      </c>
      <c r="K177" t="n">
        <v>0</v>
      </c>
      <c r="L177" t="n">
        <v>0</v>
      </c>
      <c r="M177" t="n">
        <v>0</v>
      </c>
      <c r="N177" t="n">
        <v>0</v>
      </c>
      <c r="O177" t="n">
        <v>0</v>
      </c>
      <c r="P177" t="n">
        <v>0</v>
      </c>
      <c r="Q177" t="n">
        <v>0</v>
      </c>
      <c r="R177" s="2" t="inlineStr"/>
    </row>
    <row r="178" ht="15" customHeight="1">
      <c r="A178" t="inlineStr">
        <is>
          <t>A 20190-2019</t>
        </is>
      </c>
      <c r="B178" s="1" t="n">
        <v>43570</v>
      </c>
      <c r="C178" s="1" t="n">
        <v>45640</v>
      </c>
      <c r="D178" t="inlineStr">
        <is>
          <t>VÄRMLANDS LÄN</t>
        </is>
      </c>
      <c r="E178" t="inlineStr">
        <is>
          <t>TORSBY</t>
        </is>
      </c>
      <c r="G178" t="n">
        <v>2.1</v>
      </c>
      <c r="H178" t="n">
        <v>0</v>
      </c>
      <c r="I178" t="n">
        <v>0</v>
      </c>
      <c r="J178" t="n">
        <v>0</v>
      </c>
      <c r="K178" t="n">
        <v>0</v>
      </c>
      <c r="L178" t="n">
        <v>0</v>
      </c>
      <c r="M178" t="n">
        <v>0</v>
      </c>
      <c r="N178" t="n">
        <v>0</v>
      </c>
      <c r="O178" t="n">
        <v>0</v>
      </c>
      <c r="P178" t="n">
        <v>0</v>
      </c>
      <c r="Q178" t="n">
        <v>0</v>
      </c>
      <c r="R178" s="2" t="inlineStr"/>
    </row>
    <row r="179" ht="15" customHeight="1">
      <c r="A179" t="inlineStr">
        <is>
          <t>A 20244-2019</t>
        </is>
      </c>
      <c r="B179" s="1" t="n">
        <v>43571</v>
      </c>
      <c r="C179" s="1" t="n">
        <v>45640</v>
      </c>
      <c r="D179" t="inlineStr">
        <is>
          <t>VÄRMLANDS LÄN</t>
        </is>
      </c>
      <c r="E179" t="inlineStr">
        <is>
          <t>TORSBY</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20616-2019</t>
        </is>
      </c>
      <c r="B180" s="1" t="n">
        <v>43572</v>
      </c>
      <c r="C180" s="1" t="n">
        <v>45640</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20468-2019</t>
        </is>
      </c>
      <c r="B181" s="1" t="n">
        <v>43572</v>
      </c>
      <c r="C181" s="1" t="n">
        <v>45640</v>
      </c>
      <c r="D181" t="inlineStr">
        <is>
          <t>VÄRMLANDS LÄN</t>
        </is>
      </c>
      <c r="E181" t="inlineStr">
        <is>
          <t>TORSBY</t>
        </is>
      </c>
      <c r="G181" t="n">
        <v>2.9</v>
      </c>
      <c r="H181" t="n">
        <v>0</v>
      </c>
      <c r="I181" t="n">
        <v>0</v>
      </c>
      <c r="J181" t="n">
        <v>0</v>
      </c>
      <c r="K181" t="n">
        <v>0</v>
      </c>
      <c r="L181" t="n">
        <v>0</v>
      </c>
      <c r="M181" t="n">
        <v>0</v>
      </c>
      <c r="N181" t="n">
        <v>0</v>
      </c>
      <c r="O181" t="n">
        <v>0</v>
      </c>
      <c r="P181" t="n">
        <v>0</v>
      </c>
      <c r="Q181" t="n">
        <v>0</v>
      </c>
      <c r="R181" s="2" t="inlineStr"/>
    </row>
    <row r="182" ht="15" customHeight="1">
      <c r="A182" t="inlineStr">
        <is>
          <t>A 21166-2019</t>
        </is>
      </c>
      <c r="B182" s="1" t="n">
        <v>43578</v>
      </c>
      <c r="C182" s="1" t="n">
        <v>45640</v>
      </c>
      <c r="D182" t="inlineStr">
        <is>
          <t>VÄRMLANDS LÄN</t>
        </is>
      </c>
      <c r="E182" t="inlineStr">
        <is>
          <t>TORSBY</t>
        </is>
      </c>
      <c r="G182" t="n">
        <v>3.4</v>
      </c>
      <c r="H182" t="n">
        <v>0</v>
      </c>
      <c r="I182" t="n">
        <v>0</v>
      </c>
      <c r="J182" t="n">
        <v>0</v>
      </c>
      <c r="K182" t="n">
        <v>0</v>
      </c>
      <c r="L182" t="n">
        <v>0</v>
      </c>
      <c r="M182" t="n">
        <v>0</v>
      </c>
      <c r="N182" t="n">
        <v>0</v>
      </c>
      <c r="O182" t="n">
        <v>0</v>
      </c>
      <c r="P182" t="n">
        <v>0</v>
      </c>
      <c r="Q182" t="n">
        <v>0</v>
      </c>
      <c r="R182" s="2" t="inlineStr"/>
    </row>
    <row r="183" ht="15" customHeight="1">
      <c r="A183" t="inlineStr">
        <is>
          <t>A 21387-2019</t>
        </is>
      </c>
      <c r="B183" s="1" t="n">
        <v>43580</v>
      </c>
      <c r="C183" s="1" t="n">
        <v>45640</v>
      </c>
      <c r="D183" t="inlineStr">
        <is>
          <t>VÄRMLANDS LÄN</t>
        </is>
      </c>
      <c r="E183" t="inlineStr">
        <is>
          <t>TORSBY</t>
        </is>
      </c>
      <c r="G183" t="n">
        <v>2.4</v>
      </c>
      <c r="H183" t="n">
        <v>0</v>
      </c>
      <c r="I183" t="n">
        <v>0</v>
      </c>
      <c r="J183" t="n">
        <v>0</v>
      </c>
      <c r="K183" t="n">
        <v>0</v>
      </c>
      <c r="L183" t="n">
        <v>0</v>
      </c>
      <c r="M183" t="n">
        <v>0</v>
      </c>
      <c r="N183" t="n">
        <v>0</v>
      </c>
      <c r="O183" t="n">
        <v>0</v>
      </c>
      <c r="P183" t="n">
        <v>0</v>
      </c>
      <c r="Q183" t="n">
        <v>0</v>
      </c>
      <c r="R183" s="2" t="inlineStr"/>
    </row>
    <row r="184" ht="15" customHeight="1">
      <c r="A184" t="inlineStr">
        <is>
          <t>A 21958-2019</t>
        </is>
      </c>
      <c r="B184" s="1" t="n">
        <v>43584</v>
      </c>
      <c r="C184" s="1" t="n">
        <v>45640</v>
      </c>
      <c r="D184" t="inlineStr">
        <is>
          <t>VÄRMLANDS LÄN</t>
        </is>
      </c>
      <c r="E184" t="inlineStr">
        <is>
          <t>TORSBY</t>
        </is>
      </c>
      <c r="G184" t="n">
        <v>3.5</v>
      </c>
      <c r="H184" t="n">
        <v>0</v>
      </c>
      <c r="I184" t="n">
        <v>0</v>
      </c>
      <c r="J184" t="n">
        <v>0</v>
      </c>
      <c r="K184" t="n">
        <v>0</v>
      </c>
      <c r="L184" t="n">
        <v>0</v>
      </c>
      <c r="M184" t="n">
        <v>0</v>
      </c>
      <c r="N184" t="n">
        <v>0</v>
      </c>
      <c r="O184" t="n">
        <v>0</v>
      </c>
      <c r="P184" t="n">
        <v>0</v>
      </c>
      <c r="Q184" t="n">
        <v>0</v>
      </c>
      <c r="R184" s="2" t="inlineStr"/>
    </row>
    <row r="185" ht="15" customHeight="1">
      <c r="A185" t="inlineStr">
        <is>
          <t>A 22252-2019</t>
        </is>
      </c>
      <c r="B185" s="1" t="n">
        <v>43585</v>
      </c>
      <c r="C185" s="1" t="n">
        <v>45640</v>
      </c>
      <c r="D185" t="inlineStr">
        <is>
          <t>VÄRMLANDS LÄN</t>
        </is>
      </c>
      <c r="E185" t="inlineStr">
        <is>
          <t>TORSBY</t>
        </is>
      </c>
      <c r="G185" t="n">
        <v>3.7</v>
      </c>
      <c r="H185" t="n">
        <v>0</v>
      </c>
      <c r="I185" t="n">
        <v>0</v>
      </c>
      <c r="J185" t="n">
        <v>0</v>
      </c>
      <c r="K185" t="n">
        <v>0</v>
      </c>
      <c r="L185" t="n">
        <v>0</v>
      </c>
      <c r="M185" t="n">
        <v>0</v>
      </c>
      <c r="N185" t="n">
        <v>0</v>
      </c>
      <c r="O185" t="n">
        <v>0</v>
      </c>
      <c r="P185" t="n">
        <v>0</v>
      </c>
      <c r="Q185" t="n">
        <v>0</v>
      </c>
      <c r="R185" s="2" t="inlineStr"/>
    </row>
    <row r="186" ht="15" customHeight="1">
      <c r="A186" t="inlineStr">
        <is>
          <t>A 22158-2019</t>
        </is>
      </c>
      <c r="B186" s="1" t="n">
        <v>43585</v>
      </c>
      <c r="C186" s="1" t="n">
        <v>45640</v>
      </c>
      <c r="D186" t="inlineStr">
        <is>
          <t>VÄRMLANDS LÄN</t>
        </is>
      </c>
      <c r="E186" t="inlineStr">
        <is>
          <t>TORSBY</t>
        </is>
      </c>
      <c r="G186" t="n">
        <v>4.5</v>
      </c>
      <c r="H186" t="n">
        <v>0</v>
      </c>
      <c r="I186" t="n">
        <v>0</v>
      </c>
      <c r="J186" t="n">
        <v>0</v>
      </c>
      <c r="K186" t="n">
        <v>0</v>
      </c>
      <c r="L186" t="n">
        <v>0</v>
      </c>
      <c r="M186" t="n">
        <v>0</v>
      </c>
      <c r="N186" t="n">
        <v>0</v>
      </c>
      <c r="O186" t="n">
        <v>0</v>
      </c>
      <c r="P186" t="n">
        <v>0</v>
      </c>
      <c r="Q186" t="n">
        <v>0</v>
      </c>
      <c r="R186" s="2" t="inlineStr"/>
    </row>
    <row r="187" ht="15" customHeight="1">
      <c r="A187" t="inlineStr">
        <is>
          <t>A 22416-2019</t>
        </is>
      </c>
      <c r="B187" s="1" t="n">
        <v>43587</v>
      </c>
      <c r="C187" s="1" t="n">
        <v>45640</v>
      </c>
      <c r="D187" t="inlineStr">
        <is>
          <t>VÄRMLANDS LÄN</t>
        </is>
      </c>
      <c r="E187" t="inlineStr">
        <is>
          <t>TORSBY</t>
        </is>
      </c>
      <c r="G187" t="n">
        <v>1.9</v>
      </c>
      <c r="H187" t="n">
        <v>0</v>
      </c>
      <c r="I187" t="n">
        <v>0</v>
      </c>
      <c r="J187" t="n">
        <v>0</v>
      </c>
      <c r="K187" t="n">
        <v>0</v>
      </c>
      <c r="L187" t="n">
        <v>0</v>
      </c>
      <c r="M187" t="n">
        <v>0</v>
      </c>
      <c r="N187" t="n">
        <v>0</v>
      </c>
      <c r="O187" t="n">
        <v>0</v>
      </c>
      <c r="P187" t="n">
        <v>0</v>
      </c>
      <c r="Q187" t="n">
        <v>0</v>
      </c>
      <c r="R187" s="2" t="inlineStr"/>
    </row>
    <row r="188" ht="15" customHeight="1">
      <c r="A188" t="inlineStr">
        <is>
          <t>A 22351-2019</t>
        </is>
      </c>
      <c r="B188" s="1" t="n">
        <v>43587</v>
      </c>
      <c r="C188" s="1" t="n">
        <v>45640</v>
      </c>
      <c r="D188" t="inlineStr">
        <is>
          <t>VÄRMLANDS LÄN</t>
        </is>
      </c>
      <c r="E188" t="inlineStr">
        <is>
          <t>TORSBY</t>
        </is>
      </c>
      <c r="G188" t="n">
        <v>4.3</v>
      </c>
      <c r="H188" t="n">
        <v>0</v>
      </c>
      <c r="I188" t="n">
        <v>0</v>
      </c>
      <c r="J188" t="n">
        <v>0</v>
      </c>
      <c r="K188" t="n">
        <v>0</v>
      </c>
      <c r="L188" t="n">
        <v>0</v>
      </c>
      <c r="M188" t="n">
        <v>0</v>
      </c>
      <c r="N188" t="n">
        <v>0</v>
      </c>
      <c r="O188" t="n">
        <v>0</v>
      </c>
      <c r="P188" t="n">
        <v>0</v>
      </c>
      <c r="Q188" t="n">
        <v>0</v>
      </c>
      <c r="R188" s="2" t="inlineStr"/>
    </row>
    <row r="189" ht="15" customHeight="1">
      <c r="A189" t="inlineStr">
        <is>
          <t>A 22692-2019</t>
        </is>
      </c>
      <c r="B189" s="1" t="n">
        <v>43588</v>
      </c>
      <c r="C189" s="1" t="n">
        <v>45640</v>
      </c>
      <c r="D189" t="inlineStr">
        <is>
          <t>VÄRMLANDS LÄN</t>
        </is>
      </c>
      <c r="E189" t="inlineStr">
        <is>
          <t>TORSBY</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22717-2019</t>
        </is>
      </c>
      <c r="B190" s="1" t="n">
        <v>43588</v>
      </c>
      <c r="C190" s="1" t="n">
        <v>45640</v>
      </c>
      <c r="D190" t="inlineStr">
        <is>
          <t>VÄRMLANDS LÄN</t>
        </is>
      </c>
      <c r="E190" t="inlineStr">
        <is>
          <t>TORSBY</t>
        </is>
      </c>
      <c r="G190" t="n">
        <v>8</v>
      </c>
      <c r="H190" t="n">
        <v>0</v>
      </c>
      <c r="I190" t="n">
        <v>0</v>
      </c>
      <c r="J190" t="n">
        <v>0</v>
      </c>
      <c r="K190" t="n">
        <v>0</v>
      </c>
      <c r="L190" t="n">
        <v>0</v>
      </c>
      <c r="M190" t="n">
        <v>0</v>
      </c>
      <c r="N190" t="n">
        <v>0</v>
      </c>
      <c r="O190" t="n">
        <v>0</v>
      </c>
      <c r="P190" t="n">
        <v>0</v>
      </c>
      <c r="Q190" t="n">
        <v>0</v>
      </c>
      <c r="R190" s="2" t="inlineStr"/>
    </row>
    <row r="191" ht="15" customHeight="1">
      <c r="A191" t="inlineStr">
        <is>
          <t>A 23412-2019</t>
        </is>
      </c>
      <c r="B191" s="1" t="n">
        <v>43593</v>
      </c>
      <c r="C191" s="1" t="n">
        <v>45640</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23892-2019</t>
        </is>
      </c>
      <c r="B192" s="1" t="n">
        <v>43595</v>
      </c>
      <c r="C192" s="1" t="n">
        <v>45640</v>
      </c>
      <c r="D192" t="inlineStr">
        <is>
          <t>VÄRMLANDS LÄN</t>
        </is>
      </c>
      <c r="E192" t="inlineStr">
        <is>
          <t>TORSBY</t>
        </is>
      </c>
      <c r="G192" t="n">
        <v>1.8</v>
      </c>
      <c r="H192" t="n">
        <v>0</v>
      </c>
      <c r="I192" t="n">
        <v>0</v>
      </c>
      <c r="J192" t="n">
        <v>0</v>
      </c>
      <c r="K192" t="n">
        <v>0</v>
      </c>
      <c r="L192" t="n">
        <v>0</v>
      </c>
      <c r="M192" t="n">
        <v>0</v>
      </c>
      <c r="N192" t="n">
        <v>0</v>
      </c>
      <c r="O192" t="n">
        <v>0</v>
      </c>
      <c r="P192" t="n">
        <v>0</v>
      </c>
      <c r="Q192" t="n">
        <v>0</v>
      </c>
      <c r="R192" s="2" t="inlineStr"/>
    </row>
    <row r="193" ht="15" customHeight="1">
      <c r="A193" t="inlineStr">
        <is>
          <t>A 23771-2019</t>
        </is>
      </c>
      <c r="B193" s="1" t="n">
        <v>43595</v>
      </c>
      <c r="C193" s="1" t="n">
        <v>45640</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24667-2019</t>
        </is>
      </c>
      <c r="B194" s="1" t="n">
        <v>43599</v>
      </c>
      <c r="C194" s="1" t="n">
        <v>45640</v>
      </c>
      <c r="D194" t="inlineStr">
        <is>
          <t>VÄRMLANDS LÄN</t>
        </is>
      </c>
      <c r="E194" t="inlineStr">
        <is>
          <t>TORSBY</t>
        </is>
      </c>
      <c r="G194" t="n">
        <v>6.7</v>
      </c>
      <c r="H194" t="n">
        <v>0</v>
      </c>
      <c r="I194" t="n">
        <v>0</v>
      </c>
      <c r="J194" t="n">
        <v>0</v>
      </c>
      <c r="K194" t="n">
        <v>0</v>
      </c>
      <c r="L194" t="n">
        <v>0</v>
      </c>
      <c r="M194" t="n">
        <v>0</v>
      </c>
      <c r="N194" t="n">
        <v>0</v>
      </c>
      <c r="O194" t="n">
        <v>0</v>
      </c>
      <c r="P194" t="n">
        <v>0</v>
      </c>
      <c r="Q194" t="n">
        <v>0</v>
      </c>
      <c r="R194" s="2" t="inlineStr"/>
    </row>
    <row r="195" ht="15" customHeight="1">
      <c r="A195" t="inlineStr">
        <is>
          <t>A 24703-2019</t>
        </is>
      </c>
      <c r="B195" s="1" t="n">
        <v>43601</v>
      </c>
      <c r="C195" s="1" t="n">
        <v>45640</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26493-2019</t>
        </is>
      </c>
      <c r="B196" s="1" t="n">
        <v>43612</v>
      </c>
      <c r="C196" s="1" t="n">
        <v>45640</v>
      </c>
      <c r="D196" t="inlineStr">
        <is>
          <t>VÄRMLANDS LÄN</t>
        </is>
      </c>
      <c r="E196" t="inlineStr">
        <is>
          <t>TORSBY</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27907-2019</t>
        </is>
      </c>
      <c r="B197" s="1" t="n">
        <v>43612</v>
      </c>
      <c r="C197" s="1" t="n">
        <v>45640</v>
      </c>
      <c r="D197" t="inlineStr">
        <is>
          <t>VÄRMLANDS LÄN</t>
        </is>
      </c>
      <c r="E197" t="inlineStr">
        <is>
          <t>TORSBY</t>
        </is>
      </c>
      <c r="G197" t="n">
        <v>7.5</v>
      </c>
      <c r="H197" t="n">
        <v>0</v>
      </c>
      <c r="I197" t="n">
        <v>0</v>
      </c>
      <c r="J197" t="n">
        <v>0</v>
      </c>
      <c r="K197" t="n">
        <v>0</v>
      </c>
      <c r="L197" t="n">
        <v>0</v>
      </c>
      <c r="M197" t="n">
        <v>0</v>
      </c>
      <c r="N197" t="n">
        <v>0</v>
      </c>
      <c r="O197" t="n">
        <v>0</v>
      </c>
      <c r="P197" t="n">
        <v>0</v>
      </c>
      <c r="Q197" t="n">
        <v>0</v>
      </c>
      <c r="R197" s="2" t="inlineStr"/>
    </row>
    <row r="198" ht="15" customHeight="1">
      <c r="A198" t="inlineStr">
        <is>
          <t>A 26783-2019</t>
        </is>
      </c>
      <c r="B198" s="1" t="n">
        <v>43613</v>
      </c>
      <c r="C198" s="1" t="n">
        <v>45640</v>
      </c>
      <c r="D198" t="inlineStr">
        <is>
          <t>VÄRMLANDS LÄN</t>
        </is>
      </c>
      <c r="E198" t="inlineStr">
        <is>
          <t>TORSBY</t>
        </is>
      </c>
      <c r="G198" t="n">
        <v>0.6</v>
      </c>
      <c r="H198" t="n">
        <v>0</v>
      </c>
      <c r="I198" t="n">
        <v>0</v>
      </c>
      <c r="J198" t="n">
        <v>0</v>
      </c>
      <c r="K198" t="n">
        <v>0</v>
      </c>
      <c r="L198" t="n">
        <v>0</v>
      </c>
      <c r="M198" t="n">
        <v>0</v>
      </c>
      <c r="N198" t="n">
        <v>0</v>
      </c>
      <c r="O198" t="n">
        <v>0</v>
      </c>
      <c r="P198" t="n">
        <v>0</v>
      </c>
      <c r="Q198" t="n">
        <v>0</v>
      </c>
      <c r="R198" s="2" t="inlineStr"/>
    </row>
    <row r="199" ht="15" customHeight="1">
      <c r="A199" t="inlineStr">
        <is>
          <t>A 27711-2019</t>
        </is>
      </c>
      <c r="B199" s="1" t="n">
        <v>43619</v>
      </c>
      <c r="C199" s="1" t="n">
        <v>45640</v>
      </c>
      <c r="D199" t="inlineStr">
        <is>
          <t>VÄRMLANDS LÄN</t>
        </is>
      </c>
      <c r="E199" t="inlineStr">
        <is>
          <t>TORSBY</t>
        </is>
      </c>
      <c r="G199" t="n">
        <v>0.7</v>
      </c>
      <c r="H199" t="n">
        <v>0</v>
      </c>
      <c r="I199" t="n">
        <v>0</v>
      </c>
      <c r="J199" t="n">
        <v>0</v>
      </c>
      <c r="K199" t="n">
        <v>0</v>
      </c>
      <c r="L199" t="n">
        <v>0</v>
      </c>
      <c r="M199" t="n">
        <v>0</v>
      </c>
      <c r="N199" t="n">
        <v>0</v>
      </c>
      <c r="O199" t="n">
        <v>0</v>
      </c>
      <c r="P199" t="n">
        <v>0</v>
      </c>
      <c r="Q199" t="n">
        <v>0</v>
      </c>
      <c r="R199" s="2" t="inlineStr"/>
    </row>
    <row r="200" ht="15" customHeight="1">
      <c r="A200" t="inlineStr">
        <is>
          <t>A 27682-2019</t>
        </is>
      </c>
      <c r="B200" s="1" t="n">
        <v>43619</v>
      </c>
      <c r="C200" s="1" t="n">
        <v>45640</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28975-2019</t>
        </is>
      </c>
      <c r="B201" s="1" t="n">
        <v>43619</v>
      </c>
      <c r="C201" s="1" t="n">
        <v>45640</v>
      </c>
      <c r="D201" t="inlineStr">
        <is>
          <t>VÄRMLANDS LÄN</t>
        </is>
      </c>
      <c r="E201" t="inlineStr">
        <is>
          <t>TORSBY</t>
        </is>
      </c>
      <c r="G201" t="n">
        <v>6.5</v>
      </c>
      <c r="H201" t="n">
        <v>0</v>
      </c>
      <c r="I201" t="n">
        <v>0</v>
      </c>
      <c r="J201" t="n">
        <v>0</v>
      </c>
      <c r="K201" t="n">
        <v>0</v>
      </c>
      <c r="L201" t="n">
        <v>0</v>
      </c>
      <c r="M201" t="n">
        <v>0</v>
      </c>
      <c r="N201" t="n">
        <v>0</v>
      </c>
      <c r="O201" t="n">
        <v>0</v>
      </c>
      <c r="P201" t="n">
        <v>0</v>
      </c>
      <c r="Q201" t="n">
        <v>0</v>
      </c>
      <c r="R201" s="2" t="inlineStr"/>
    </row>
    <row r="202" ht="15" customHeight="1">
      <c r="A202" t="inlineStr">
        <is>
          <t>A 28487-2019</t>
        </is>
      </c>
      <c r="B202" s="1" t="n">
        <v>43621</v>
      </c>
      <c r="C202" s="1" t="n">
        <v>45640</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28653-2019</t>
        </is>
      </c>
      <c r="B203" s="1" t="n">
        <v>43627</v>
      </c>
      <c r="C203" s="1" t="n">
        <v>45640</v>
      </c>
      <c r="D203" t="inlineStr">
        <is>
          <t>VÄRMLANDS LÄN</t>
        </is>
      </c>
      <c r="E203" t="inlineStr">
        <is>
          <t>TORSBY</t>
        </is>
      </c>
      <c r="G203" t="n">
        <v>5.2</v>
      </c>
      <c r="H203" t="n">
        <v>0</v>
      </c>
      <c r="I203" t="n">
        <v>0</v>
      </c>
      <c r="J203" t="n">
        <v>0</v>
      </c>
      <c r="K203" t="n">
        <v>0</v>
      </c>
      <c r="L203" t="n">
        <v>0</v>
      </c>
      <c r="M203" t="n">
        <v>0</v>
      </c>
      <c r="N203" t="n">
        <v>0</v>
      </c>
      <c r="O203" t="n">
        <v>0</v>
      </c>
      <c r="P203" t="n">
        <v>0</v>
      </c>
      <c r="Q203" t="n">
        <v>0</v>
      </c>
      <c r="R203" s="2" t="inlineStr"/>
    </row>
    <row r="204" ht="15" customHeight="1">
      <c r="A204" t="inlineStr">
        <is>
          <t>A 28818-2019</t>
        </is>
      </c>
      <c r="B204" s="1" t="n">
        <v>43627</v>
      </c>
      <c r="C204" s="1" t="n">
        <v>45640</v>
      </c>
      <c r="D204" t="inlineStr">
        <is>
          <t>VÄRMLANDS LÄN</t>
        </is>
      </c>
      <c r="E204" t="inlineStr">
        <is>
          <t>TORSBY</t>
        </is>
      </c>
      <c r="F204" t="inlineStr">
        <is>
          <t>Bergvik skog väst AB</t>
        </is>
      </c>
      <c r="G204" t="n">
        <v>58.6</v>
      </c>
      <c r="H204" t="n">
        <v>0</v>
      </c>
      <c r="I204" t="n">
        <v>0</v>
      </c>
      <c r="J204" t="n">
        <v>0</v>
      </c>
      <c r="K204" t="n">
        <v>0</v>
      </c>
      <c r="L204" t="n">
        <v>0</v>
      </c>
      <c r="M204" t="n">
        <v>0</v>
      </c>
      <c r="N204" t="n">
        <v>0</v>
      </c>
      <c r="O204" t="n">
        <v>0</v>
      </c>
      <c r="P204" t="n">
        <v>0</v>
      </c>
      <c r="Q204" t="n">
        <v>0</v>
      </c>
      <c r="R204" s="2" t="inlineStr"/>
    </row>
    <row r="205" ht="15" customHeight="1">
      <c r="A205" t="inlineStr">
        <is>
          <t>A 28889-2019</t>
        </is>
      </c>
      <c r="B205" s="1" t="n">
        <v>43628</v>
      </c>
      <c r="C205" s="1" t="n">
        <v>45640</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29436-2019</t>
        </is>
      </c>
      <c r="B206" s="1" t="n">
        <v>43629</v>
      </c>
      <c r="C206" s="1" t="n">
        <v>45640</v>
      </c>
      <c r="D206" t="inlineStr">
        <is>
          <t>VÄRMLANDS LÄN</t>
        </is>
      </c>
      <c r="E206" t="inlineStr">
        <is>
          <t>TORSBY</t>
        </is>
      </c>
      <c r="F206" t="inlineStr">
        <is>
          <t>Bergvik skog väst AB</t>
        </is>
      </c>
      <c r="G206" t="n">
        <v>33.7</v>
      </c>
      <c r="H206" t="n">
        <v>0</v>
      </c>
      <c r="I206" t="n">
        <v>0</v>
      </c>
      <c r="J206" t="n">
        <v>0</v>
      </c>
      <c r="K206" t="n">
        <v>0</v>
      </c>
      <c r="L206" t="n">
        <v>0</v>
      </c>
      <c r="M206" t="n">
        <v>0</v>
      </c>
      <c r="N206" t="n">
        <v>0</v>
      </c>
      <c r="O206" t="n">
        <v>0</v>
      </c>
      <c r="P206" t="n">
        <v>0</v>
      </c>
      <c r="Q206" t="n">
        <v>0</v>
      </c>
      <c r="R206" s="2" t="inlineStr"/>
    </row>
    <row r="207" ht="15" customHeight="1">
      <c r="A207" t="inlineStr">
        <is>
          <t>A 30031-2019</t>
        </is>
      </c>
      <c r="B207" s="1" t="n">
        <v>43633</v>
      </c>
      <c r="C207" s="1" t="n">
        <v>45640</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30049-2019</t>
        </is>
      </c>
      <c r="B208" s="1" t="n">
        <v>43633</v>
      </c>
      <c r="C208" s="1" t="n">
        <v>45640</v>
      </c>
      <c r="D208" t="inlineStr">
        <is>
          <t>VÄRMLANDS LÄN</t>
        </is>
      </c>
      <c r="E208" t="inlineStr">
        <is>
          <t>TORSBY</t>
        </is>
      </c>
      <c r="G208" t="n">
        <v>7.1</v>
      </c>
      <c r="H208" t="n">
        <v>0</v>
      </c>
      <c r="I208" t="n">
        <v>0</v>
      </c>
      <c r="J208" t="n">
        <v>0</v>
      </c>
      <c r="K208" t="n">
        <v>0</v>
      </c>
      <c r="L208" t="n">
        <v>0</v>
      </c>
      <c r="M208" t="n">
        <v>0</v>
      </c>
      <c r="N208" t="n">
        <v>0</v>
      </c>
      <c r="O208" t="n">
        <v>0</v>
      </c>
      <c r="P208" t="n">
        <v>0</v>
      </c>
      <c r="Q208" t="n">
        <v>0</v>
      </c>
      <c r="R208" s="2" t="inlineStr"/>
    </row>
    <row r="209" ht="15" customHeight="1">
      <c r="A209" t="inlineStr">
        <is>
          <t>A 29984-2019</t>
        </is>
      </c>
      <c r="B209" s="1" t="n">
        <v>43633</v>
      </c>
      <c r="C209" s="1" t="n">
        <v>45640</v>
      </c>
      <c r="D209" t="inlineStr">
        <is>
          <t>VÄRMLANDS LÄN</t>
        </is>
      </c>
      <c r="E209" t="inlineStr">
        <is>
          <t>TORSBY</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30158-2019</t>
        </is>
      </c>
      <c r="B210" s="1" t="n">
        <v>43634</v>
      </c>
      <c r="C210" s="1" t="n">
        <v>45640</v>
      </c>
      <c r="D210" t="inlineStr">
        <is>
          <t>VÄRMLANDS LÄN</t>
        </is>
      </c>
      <c r="E210" t="inlineStr">
        <is>
          <t>TORSBY</t>
        </is>
      </c>
      <c r="G210" t="n">
        <v>3.3</v>
      </c>
      <c r="H210" t="n">
        <v>0</v>
      </c>
      <c r="I210" t="n">
        <v>0</v>
      </c>
      <c r="J210" t="n">
        <v>0</v>
      </c>
      <c r="K210" t="n">
        <v>0</v>
      </c>
      <c r="L210" t="n">
        <v>0</v>
      </c>
      <c r="M210" t="n">
        <v>0</v>
      </c>
      <c r="N210" t="n">
        <v>0</v>
      </c>
      <c r="O210" t="n">
        <v>0</v>
      </c>
      <c r="P210" t="n">
        <v>0</v>
      </c>
      <c r="Q210" t="n">
        <v>0</v>
      </c>
      <c r="R210" s="2" t="inlineStr"/>
    </row>
    <row r="211" ht="15" customHeight="1">
      <c r="A211" t="inlineStr">
        <is>
          <t>A 30596-2019</t>
        </is>
      </c>
      <c r="B211" s="1" t="n">
        <v>43635</v>
      </c>
      <c r="C211" s="1" t="n">
        <v>45640</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30860-2019</t>
        </is>
      </c>
      <c r="B212" s="1" t="n">
        <v>43636</v>
      </c>
      <c r="C212" s="1" t="n">
        <v>45640</v>
      </c>
      <c r="D212" t="inlineStr">
        <is>
          <t>VÄRMLANDS LÄN</t>
        </is>
      </c>
      <c r="E212" t="inlineStr">
        <is>
          <t>TORSBY</t>
        </is>
      </c>
      <c r="G212" t="n">
        <v>11.7</v>
      </c>
      <c r="H212" t="n">
        <v>0</v>
      </c>
      <c r="I212" t="n">
        <v>0</v>
      </c>
      <c r="J212" t="n">
        <v>0</v>
      </c>
      <c r="K212" t="n">
        <v>0</v>
      </c>
      <c r="L212" t="n">
        <v>0</v>
      </c>
      <c r="M212" t="n">
        <v>0</v>
      </c>
      <c r="N212" t="n">
        <v>0</v>
      </c>
      <c r="O212" t="n">
        <v>0</v>
      </c>
      <c r="P212" t="n">
        <v>0</v>
      </c>
      <c r="Q212" t="n">
        <v>0</v>
      </c>
      <c r="R212" s="2" t="inlineStr"/>
    </row>
    <row r="213" ht="15" customHeight="1">
      <c r="A213" t="inlineStr">
        <is>
          <t>A 31109-2019</t>
        </is>
      </c>
      <c r="B213" s="1" t="n">
        <v>43640</v>
      </c>
      <c r="C213" s="1" t="n">
        <v>45640</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31010-2019</t>
        </is>
      </c>
      <c r="B214" s="1" t="n">
        <v>43640</v>
      </c>
      <c r="C214" s="1" t="n">
        <v>45640</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31138-2019</t>
        </is>
      </c>
      <c r="B215" s="1" t="n">
        <v>43640</v>
      </c>
      <c r="C215" s="1" t="n">
        <v>45640</v>
      </c>
      <c r="D215" t="inlineStr">
        <is>
          <t>VÄRMLANDS LÄN</t>
        </is>
      </c>
      <c r="E215" t="inlineStr">
        <is>
          <t>TORSBY</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31543-2019</t>
        </is>
      </c>
      <c r="B216" s="1" t="n">
        <v>43641</v>
      </c>
      <c r="C216" s="1" t="n">
        <v>45640</v>
      </c>
      <c r="D216" t="inlineStr">
        <is>
          <t>VÄRMLANDS LÄN</t>
        </is>
      </c>
      <c r="E216" t="inlineStr">
        <is>
          <t>TORSBY</t>
        </is>
      </c>
      <c r="G216" t="n">
        <v>6</v>
      </c>
      <c r="H216" t="n">
        <v>0</v>
      </c>
      <c r="I216" t="n">
        <v>0</v>
      </c>
      <c r="J216" t="n">
        <v>0</v>
      </c>
      <c r="K216" t="n">
        <v>0</v>
      </c>
      <c r="L216" t="n">
        <v>0</v>
      </c>
      <c r="M216" t="n">
        <v>0</v>
      </c>
      <c r="N216" t="n">
        <v>0</v>
      </c>
      <c r="O216" t="n">
        <v>0</v>
      </c>
      <c r="P216" t="n">
        <v>0</v>
      </c>
      <c r="Q216" t="n">
        <v>0</v>
      </c>
      <c r="R216" s="2" t="inlineStr"/>
    </row>
    <row r="217" ht="15" customHeight="1">
      <c r="A217" t="inlineStr">
        <is>
          <t>A 31930-2019</t>
        </is>
      </c>
      <c r="B217" s="1" t="n">
        <v>43642</v>
      </c>
      <c r="C217" s="1" t="n">
        <v>45640</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32170-2019</t>
        </is>
      </c>
      <c r="B218" s="1" t="n">
        <v>43643</v>
      </c>
      <c r="C218" s="1" t="n">
        <v>45640</v>
      </c>
      <c r="D218" t="inlineStr">
        <is>
          <t>VÄRMLANDS LÄN</t>
        </is>
      </c>
      <c r="E218" t="inlineStr">
        <is>
          <t>TORSBY</t>
        </is>
      </c>
      <c r="G218" t="n">
        <v>4.6</v>
      </c>
      <c r="H218" t="n">
        <v>0</v>
      </c>
      <c r="I218" t="n">
        <v>0</v>
      </c>
      <c r="J218" t="n">
        <v>0</v>
      </c>
      <c r="K218" t="n">
        <v>0</v>
      </c>
      <c r="L218" t="n">
        <v>0</v>
      </c>
      <c r="M218" t="n">
        <v>0</v>
      </c>
      <c r="N218" t="n">
        <v>0</v>
      </c>
      <c r="O218" t="n">
        <v>0</v>
      </c>
      <c r="P218" t="n">
        <v>0</v>
      </c>
      <c r="Q218" t="n">
        <v>0</v>
      </c>
      <c r="R218" s="2" t="inlineStr"/>
    </row>
    <row r="219" ht="15" customHeight="1">
      <c r="A219" t="inlineStr">
        <is>
          <t>A 32443-2019</t>
        </is>
      </c>
      <c r="B219" s="1" t="n">
        <v>43644</v>
      </c>
      <c r="C219" s="1" t="n">
        <v>45640</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32298-2019</t>
        </is>
      </c>
      <c r="B220" s="1" t="n">
        <v>43644</v>
      </c>
      <c r="C220" s="1" t="n">
        <v>45640</v>
      </c>
      <c r="D220" t="inlineStr">
        <is>
          <t>VÄRMLANDS LÄN</t>
        </is>
      </c>
      <c r="E220" t="inlineStr">
        <is>
          <t>TORSBY</t>
        </is>
      </c>
      <c r="G220" t="n">
        <v>0.7</v>
      </c>
      <c r="H220" t="n">
        <v>0</v>
      </c>
      <c r="I220" t="n">
        <v>0</v>
      </c>
      <c r="J220" t="n">
        <v>0</v>
      </c>
      <c r="K220" t="n">
        <v>0</v>
      </c>
      <c r="L220" t="n">
        <v>0</v>
      </c>
      <c r="M220" t="n">
        <v>0</v>
      </c>
      <c r="N220" t="n">
        <v>0</v>
      </c>
      <c r="O220" t="n">
        <v>0</v>
      </c>
      <c r="P220" t="n">
        <v>0</v>
      </c>
      <c r="Q220" t="n">
        <v>0</v>
      </c>
      <c r="R220" s="2" t="inlineStr"/>
    </row>
    <row r="221" ht="15" customHeight="1">
      <c r="A221" t="inlineStr">
        <is>
          <t>A 32468-2019</t>
        </is>
      </c>
      <c r="B221" s="1" t="n">
        <v>43644</v>
      </c>
      <c r="C221" s="1" t="n">
        <v>45640</v>
      </c>
      <c r="D221" t="inlineStr">
        <is>
          <t>VÄRMLANDS LÄN</t>
        </is>
      </c>
      <c r="E221" t="inlineStr">
        <is>
          <t>TORSBY</t>
        </is>
      </c>
      <c r="G221" t="n">
        <v>4.7</v>
      </c>
      <c r="H221" t="n">
        <v>0</v>
      </c>
      <c r="I221" t="n">
        <v>0</v>
      </c>
      <c r="J221" t="n">
        <v>0</v>
      </c>
      <c r="K221" t="n">
        <v>0</v>
      </c>
      <c r="L221" t="n">
        <v>0</v>
      </c>
      <c r="M221" t="n">
        <v>0</v>
      </c>
      <c r="N221" t="n">
        <v>0</v>
      </c>
      <c r="O221" t="n">
        <v>0</v>
      </c>
      <c r="P221" t="n">
        <v>0</v>
      </c>
      <c r="Q221" t="n">
        <v>0</v>
      </c>
      <c r="R221" s="2" t="inlineStr"/>
    </row>
    <row r="222" ht="15" customHeight="1">
      <c r="A222" t="inlineStr">
        <is>
          <t>A 32444-2019</t>
        </is>
      </c>
      <c r="B222" s="1" t="n">
        <v>43644</v>
      </c>
      <c r="C222" s="1" t="n">
        <v>45640</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33918-2019</t>
        </is>
      </c>
      <c r="B223" s="1" t="n">
        <v>43654</v>
      </c>
      <c r="C223" s="1" t="n">
        <v>45640</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35505-2019</t>
        </is>
      </c>
      <c r="B224" s="1" t="n">
        <v>43654</v>
      </c>
      <c r="C224" s="1" t="n">
        <v>45640</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35788-2019</t>
        </is>
      </c>
      <c r="B225" s="1" t="n">
        <v>43656</v>
      </c>
      <c r="C225" s="1" t="n">
        <v>45640</v>
      </c>
      <c r="D225" t="inlineStr">
        <is>
          <t>VÄRMLANDS LÄN</t>
        </is>
      </c>
      <c r="E225" t="inlineStr">
        <is>
          <t>TORSBY</t>
        </is>
      </c>
      <c r="F225" t="inlineStr">
        <is>
          <t>Kyrkan</t>
        </is>
      </c>
      <c r="G225" t="n">
        <v>0.8</v>
      </c>
      <c r="H225" t="n">
        <v>0</v>
      </c>
      <c r="I225" t="n">
        <v>0</v>
      </c>
      <c r="J225" t="n">
        <v>0</v>
      </c>
      <c r="K225" t="n">
        <v>0</v>
      </c>
      <c r="L225" t="n">
        <v>0</v>
      </c>
      <c r="M225" t="n">
        <v>0</v>
      </c>
      <c r="N225" t="n">
        <v>0</v>
      </c>
      <c r="O225" t="n">
        <v>0</v>
      </c>
      <c r="P225" t="n">
        <v>0</v>
      </c>
      <c r="Q225" t="n">
        <v>0</v>
      </c>
      <c r="R225" s="2" t="inlineStr"/>
    </row>
    <row r="226" ht="15" customHeight="1">
      <c r="A226" t="inlineStr">
        <is>
          <t>A 34541-2019</t>
        </is>
      </c>
      <c r="B226" s="1" t="n">
        <v>43657</v>
      </c>
      <c r="C226" s="1" t="n">
        <v>45640</v>
      </c>
      <c r="D226" t="inlineStr">
        <is>
          <t>VÄRMLANDS LÄN</t>
        </is>
      </c>
      <c r="E226" t="inlineStr">
        <is>
          <t>TORSBY</t>
        </is>
      </c>
      <c r="G226" t="n">
        <v>5.7</v>
      </c>
      <c r="H226" t="n">
        <v>0</v>
      </c>
      <c r="I226" t="n">
        <v>0</v>
      </c>
      <c r="J226" t="n">
        <v>0</v>
      </c>
      <c r="K226" t="n">
        <v>0</v>
      </c>
      <c r="L226" t="n">
        <v>0</v>
      </c>
      <c r="M226" t="n">
        <v>0</v>
      </c>
      <c r="N226" t="n">
        <v>0</v>
      </c>
      <c r="O226" t="n">
        <v>0</v>
      </c>
      <c r="P226" t="n">
        <v>0</v>
      </c>
      <c r="Q226" t="n">
        <v>0</v>
      </c>
      <c r="R226" s="2" t="inlineStr"/>
    </row>
    <row r="227" ht="15" customHeight="1">
      <c r="A227" t="inlineStr">
        <is>
          <t>A 36480-2019</t>
        </is>
      </c>
      <c r="B227" s="1" t="n">
        <v>43668</v>
      </c>
      <c r="C227" s="1" t="n">
        <v>45640</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38010-2019</t>
        </is>
      </c>
      <c r="B228" s="1" t="n">
        <v>43669</v>
      </c>
      <c r="C228" s="1" t="n">
        <v>45640</v>
      </c>
      <c r="D228" t="inlineStr">
        <is>
          <t>VÄRMLANDS LÄN</t>
        </is>
      </c>
      <c r="E228" t="inlineStr">
        <is>
          <t>TORSBY</t>
        </is>
      </c>
      <c r="G228" t="n">
        <v>6.2</v>
      </c>
      <c r="H228" t="n">
        <v>0</v>
      </c>
      <c r="I228" t="n">
        <v>0</v>
      </c>
      <c r="J228" t="n">
        <v>0</v>
      </c>
      <c r="K228" t="n">
        <v>0</v>
      </c>
      <c r="L228" t="n">
        <v>0</v>
      </c>
      <c r="M228" t="n">
        <v>0</v>
      </c>
      <c r="N228" t="n">
        <v>0</v>
      </c>
      <c r="O228" t="n">
        <v>0</v>
      </c>
      <c r="P228" t="n">
        <v>0</v>
      </c>
      <c r="Q228" t="n">
        <v>0</v>
      </c>
      <c r="R228" s="2" t="inlineStr"/>
    </row>
    <row r="229" ht="15" customHeight="1">
      <c r="A229" t="inlineStr">
        <is>
          <t>A 38003-2019</t>
        </is>
      </c>
      <c r="B229" s="1" t="n">
        <v>43669</v>
      </c>
      <c r="C229" s="1" t="n">
        <v>45640</v>
      </c>
      <c r="D229" t="inlineStr">
        <is>
          <t>VÄRMLANDS LÄN</t>
        </is>
      </c>
      <c r="E229" t="inlineStr">
        <is>
          <t>TORSBY</t>
        </is>
      </c>
      <c r="G229" t="n">
        <v>3.1</v>
      </c>
      <c r="H229" t="n">
        <v>0</v>
      </c>
      <c r="I229" t="n">
        <v>0</v>
      </c>
      <c r="J229" t="n">
        <v>0</v>
      </c>
      <c r="K229" t="n">
        <v>0</v>
      </c>
      <c r="L229" t="n">
        <v>0</v>
      </c>
      <c r="M229" t="n">
        <v>0</v>
      </c>
      <c r="N229" t="n">
        <v>0</v>
      </c>
      <c r="O229" t="n">
        <v>0</v>
      </c>
      <c r="P229" t="n">
        <v>0</v>
      </c>
      <c r="Q229" t="n">
        <v>0</v>
      </c>
      <c r="R229" s="2" t="inlineStr"/>
    </row>
    <row r="230" ht="15" customHeight="1">
      <c r="A230" t="inlineStr">
        <is>
          <t>A 36712-2019</t>
        </is>
      </c>
      <c r="B230" s="1" t="n">
        <v>43669</v>
      </c>
      <c r="C230" s="1" t="n">
        <v>45640</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36682-2019</t>
        </is>
      </c>
      <c r="B231" s="1" t="n">
        <v>43670</v>
      </c>
      <c r="C231" s="1" t="n">
        <v>45640</v>
      </c>
      <c r="D231" t="inlineStr">
        <is>
          <t>VÄRMLANDS LÄN</t>
        </is>
      </c>
      <c r="E231" t="inlineStr">
        <is>
          <t>TORSBY</t>
        </is>
      </c>
      <c r="G231" t="n">
        <v>8.1</v>
      </c>
      <c r="H231" t="n">
        <v>0</v>
      </c>
      <c r="I231" t="n">
        <v>0</v>
      </c>
      <c r="J231" t="n">
        <v>0</v>
      </c>
      <c r="K231" t="n">
        <v>0</v>
      </c>
      <c r="L231" t="n">
        <v>0</v>
      </c>
      <c r="M231" t="n">
        <v>0</v>
      </c>
      <c r="N231" t="n">
        <v>0</v>
      </c>
      <c r="O231" t="n">
        <v>0</v>
      </c>
      <c r="P231" t="n">
        <v>0</v>
      </c>
      <c r="Q231" t="n">
        <v>0</v>
      </c>
      <c r="R231" s="2" t="inlineStr"/>
    </row>
    <row r="232" ht="15" customHeight="1">
      <c r="A232" t="inlineStr">
        <is>
          <t>A 36734-2019</t>
        </is>
      </c>
      <c r="B232" s="1" t="n">
        <v>43672</v>
      </c>
      <c r="C232" s="1" t="n">
        <v>45640</v>
      </c>
      <c r="D232" t="inlineStr">
        <is>
          <t>VÄRMLANDS LÄN</t>
        </is>
      </c>
      <c r="E232" t="inlineStr">
        <is>
          <t>TORSBY</t>
        </is>
      </c>
      <c r="G232" t="n">
        <v>2.4</v>
      </c>
      <c r="H232" t="n">
        <v>0</v>
      </c>
      <c r="I232" t="n">
        <v>0</v>
      </c>
      <c r="J232" t="n">
        <v>0</v>
      </c>
      <c r="K232" t="n">
        <v>0</v>
      </c>
      <c r="L232" t="n">
        <v>0</v>
      </c>
      <c r="M232" t="n">
        <v>0</v>
      </c>
      <c r="N232" t="n">
        <v>0</v>
      </c>
      <c r="O232" t="n">
        <v>0</v>
      </c>
      <c r="P232" t="n">
        <v>0</v>
      </c>
      <c r="Q232" t="n">
        <v>0</v>
      </c>
      <c r="R232" s="2" t="inlineStr"/>
    </row>
    <row r="233" ht="15" customHeight="1">
      <c r="A233" t="inlineStr">
        <is>
          <t>A 36820-2019</t>
        </is>
      </c>
      <c r="B233" s="1" t="n">
        <v>43673</v>
      </c>
      <c r="C233" s="1" t="n">
        <v>45640</v>
      </c>
      <c r="D233" t="inlineStr">
        <is>
          <t>VÄRMLANDS LÄN</t>
        </is>
      </c>
      <c r="E233" t="inlineStr">
        <is>
          <t>TORSBY</t>
        </is>
      </c>
      <c r="G233" t="n">
        <v>0.2</v>
      </c>
      <c r="H233" t="n">
        <v>0</v>
      </c>
      <c r="I233" t="n">
        <v>0</v>
      </c>
      <c r="J233" t="n">
        <v>0</v>
      </c>
      <c r="K233" t="n">
        <v>0</v>
      </c>
      <c r="L233" t="n">
        <v>0</v>
      </c>
      <c r="M233" t="n">
        <v>0</v>
      </c>
      <c r="N233" t="n">
        <v>0</v>
      </c>
      <c r="O233" t="n">
        <v>0</v>
      </c>
      <c r="P233" t="n">
        <v>0</v>
      </c>
      <c r="Q233" t="n">
        <v>0</v>
      </c>
      <c r="R233" s="2" t="inlineStr"/>
    </row>
    <row r="234" ht="15" customHeight="1">
      <c r="A234" t="inlineStr">
        <is>
          <t>A 37005-2019</t>
        </is>
      </c>
      <c r="B234" s="1" t="n">
        <v>43676</v>
      </c>
      <c r="C234" s="1" t="n">
        <v>45640</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37719-2019</t>
        </is>
      </c>
      <c r="B235" s="1" t="n">
        <v>43682</v>
      </c>
      <c r="C235" s="1" t="n">
        <v>45640</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38068-2019</t>
        </is>
      </c>
      <c r="B236" s="1" t="n">
        <v>43683</v>
      </c>
      <c r="C236" s="1" t="n">
        <v>45640</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38265-2019</t>
        </is>
      </c>
      <c r="B237" s="1" t="n">
        <v>43684</v>
      </c>
      <c r="C237" s="1" t="n">
        <v>45640</v>
      </c>
      <c r="D237" t="inlineStr">
        <is>
          <t>VÄRMLANDS LÄN</t>
        </is>
      </c>
      <c r="E237" t="inlineStr">
        <is>
          <t>TORSBY</t>
        </is>
      </c>
      <c r="G237" t="n">
        <v>0.9</v>
      </c>
      <c r="H237" t="n">
        <v>0</v>
      </c>
      <c r="I237" t="n">
        <v>0</v>
      </c>
      <c r="J237" t="n">
        <v>0</v>
      </c>
      <c r="K237" t="n">
        <v>0</v>
      </c>
      <c r="L237" t="n">
        <v>0</v>
      </c>
      <c r="M237" t="n">
        <v>0</v>
      </c>
      <c r="N237" t="n">
        <v>0</v>
      </c>
      <c r="O237" t="n">
        <v>0</v>
      </c>
      <c r="P237" t="n">
        <v>0</v>
      </c>
      <c r="Q237" t="n">
        <v>0</v>
      </c>
      <c r="R237" s="2" t="inlineStr"/>
    </row>
    <row r="238" ht="15" customHeight="1">
      <c r="A238" t="inlineStr">
        <is>
          <t>A 39213-2019</t>
        </is>
      </c>
      <c r="B238" s="1" t="n">
        <v>43690</v>
      </c>
      <c r="C238" s="1" t="n">
        <v>45640</v>
      </c>
      <c r="D238" t="inlineStr">
        <is>
          <t>VÄRMLANDS LÄN</t>
        </is>
      </c>
      <c r="E238" t="inlineStr">
        <is>
          <t>TORSBY</t>
        </is>
      </c>
      <c r="G238" t="n">
        <v>1.8</v>
      </c>
      <c r="H238" t="n">
        <v>0</v>
      </c>
      <c r="I238" t="n">
        <v>0</v>
      </c>
      <c r="J238" t="n">
        <v>0</v>
      </c>
      <c r="K238" t="n">
        <v>0</v>
      </c>
      <c r="L238" t="n">
        <v>0</v>
      </c>
      <c r="M238" t="n">
        <v>0</v>
      </c>
      <c r="N238" t="n">
        <v>0</v>
      </c>
      <c r="O238" t="n">
        <v>0</v>
      </c>
      <c r="P238" t="n">
        <v>0</v>
      </c>
      <c r="Q238" t="n">
        <v>0</v>
      </c>
      <c r="R238" s="2" t="inlineStr"/>
    </row>
    <row r="239" ht="15" customHeight="1">
      <c r="A239" t="inlineStr">
        <is>
          <t>A 40632-2019</t>
        </is>
      </c>
      <c r="B239" s="1" t="n">
        <v>43696</v>
      </c>
      <c r="C239" s="1" t="n">
        <v>45640</v>
      </c>
      <c r="D239" t="inlineStr">
        <is>
          <t>VÄRMLANDS LÄN</t>
        </is>
      </c>
      <c r="E239" t="inlineStr">
        <is>
          <t>TORSBY</t>
        </is>
      </c>
      <c r="G239" t="n">
        <v>4.2</v>
      </c>
      <c r="H239" t="n">
        <v>0</v>
      </c>
      <c r="I239" t="n">
        <v>0</v>
      </c>
      <c r="J239" t="n">
        <v>0</v>
      </c>
      <c r="K239" t="n">
        <v>0</v>
      </c>
      <c r="L239" t="n">
        <v>0</v>
      </c>
      <c r="M239" t="n">
        <v>0</v>
      </c>
      <c r="N239" t="n">
        <v>0</v>
      </c>
      <c r="O239" t="n">
        <v>0</v>
      </c>
      <c r="P239" t="n">
        <v>0</v>
      </c>
      <c r="Q239" t="n">
        <v>0</v>
      </c>
      <c r="R239" s="2" t="inlineStr"/>
    </row>
    <row r="240" ht="15" customHeight="1">
      <c r="A240" t="inlineStr">
        <is>
          <t>A 40589-2019</t>
        </is>
      </c>
      <c r="B240" s="1" t="n">
        <v>43696</v>
      </c>
      <c r="C240" s="1" t="n">
        <v>45640</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40810-2019</t>
        </is>
      </c>
      <c r="B241" s="1" t="n">
        <v>43697</v>
      </c>
      <c r="C241" s="1" t="n">
        <v>45640</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41698-2019</t>
        </is>
      </c>
      <c r="B242" s="1" t="n">
        <v>43697</v>
      </c>
      <c r="C242" s="1" t="n">
        <v>45640</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42441-2019</t>
        </is>
      </c>
      <c r="B243" s="1" t="n">
        <v>43697</v>
      </c>
      <c r="C243" s="1" t="n">
        <v>45640</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41436-2019</t>
        </is>
      </c>
      <c r="B244" s="1" t="n">
        <v>43698</v>
      </c>
      <c r="C244" s="1" t="n">
        <v>45640</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41435-2019</t>
        </is>
      </c>
      <c r="B245" s="1" t="n">
        <v>43698</v>
      </c>
      <c r="C245" s="1" t="n">
        <v>45640</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41438-2019</t>
        </is>
      </c>
      <c r="B246" s="1" t="n">
        <v>43698</v>
      </c>
      <c r="C246" s="1" t="n">
        <v>45640</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41621-2019</t>
        </is>
      </c>
      <c r="B247" s="1" t="n">
        <v>43699</v>
      </c>
      <c r="C247" s="1" t="n">
        <v>45640</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42230-2019</t>
        </is>
      </c>
      <c r="B248" s="1" t="n">
        <v>43703</v>
      </c>
      <c r="C248" s="1" t="n">
        <v>45640</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43273-2019</t>
        </is>
      </c>
      <c r="B249" s="1" t="n">
        <v>43704</v>
      </c>
      <c r="C249" s="1" t="n">
        <v>45640</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43897-2019</t>
        </is>
      </c>
      <c r="B250" s="1" t="n">
        <v>43707</v>
      </c>
      <c r="C250" s="1" t="n">
        <v>45640</v>
      </c>
      <c r="D250" t="inlineStr">
        <is>
          <t>VÄRMLANDS LÄN</t>
        </is>
      </c>
      <c r="E250" t="inlineStr">
        <is>
          <t>TORSBY</t>
        </is>
      </c>
      <c r="G250" t="n">
        <v>3.2</v>
      </c>
      <c r="H250" t="n">
        <v>0</v>
      </c>
      <c r="I250" t="n">
        <v>0</v>
      </c>
      <c r="J250" t="n">
        <v>0</v>
      </c>
      <c r="K250" t="n">
        <v>0</v>
      </c>
      <c r="L250" t="n">
        <v>0</v>
      </c>
      <c r="M250" t="n">
        <v>0</v>
      </c>
      <c r="N250" t="n">
        <v>0</v>
      </c>
      <c r="O250" t="n">
        <v>0</v>
      </c>
      <c r="P250" t="n">
        <v>0</v>
      </c>
      <c r="Q250" t="n">
        <v>0</v>
      </c>
      <c r="R250" s="2" t="inlineStr"/>
    </row>
    <row r="251" ht="15" customHeight="1">
      <c r="A251" t="inlineStr">
        <is>
          <t>A 44832-2019</t>
        </is>
      </c>
      <c r="B251" s="1" t="n">
        <v>43707</v>
      </c>
      <c r="C251" s="1" t="n">
        <v>45640</v>
      </c>
      <c r="D251" t="inlineStr">
        <is>
          <t>VÄRMLANDS LÄN</t>
        </is>
      </c>
      <c r="E251" t="inlineStr">
        <is>
          <t>TORSBY</t>
        </is>
      </c>
      <c r="G251" t="n">
        <v>27.1</v>
      </c>
      <c r="H251" t="n">
        <v>0</v>
      </c>
      <c r="I251" t="n">
        <v>0</v>
      </c>
      <c r="J251" t="n">
        <v>0</v>
      </c>
      <c r="K251" t="n">
        <v>0</v>
      </c>
      <c r="L251" t="n">
        <v>0</v>
      </c>
      <c r="M251" t="n">
        <v>0</v>
      </c>
      <c r="N251" t="n">
        <v>0</v>
      </c>
      <c r="O251" t="n">
        <v>0</v>
      </c>
      <c r="P251" t="n">
        <v>0</v>
      </c>
      <c r="Q251" t="n">
        <v>0</v>
      </c>
      <c r="R251" s="2" t="inlineStr"/>
    </row>
    <row r="252" ht="15" customHeight="1">
      <c r="A252" t="inlineStr">
        <is>
          <t>A 44708-2019</t>
        </is>
      </c>
      <c r="B252" s="1" t="n">
        <v>43712</v>
      </c>
      <c r="C252" s="1" t="n">
        <v>45640</v>
      </c>
      <c r="D252" t="inlineStr">
        <is>
          <t>VÄRMLANDS LÄN</t>
        </is>
      </c>
      <c r="E252" t="inlineStr">
        <is>
          <t>TORSBY</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44706-2019</t>
        </is>
      </c>
      <c r="B253" s="1" t="n">
        <v>43712</v>
      </c>
      <c r="C253" s="1" t="n">
        <v>45640</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45053-2019</t>
        </is>
      </c>
      <c r="B254" s="1" t="n">
        <v>43713</v>
      </c>
      <c r="C254" s="1" t="n">
        <v>45640</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45083-2019</t>
        </is>
      </c>
      <c r="B255" s="1" t="n">
        <v>43713</v>
      </c>
      <c r="C255" s="1" t="n">
        <v>45640</v>
      </c>
      <c r="D255" t="inlineStr">
        <is>
          <t>VÄRMLANDS LÄN</t>
        </is>
      </c>
      <c r="E255" t="inlineStr">
        <is>
          <t>TORSBY</t>
        </is>
      </c>
      <c r="F255" t="inlineStr">
        <is>
          <t>Bergvik skog väst AB</t>
        </is>
      </c>
      <c r="G255" t="n">
        <v>37.8</v>
      </c>
      <c r="H255" t="n">
        <v>0</v>
      </c>
      <c r="I255" t="n">
        <v>0</v>
      </c>
      <c r="J255" t="n">
        <v>0</v>
      </c>
      <c r="K255" t="n">
        <v>0</v>
      </c>
      <c r="L255" t="n">
        <v>0</v>
      </c>
      <c r="M255" t="n">
        <v>0</v>
      </c>
      <c r="N255" t="n">
        <v>0</v>
      </c>
      <c r="O255" t="n">
        <v>0</v>
      </c>
      <c r="P255" t="n">
        <v>0</v>
      </c>
      <c r="Q255" t="n">
        <v>0</v>
      </c>
      <c r="R255" s="2" t="inlineStr"/>
    </row>
    <row r="256" ht="15" customHeight="1">
      <c r="A256" t="inlineStr">
        <is>
          <t>A 45189-2019</t>
        </is>
      </c>
      <c r="B256" s="1" t="n">
        <v>43713</v>
      </c>
      <c r="C256" s="1" t="n">
        <v>45640</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45068-2019</t>
        </is>
      </c>
      <c r="B257" s="1" t="n">
        <v>43713</v>
      </c>
      <c r="C257" s="1" t="n">
        <v>45640</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45891-2019</t>
        </is>
      </c>
      <c r="B258" s="1" t="n">
        <v>43717</v>
      </c>
      <c r="C258" s="1" t="n">
        <v>45640</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46738-2019</t>
        </is>
      </c>
      <c r="B259" s="1" t="n">
        <v>43719</v>
      </c>
      <c r="C259" s="1" t="n">
        <v>45640</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46743-2019</t>
        </is>
      </c>
      <c r="B260" s="1" t="n">
        <v>43719</v>
      </c>
      <c r="C260" s="1" t="n">
        <v>45640</v>
      </c>
      <c r="D260" t="inlineStr">
        <is>
          <t>VÄRMLANDS LÄN</t>
        </is>
      </c>
      <c r="E260" t="inlineStr">
        <is>
          <t>TORSBY</t>
        </is>
      </c>
      <c r="G260" t="n">
        <v>7</v>
      </c>
      <c r="H260" t="n">
        <v>0</v>
      </c>
      <c r="I260" t="n">
        <v>0</v>
      </c>
      <c r="J260" t="n">
        <v>0</v>
      </c>
      <c r="K260" t="n">
        <v>0</v>
      </c>
      <c r="L260" t="n">
        <v>0</v>
      </c>
      <c r="M260" t="n">
        <v>0</v>
      </c>
      <c r="N260" t="n">
        <v>0</v>
      </c>
      <c r="O260" t="n">
        <v>0</v>
      </c>
      <c r="P260" t="n">
        <v>0</v>
      </c>
      <c r="Q260" t="n">
        <v>0</v>
      </c>
      <c r="R260" s="2" t="inlineStr"/>
    </row>
    <row r="261" ht="15" customHeight="1">
      <c r="A261" t="inlineStr">
        <is>
          <t>A 47114-2019</t>
        </is>
      </c>
      <c r="B261" s="1" t="n">
        <v>43720</v>
      </c>
      <c r="C261" s="1" t="n">
        <v>45640</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47214-2019</t>
        </is>
      </c>
      <c r="B262" s="1" t="n">
        <v>43721</v>
      </c>
      <c r="C262" s="1" t="n">
        <v>45640</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47137-2019</t>
        </is>
      </c>
      <c r="B263" s="1" t="n">
        <v>43721</v>
      </c>
      <c r="C263" s="1" t="n">
        <v>45640</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47316-2019</t>
        </is>
      </c>
      <c r="B264" s="1" t="n">
        <v>43721</v>
      </c>
      <c r="C264" s="1" t="n">
        <v>45640</v>
      </c>
      <c r="D264" t="inlineStr">
        <is>
          <t>VÄRMLANDS LÄN</t>
        </is>
      </c>
      <c r="E264" t="inlineStr">
        <is>
          <t>TORSBY</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47608-2019</t>
        </is>
      </c>
      <c r="B265" s="1" t="n">
        <v>43724</v>
      </c>
      <c r="C265" s="1" t="n">
        <v>45640</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47772-2019</t>
        </is>
      </c>
      <c r="B266" s="1" t="n">
        <v>43724</v>
      </c>
      <c r="C266" s="1" t="n">
        <v>45640</v>
      </c>
      <c r="D266" t="inlineStr">
        <is>
          <t>VÄRMLANDS LÄN</t>
        </is>
      </c>
      <c r="E266" t="inlineStr">
        <is>
          <t>TORSBY</t>
        </is>
      </c>
      <c r="G266" t="n">
        <v>3.9</v>
      </c>
      <c r="H266" t="n">
        <v>0</v>
      </c>
      <c r="I266" t="n">
        <v>0</v>
      </c>
      <c r="J266" t="n">
        <v>0</v>
      </c>
      <c r="K266" t="n">
        <v>0</v>
      </c>
      <c r="L266" t="n">
        <v>0</v>
      </c>
      <c r="M266" t="n">
        <v>0</v>
      </c>
      <c r="N266" t="n">
        <v>0</v>
      </c>
      <c r="O266" t="n">
        <v>0</v>
      </c>
      <c r="P266" t="n">
        <v>0</v>
      </c>
      <c r="Q266" t="n">
        <v>0</v>
      </c>
      <c r="R266" s="2" t="inlineStr"/>
    </row>
    <row r="267" ht="15" customHeight="1">
      <c r="A267" t="inlineStr">
        <is>
          <t>A 47648-2019</t>
        </is>
      </c>
      <c r="B267" s="1" t="n">
        <v>43724</v>
      </c>
      <c r="C267" s="1" t="n">
        <v>45640</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47502-2019</t>
        </is>
      </c>
      <c r="B268" s="1" t="n">
        <v>43724</v>
      </c>
      <c r="C268" s="1" t="n">
        <v>45640</v>
      </c>
      <c r="D268" t="inlineStr">
        <is>
          <t>VÄRMLANDS LÄN</t>
        </is>
      </c>
      <c r="E268" t="inlineStr">
        <is>
          <t>TORSBY</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47869-2019</t>
        </is>
      </c>
      <c r="B269" s="1" t="n">
        <v>43725</v>
      </c>
      <c r="C269" s="1" t="n">
        <v>45640</v>
      </c>
      <c r="D269" t="inlineStr">
        <is>
          <t>VÄRMLANDS LÄN</t>
        </is>
      </c>
      <c r="E269" t="inlineStr">
        <is>
          <t>TORSBY</t>
        </is>
      </c>
      <c r="G269" t="n">
        <v>4.7</v>
      </c>
      <c r="H269" t="n">
        <v>0</v>
      </c>
      <c r="I269" t="n">
        <v>0</v>
      </c>
      <c r="J269" t="n">
        <v>0</v>
      </c>
      <c r="K269" t="n">
        <v>0</v>
      </c>
      <c r="L269" t="n">
        <v>0</v>
      </c>
      <c r="M269" t="n">
        <v>0</v>
      </c>
      <c r="N269" t="n">
        <v>0</v>
      </c>
      <c r="O269" t="n">
        <v>0</v>
      </c>
      <c r="P269" t="n">
        <v>0</v>
      </c>
      <c r="Q269" t="n">
        <v>0</v>
      </c>
      <c r="R269" s="2" t="inlineStr"/>
    </row>
    <row r="270" ht="15" customHeight="1">
      <c r="A270" t="inlineStr">
        <is>
          <t>A 47979-2019</t>
        </is>
      </c>
      <c r="B270" s="1" t="n">
        <v>43725</v>
      </c>
      <c r="C270" s="1" t="n">
        <v>45640</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48040-2019</t>
        </is>
      </c>
      <c r="B271" s="1" t="n">
        <v>43725</v>
      </c>
      <c r="C271" s="1" t="n">
        <v>45640</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48346-2019</t>
        </is>
      </c>
      <c r="B272" s="1" t="n">
        <v>43726</v>
      </c>
      <c r="C272" s="1" t="n">
        <v>45640</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48366-2019</t>
        </is>
      </c>
      <c r="B273" s="1" t="n">
        <v>43726</v>
      </c>
      <c r="C273" s="1" t="n">
        <v>45640</v>
      </c>
      <c r="D273" t="inlineStr">
        <is>
          <t>VÄRMLANDS LÄN</t>
        </is>
      </c>
      <c r="E273" t="inlineStr">
        <is>
          <t>TORSBY</t>
        </is>
      </c>
      <c r="G273" t="n">
        <v>2.3</v>
      </c>
      <c r="H273" t="n">
        <v>0</v>
      </c>
      <c r="I273" t="n">
        <v>0</v>
      </c>
      <c r="J273" t="n">
        <v>0</v>
      </c>
      <c r="K273" t="n">
        <v>0</v>
      </c>
      <c r="L273" t="n">
        <v>0</v>
      </c>
      <c r="M273" t="n">
        <v>0</v>
      </c>
      <c r="N273" t="n">
        <v>0</v>
      </c>
      <c r="O273" t="n">
        <v>0</v>
      </c>
      <c r="P273" t="n">
        <v>0</v>
      </c>
      <c r="Q273" t="n">
        <v>0</v>
      </c>
      <c r="R273" s="2" t="inlineStr"/>
    </row>
    <row r="274" ht="15" customHeight="1">
      <c r="A274" t="inlineStr">
        <is>
          <t>A 49550-2019</t>
        </is>
      </c>
      <c r="B274" s="1" t="n">
        <v>43727</v>
      </c>
      <c r="C274" s="1" t="n">
        <v>45640</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51497-2019</t>
        </is>
      </c>
      <c r="B275" s="1" t="n">
        <v>43734</v>
      </c>
      <c r="C275" s="1" t="n">
        <v>45640</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50428-2019</t>
        </is>
      </c>
      <c r="B276" s="1" t="n">
        <v>43735</v>
      </c>
      <c r="C276" s="1" t="n">
        <v>45640</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52319-2019</t>
        </is>
      </c>
      <c r="B277" s="1" t="n">
        <v>43735</v>
      </c>
      <c r="C277" s="1" t="n">
        <v>45640</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52326-2019</t>
        </is>
      </c>
      <c r="B278" s="1" t="n">
        <v>43735</v>
      </c>
      <c r="C278" s="1" t="n">
        <v>45640</v>
      </c>
      <c r="D278" t="inlineStr">
        <is>
          <t>VÄRMLANDS LÄN</t>
        </is>
      </c>
      <c r="E278" t="inlineStr">
        <is>
          <t>TORSBY</t>
        </is>
      </c>
      <c r="G278" t="n">
        <v>6.2</v>
      </c>
      <c r="H278" t="n">
        <v>0</v>
      </c>
      <c r="I278" t="n">
        <v>0</v>
      </c>
      <c r="J278" t="n">
        <v>0</v>
      </c>
      <c r="K278" t="n">
        <v>0</v>
      </c>
      <c r="L278" t="n">
        <v>0</v>
      </c>
      <c r="M278" t="n">
        <v>0</v>
      </c>
      <c r="N278" t="n">
        <v>0</v>
      </c>
      <c r="O278" t="n">
        <v>0</v>
      </c>
      <c r="P278" t="n">
        <v>0</v>
      </c>
      <c r="Q278" t="n">
        <v>0</v>
      </c>
      <c r="R278" s="2" t="inlineStr"/>
    </row>
    <row r="279" ht="15" customHeight="1">
      <c r="A279" t="inlineStr">
        <is>
          <t>A 52317-2019</t>
        </is>
      </c>
      <c r="B279" s="1" t="n">
        <v>43735</v>
      </c>
      <c r="C279" s="1" t="n">
        <v>45640</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51254-2019</t>
        </is>
      </c>
      <c r="B280" s="1" t="n">
        <v>43739</v>
      </c>
      <c r="C280" s="1" t="n">
        <v>45640</v>
      </c>
      <c r="D280" t="inlineStr">
        <is>
          <t>VÄRMLANDS LÄN</t>
        </is>
      </c>
      <c r="E280" t="inlineStr">
        <is>
          <t>TORSBY</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52186-2019</t>
        </is>
      </c>
      <c r="B281" s="1" t="n">
        <v>43742</v>
      </c>
      <c r="C281" s="1" t="n">
        <v>45640</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52311-2019</t>
        </is>
      </c>
      <c r="B282" s="1" t="n">
        <v>43745</v>
      </c>
      <c r="C282" s="1" t="n">
        <v>45640</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52674-2019</t>
        </is>
      </c>
      <c r="B283" s="1" t="n">
        <v>43746</v>
      </c>
      <c r="C283" s="1" t="n">
        <v>45640</v>
      </c>
      <c r="D283" t="inlineStr">
        <is>
          <t>VÄRMLANDS LÄN</t>
        </is>
      </c>
      <c r="E283" t="inlineStr">
        <is>
          <t>TORSBY</t>
        </is>
      </c>
      <c r="F283" t="inlineStr">
        <is>
          <t>Bergvik skog väst AB</t>
        </is>
      </c>
      <c r="G283" t="n">
        <v>26.4</v>
      </c>
      <c r="H283" t="n">
        <v>0</v>
      </c>
      <c r="I283" t="n">
        <v>0</v>
      </c>
      <c r="J283" t="n">
        <v>0</v>
      </c>
      <c r="K283" t="n">
        <v>0</v>
      </c>
      <c r="L283" t="n">
        <v>0</v>
      </c>
      <c r="M283" t="n">
        <v>0</v>
      </c>
      <c r="N283" t="n">
        <v>0</v>
      </c>
      <c r="O283" t="n">
        <v>0</v>
      </c>
      <c r="P283" t="n">
        <v>0</v>
      </c>
      <c r="Q283" t="n">
        <v>0</v>
      </c>
      <c r="R283" s="2" t="inlineStr"/>
    </row>
    <row r="284" ht="15" customHeight="1">
      <c r="A284" t="inlineStr">
        <is>
          <t>A 52885-2019</t>
        </is>
      </c>
      <c r="B284" s="1" t="n">
        <v>43746</v>
      </c>
      <c r="C284" s="1" t="n">
        <v>45640</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53271-2019</t>
        </is>
      </c>
      <c r="B285" s="1" t="n">
        <v>43748</v>
      </c>
      <c r="C285" s="1" t="n">
        <v>45640</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54764-2019</t>
        </is>
      </c>
      <c r="B286" s="1" t="n">
        <v>43748</v>
      </c>
      <c r="C286" s="1" t="n">
        <v>45640</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53635-2019</t>
        </is>
      </c>
      <c r="B287" s="1" t="n">
        <v>43749</v>
      </c>
      <c r="C287" s="1" t="n">
        <v>45640</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53746-2019</t>
        </is>
      </c>
      <c r="B288" s="1" t="n">
        <v>43749</v>
      </c>
      <c r="C288" s="1" t="n">
        <v>45640</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53744-2019</t>
        </is>
      </c>
      <c r="B289" s="1" t="n">
        <v>43749</v>
      </c>
      <c r="C289" s="1" t="n">
        <v>45640</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54437-2019</t>
        </is>
      </c>
      <c r="B290" s="1" t="n">
        <v>43754</v>
      </c>
      <c r="C290" s="1" t="n">
        <v>45640</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56256-2019</t>
        </is>
      </c>
      <c r="B291" s="1" t="n">
        <v>43756</v>
      </c>
      <c r="C291" s="1" t="n">
        <v>45640</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55988-2019</t>
        </is>
      </c>
      <c r="B292" s="1" t="n">
        <v>43759</v>
      </c>
      <c r="C292" s="1" t="n">
        <v>45640</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56704-2019</t>
        </is>
      </c>
      <c r="B293" s="1" t="n">
        <v>43759</v>
      </c>
      <c r="C293" s="1" t="n">
        <v>45640</v>
      </c>
      <c r="D293" t="inlineStr">
        <is>
          <t>VÄRMLANDS LÄN</t>
        </is>
      </c>
      <c r="E293" t="inlineStr">
        <is>
          <t>TORSBY</t>
        </is>
      </c>
      <c r="G293" t="n">
        <v>2.6</v>
      </c>
      <c r="H293" t="n">
        <v>0</v>
      </c>
      <c r="I293" t="n">
        <v>0</v>
      </c>
      <c r="J293" t="n">
        <v>0</v>
      </c>
      <c r="K293" t="n">
        <v>0</v>
      </c>
      <c r="L293" t="n">
        <v>0</v>
      </c>
      <c r="M293" t="n">
        <v>0</v>
      </c>
      <c r="N293" t="n">
        <v>0</v>
      </c>
      <c r="O293" t="n">
        <v>0</v>
      </c>
      <c r="P293" t="n">
        <v>0</v>
      </c>
      <c r="Q293" t="n">
        <v>0</v>
      </c>
      <c r="R293" s="2" t="inlineStr"/>
    </row>
    <row r="294" ht="15" customHeight="1">
      <c r="A294" t="inlineStr">
        <is>
          <t>A 55927-2019</t>
        </is>
      </c>
      <c r="B294" s="1" t="n">
        <v>43761</v>
      </c>
      <c r="C294" s="1" t="n">
        <v>45640</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56021-2019</t>
        </is>
      </c>
      <c r="B295" s="1" t="n">
        <v>43761</v>
      </c>
      <c r="C295" s="1" t="n">
        <v>45640</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56305-2019</t>
        </is>
      </c>
      <c r="B296" s="1" t="n">
        <v>43762</v>
      </c>
      <c r="C296" s="1" t="n">
        <v>45640</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56594-2019</t>
        </is>
      </c>
      <c r="B297" s="1" t="n">
        <v>43763</v>
      </c>
      <c r="C297" s="1" t="n">
        <v>45640</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56633-2019</t>
        </is>
      </c>
      <c r="B298" s="1" t="n">
        <v>43763</v>
      </c>
      <c r="C298" s="1" t="n">
        <v>45640</v>
      </c>
      <c r="D298" t="inlineStr">
        <is>
          <t>VÄRMLANDS LÄN</t>
        </is>
      </c>
      <c r="E298" t="inlineStr">
        <is>
          <t>TORSBY</t>
        </is>
      </c>
      <c r="G298" t="n">
        <v>1.6</v>
      </c>
      <c r="H298" t="n">
        <v>0</v>
      </c>
      <c r="I298" t="n">
        <v>0</v>
      </c>
      <c r="J298" t="n">
        <v>0</v>
      </c>
      <c r="K298" t="n">
        <v>0</v>
      </c>
      <c r="L298" t="n">
        <v>0</v>
      </c>
      <c r="M298" t="n">
        <v>0</v>
      </c>
      <c r="N298" t="n">
        <v>0</v>
      </c>
      <c r="O298" t="n">
        <v>0</v>
      </c>
      <c r="P298" t="n">
        <v>0</v>
      </c>
      <c r="Q298" t="n">
        <v>0</v>
      </c>
      <c r="R298" s="2" t="inlineStr"/>
    </row>
    <row r="299" ht="15" customHeight="1">
      <c r="A299" t="inlineStr">
        <is>
          <t>A 56824-2019</t>
        </is>
      </c>
      <c r="B299" s="1" t="n">
        <v>43764</v>
      </c>
      <c r="C299" s="1" t="n">
        <v>45640</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56935-2019</t>
        </is>
      </c>
      <c r="B300" s="1" t="n">
        <v>43766</v>
      </c>
      <c r="C300" s="1" t="n">
        <v>45640</v>
      </c>
      <c r="D300" t="inlineStr">
        <is>
          <t>VÄRMLANDS LÄN</t>
        </is>
      </c>
      <c r="E300" t="inlineStr">
        <is>
          <t>TORSBY</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57399-2019</t>
        </is>
      </c>
      <c r="B301" s="1" t="n">
        <v>43767</v>
      </c>
      <c r="C301" s="1" t="n">
        <v>45640</v>
      </c>
      <c r="D301" t="inlineStr">
        <is>
          <t>VÄRMLANDS LÄN</t>
        </is>
      </c>
      <c r="E301" t="inlineStr">
        <is>
          <t>TORSBY</t>
        </is>
      </c>
      <c r="F301" t="inlineStr">
        <is>
          <t>Bergvik skog väst AB</t>
        </is>
      </c>
      <c r="G301" t="n">
        <v>18.9</v>
      </c>
      <c r="H301" t="n">
        <v>0</v>
      </c>
      <c r="I301" t="n">
        <v>0</v>
      </c>
      <c r="J301" t="n">
        <v>0</v>
      </c>
      <c r="K301" t="n">
        <v>0</v>
      </c>
      <c r="L301" t="n">
        <v>0</v>
      </c>
      <c r="M301" t="n">
        <v>0</v>
      </c>
      <c r="N301" t="n">
        <v>0</v>
      </c>
      <c r="O301" t="n">
        <v>0</v>
      </c>
      <c r="P301" t="n">
        <v>0</v>
      </c>
      <c r="Q301" t="n">
        <v>0</v>
      </c>
      <c r="R301" s="2" t="inlineStr"/>
    </row>
    <row r="302" ht="15" customHeight="1">
      <c r="A302" t="inlineStr">
        <is>
          <t>A 57251-2019</t>
        </is>
      </c>
      <c r="B302" s="1" t="n">
        <v>43767</v>
      </c>
      <c r="C302" s="1" t="n">
        <v>45640</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57301-2019</t>
        </is>
      </c>
      <c r="B303" s="1" t="n">
        <v>43767</v>
      </c>
      <c r="C303" s="1" t="n">
        <v>45640</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57268-2019</t>
        </is>
      </c>
      <c r="B304" s="1" t="n">
        <v>43767</v>
      </c>
      <c r="C304" s="1" t="n">
        <v>45640</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58530-2019</t>
        </is>
      </c>
      <c r="B305" s="1" t="n">
        <v>43767</v>
      </c>
      <c r="C305" s="1" t="n">
        <v>45640</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57223-2019</t>
        </is>
      </c>
      <c r="B306" s="1" t="n">
        <v>43767</v>
      </c>
      <c r="C306" s="1" t="n">
        <v>45640</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57566-2019</t>
        </is>
      </c>
      <c r="B307" s="1" t="n">
        <v>43768</v>
      </c>
      <c r="C307" s="1" t="n">
        <v>45640</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57704-2019</t>
        </is>
      </c>
      <c r="B308" s="1" t="n">
        <v>43768</v>
      </c>
      <c r="C308" s="1" t="n">
        <v>45640</v>
      </c>
      <c r="D308" t="inlineStr">
        <is>
          <t>VÄRMLANDS LÄN</t>
        </is>
      </c>
      <c r="E308" t="inlineStr">
        <is>
          <t>TORSBY</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57565-2019</t>
        </is>
      </c>
      <c r="B309" s="1" t="n">
        <v>43768</v>
      </c>
      <c r="C309" s="1" t="n">
        <v>45640</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58004-2019</t>
        </is>
      </c>
      <c r="B310" s="1" t="n">
        <v>43769</v>
      </c>
      <c r="C310" s="1" t="n">
        <v>45640</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58678-2019</t>
        </is>
      </c>
      <c r="B311" s="1" t="n">
        <v>43773</v>
      </c>
      <c r="C311" s="1" t="n">
        <v>45640</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59127-2019</t>
        </is>
      </c>
      <c r="B312" s="1" t="n">
        <v>43775</v>
      </c>
      <c r="C312" s="1" t="n">
        <v>45640</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59593-2019</t>
        </is>
      </c>
      <c r="B313" s="1" t="n">
        <v>43776</v>
      </c>
      <c r="C313" s="1" t="n">
        <v>45640</v>
      </c>
      <c r="D313" t="inlineStr">
        <is>
          <t>VÄRMLANDS LÄN</t>
        </is>
      </c>
      <c r="E313" t="inlineStr">
        <is>
          <t>TORSBY</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60545-2019</t>
        </is>
      </c>
      <c r="B314" s="1" t="n">
        <v>43781</v>
      </c>
      <c r="C314" s="1" t="n">
        <v>45640</v>
      </c>
      <c r="D314" t="inlineStr">
        <is>
          <t>VÄRMLANDS LÄN</t>
        </is>
      </c>
      <c r="E314" t="inlineStr">
        <is>
          <t>TORSBY</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61074-2019</t>
        </is>
      </c>
      <c r="B315" s="1" t="n">
        <v>43782</v>
      </c>
      <c r="C315" s="1" t="n">
        <v>45640</v>
      </c>
      <c r="D315" t="inlineStr">
        <is>
          <t>VÄRMLANDS LÄN</t>
        </is>
      </c>
      <c r="E315" t="inlineStr">
        <is>
          <t>TORSBY</t>
        </is>
      </c>
      <c r="G315" t="n">
        <v>6.4</v>
      </c>
      <c r="H315" t="n">
        <v>0</v>
      </c>
      <c r="I315" t="n">
        <v>0</v>
      </c>
      <c r="J315" t="n">
        <v>0</v>
      </c>
      <c r="K315" t="n">
        <v>0</v>
      </c>
      <c r="L315" t="n">
        <v>0</v>
      </c>
      <c r="M315" t="n">
        <v>0</v>
      </c>
      <c r="N315" t="n">
        <v>0</v>
      </c>
      <c r="O315" t="n">
        <v>0</v>
      </c>
      <c r="P315" t="n">
        <v>0</v>
      </c>
      <c r="Q315" t="n">
        <v>0</v>
      </c>
      <c r="R315" s="2" t="inlineStr"/>
    </row>
    <row r="316" ht="15" customHeight="1">
      <c r="A316" t="inlineStr">
        <is>
          <t>A 62050-2019</t>
        </is>
      </c>
      <c r="B316" s="1" t="n">
        <v>43787</v>
      </c>
      <c r="C316" s="1" t="n">
        <v>45640</v>
      </c>
      <c r="D316" t="inlineStr">
        <is>
          <t>VÄRMLANDS LÄN</t>
        </is>
      </c>
      <c r="E316" t="inlineStr">
        <is>
          <t>TORSBY</t>
        </is>
      </c>
      <c r="F316" t="inlineStr">
        <is>
          <t>Bergvik skog väst AB</t>
        </is>
      </c>
      <c r="G316" t="n">
        <v>4.3</v>
      </c>
      <c r="H316" t="n">
        <v>0</v>
      </c>
      <c r="I316" t="n">
        <v>0</v>
      </c>
      <c r="J316" t="n">
        <v>0</v>
      </c>
      <c r="K316" t="n">
        <v>0</v>
      </c>
      <c r="L316" t="n">
        <v>0</v>
      </c>
      <c r="M316" t="n">
        <v>0</v>
      </c>
      <c r="N316" t="n">
        <v>0</v>
      </c>
      <c r="O316" t="n">
        <v>0</v>
      </c>
      <c r="P316" t="n">
        <v>0</v>
      </c>
      <c r="Q316" t="n">
        <v>0</v>
      </c>
      <c r="R316" s="2" t="inlineStr"/>
    </row>
    <row r="317" ht="15" customHeight="1">
      <c r="A317" t="inlineStr">
        <is>
          <t>A 61958-2019</t>
        </is>
      </c>
      <c r="B317" s="1" t="n">
        <v>43787</v>
      </c>
      <c r="C317" s="1" t="n">
        <v>45640</v>
      </c>
      <c r="D317" t="inlineStr">
        <is>
          <t>VÄRMLANDS LÄN</t>
        </is>
      </c>
      <c r="E317" t="inlineStr">
        <is>
          <t>TORSBY</t>
        </is>
      </c>
      <c r="G317" t="n">
        <v>2.4</v>
      </c>
      <c r="H317" t="n">
        <v>0</v>
      </c>
      <c r="I317" t="n">
        <v>0</v>
      </c>
      <c r="J317" t="n">
        <v>0</v>
      </c>
      <c r="K317" t="n">
        <v>0</v>
      </c>
      <c r="L317" t="n">
        <v>0</v>
      </c>
      <c r="M317" t="n">
        <v>0</v>
      </c>
      <c r="N317" t="n">
        <v>0</v>
      </c>
      <c r="O317" t="n">
        <v>0</v>
      </c>
      <c r="P317" t="n">
        <v>0</v>
      </c>
      <c r="Q317" t="n">
        <v>0</v>
      </c>
      <c r="R317" s="2" t="inlineStr"/>
    </row>
    <row r="318" ht="15" customHeight="1">
      <c r="A318" t="inlineStr">
        <is>
          <t>A 62255-2019</t>
        </is>
      </c>
      <c r="B318" s="1" t="n">
        <v>43788</v>
      </c>
      <c r="C318" s="1" t="n">
        <v>45640</v>
      </c>
      <c r="D318" t="inlineStr">
        <is>
          <t>VÄRMLANDS LÄN</t>
        </is>
      </c>
      <c r="E318" t="inlineStr">
        <is>
          <t>TORSBY</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62286-2019</t>
        </is>
      </c>
      <c r="B319" s="1" t="n">
        <v>43788</v>
      </c>
      <c r="C319" s="1" t="n">
        <v>45640</v>
      </c>
      <c r="D319" t="inlineStr">
        <is>
          <t>VÄRMLANDS LÄN</t>
        </is>
      </c>
      <c r="E319" t="inlineStr">
        <is>
          <t>TORSBY</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63743-2019</t>
        </is>
      </c>
      <c r="B320" s="1" t="n">
        <v>43795</v>
      </c>
      <c r="C320" s="1" t="n">
        <v>45640</v>
      </c>
      <c r="D320" t="inlineStr">
        <is>
          <t>VÄRMLANDS LÄN</t>
        </is>
      </c>
      <c r="E320" t="inlineStr">
        <is>
          <t>TORSBY</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64114-2019</t>
        </is>
      </c>
      <c r="B321" s="1" t="n">
        <v>43796</v>
      </c>
      <c r="C321" s="1" t="n">
        <v>45640</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64444-2019</t>
        </is>
      </c>
      <c r="B322" s="1" t="n">
        <v>43797</v>
      </c>
      <c r="C322" s="1" t="n">
        <v>45640</v>
      </c>
      <c r="D322" t="inlineStr">
        <is>
          <t>VÄRMLANDS LÄN</t>
        </is>
      </c>
      <c r="E322" t="inlineStr">
        <is>
          <t>TORSBY</t>
        </is>
      </c>
      <c r="G322" t="n">
        <v>3.5</v>
      </c>
      <c r="H322" t="n">
        <v>0</v>
      </c>
      <c r="I322" t="n">
        <v>0</v>
      </c>
      <c r="J322" t="n">
        <v>0</v>
      </c>
      <c r="K322" t="n">
        <v>0</v>
      </c>
      <c r="L322" t="n">
        <v>0</v>
      </c>
      <c r="M322" t="n">
        <v>0</v>
      </c>
      <c r="N322" t="n">
        <v>0</v>
      </c>
      <c r="O322" t="n">
        <v>0</v>
      </c>
      <c r="P322" t="n">
        <v>0</v>
      </c>
      <c r="Q322" t="n">
        <v>0</v>
      </c>
      <c r="R322" s="2" t="inlineStr"/>
    </row>
    <row r="323" ht="15" customHeight="1">
      <c r="A323" t="inlineStr">
        <is>
          <t>A 65187-2019</t>
        </is>
      </c>
      <c r="B323" s="1" t="n">
        <v>43797</v>
      </c>
      <c r="C323" s="1" t="n">
        <v>45640</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65243-2019</t>
        </is>
      </c>
      <c r="B324" s="1" t="n">
        <v>43797</v>
      </c>
      <c r="C324" s="1" t="n">
        <v>45640</v>
      </c>
      <c r="D324" t="inlineStr">
        <is>
          <t>VÄRMLANDS LÄN</t>
        </is>
      </c>
      <c r="E324" t="inlineStr">
        <is>
          <t>TORSBY</t>
        </is>
      </c>
      <c r="F324" t="inlineStr">
        <is>
          <t>Övriga statliga verk och myndigheter</t>
        </is>
      </c>
      <c r="G324" t="n">
        <v>20.3</v>
      </c>
      <c r="H324" t="n">
        <v>0</v>
      </c>
      <c r="I324" t="n">
        <v>0</v>
      </c>
      <c r="J324" t="n">
        <v>0</v>
      </c>
      <c r="K324" t="n">
        <v>0</v>
      </c>
      <c r="L324" t="n">
        <v>0</v>
      </c>
      <c r="M324" t="n">
        <v>0</v>
      </c>
      <c r="N324" t="n">
        <v>0</v>
      </c>
      <c r="O324" t="n">
        <v>0</v>
      </c>
      <c r="P324" t="n">
        <v>0</v>
      </c>
      <c r="Q324" t="n">
        <v>0</v>
      </c>
      <c r="R324" s="2" t="inlineStr"/>
    </row>
    <row r="325" ht="15" customHeight="1">
      <c r="A325" t="inlineStr">
        <is>
          <t>A 64803-2019</t>
        </is>
      </c>
      <c r="B325" s="1" t="n">
        <v>43801</v>
      </c>
      <c r="C325" s="1" t="n">
        <v>45640</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65132-2019</t>
        </is>
      </c>
      <c r="B326" s="1" t="n">
        <v>43802</v>
      </c>
      <c r="C326" s="1" t="n">
        <v>45640</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65076-2019</t>
        </is>
      </c>
      <c r="B327" s="1" t="n">
        <v>43802</v>
      </c>
      <c r="C327" s="1" t="n">
        <v>45640</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65465-2019</t>
        </is>
      </c>
      <c r="B328" s="1" t="n">
        <v>43803</v>
      </c>
      <c r="C328" s="1" t="n">
        <v>45640</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65914-2019</t>
        </is>
      </c>
      <c r="B329" s="1" t="n">
        <v>43805</v>
      </c>
      <c r="C329" s="1" t="n">
        <v>45640</v>
      </c>
      <c r="D329" t="inlineStr">
        <is>
          <t>VÄRMLANDS LÄN</t>
        </is>
      </c>
      <c r="E329" t="inlineStr">
        <is>
          <t>TORSBY</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67527-2019</t>
        </is>
      </c>
      <c r="B330" s="1" t="n">
        <v>43808</v>
      </c>
      <c r="C330" s="1" t="n">
        <v>45640</v>
      </c>
      <c r="D330" t="inlineStr">
        <is>
          <t>VÄRMLANDS LÄN</t>
        </is>
      </c>
      <c r="E330" t="inlineStr">
        <is>
          <t>TORSBY</t>
        </is>
      </c>
      <c r="G330" t="n">
        <v>1.2</v>
      </c>
      <c r="H330" t="n">
        <v>0</v>
      </c>
      <c r="I330" t="n">
        <v>0</v>
      </c>
      <c r="J330" t="n">
        <v>0</v>
      </c>
      <c r="K330" t="n">
        <v>0</v>
      </c>
      <c r="L330" t="n">
        <v>0</v>
      </c>
      <c r="M330" t="n">
        <v>0</v>
      </c>
      <c r="N330" t="n">
        <v>0</v>
      </c>
      <c r="O330" t="n">
        <v>0</v>
      </c>
      <c r="P330" t="n">
        <v>0</v>
      </c>
      <c r="Q330" t="n">
        <v>0</v>
      </c>
      <c r="R330" s="2" t="inlineStr"/>
    </row>
    <row r="331" ht="15" customHeight="1">
      <c r="A331" t="inlineStr">
        <is>
          <t>A 66690-2019</t>
        </is>
      </c>
      <c r="B331" s="1" t="n">
        <v>43809</v>
      </c>
      <c r="C331" s="1" t="n">
        <v>45640</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66689-2019</t>
        </is>
      </c>
      <c r="B332" s="1" t="n">
        <v>43809</v>
      </c>
      <c r="C332" s="1" t="n">
        <v>45640</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67686-2019</t>
        </is>
      </c>
      <c r="B333" s="1" t="n">
        <v>43809</v>
      </c>
      <c r="C333" s="1" t="n">
        <v>45640</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66688-2019</t>
        </is>
      </c>
      <c r="B334" s="1" t="n">
        <v>43809</v>
      </c>
      <c r="C334" s="1" t="n">
        <v>45640</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67690-2019</t>
        </is>
      </c>
      <c r="B335" s="1" t="n">
        <v>43809</v>
      </c>
      <c r="C335" s="1" t="n">
        <v>45640</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67671-2019</t>
        </is>
      </c>
      <c r="B336" s="1" t="n">
        <v>43810</v>
      </c>
      <c r="C336" s="1" t="n">
        <v>45640</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67728-2019</t>
        </is>
      </c>
      <c r="B337" s="1" t="n">
        <v>43815</v>
      </c>
      <c r="C337" s="1" t="n">
        <v>45640</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68354-2019</t>
        </is>
      </c>
      <c r="B338" s="1" t="n">
        <v>43818</v>
      </c>
      <c r="C338" s="1" t="n">
        <v>45640</v>
      </c>
      <c r="D338" t="inlineStr">
        <is>
          <t>VÄRMLANDS LÄN</t>
        </is>
      </c>
      <c r="E338" t="inlineStr">
        <is>
          <t>TORSBY</t>
        </is>
      </c>
      <c r="G338" t="n">
        <v>61.1</v>
      </c>
      <c r="H338" t="n">
        <v>0</v>
      </c>
      <c r="I338" t="n">
        <v>0</v>
      </c>
      <c r="J338" t="n">
        <v>0</v>
      </c>
      <c r="K338" t="n">
        <v>0</v>
      </c>
      <c r="L338" t="n">
        <v>0</v>
      </c>
      <c r="M338" t="n">
        <v>0</v>
      </c>
      <c r="N338" t="n">
        <v>0</v>
      </c>
      <c r="O338" t="n">
        <v>0</v>
      </c>
      <c r="P338" t="n">
        <v>0</v>
      </c>
      <c r="Q338" t="n">
        <v>0</v>
      </c>
      <c r="R338" s="2" t="inlineStr"/>
    </row>
    <row r="339" ht="15" customHeight="1">
      <c r="A339" t="inlineStr">
        <is>
          <t>A 68360-2019</t>
        </is>
      </c>
      <c r="B339" s="1" t="n">
        <v>43818</v>
      </c>
      <c r="C339" s="1" t="n">
        <v>45640</v>
      </c>
      <c r="D339" t="inlineStr">
        <is>
          <t>VÄRMLANDS LÄN</t>
        </is>
      </c>
      <c r="E339" t="inlineStr">
        <is>
          <t>TORSBY</t>
        </is>
      </c>
      <c r="G339" t="n">
        <v>9</v>
      </c>
      <c r="H339" t="n">
        <v>0</v>
      </c>
      <c r="I339" t="n">
        <v>0</v>
      </c>
      <c r="J339" t="n">
        <v>0</v>
      </c>
      <c r="K339" t="n">
        <v>0</v>
      </c>
      <c r="L339" t="n">
        <v>0</v>
      </c>
      <c r="M339" t="n">
        <v>0</v>
      </c>
      <c r="N339" t="n">
        <v>0</v>
      </c>
      <c r="O339" t="n">
        <v>0</v>
      </c>
      <c r="P339" t="n">
        <v>0</v>
      </c>
      <c r="Q339" t="n">
        <v>0</v>
      </c>
      <c r="R339" s="2" t="inlineStr"/>
    </row>
    <row r="340" ht="15" customHeight="1">
      <c r="A340" t="inlineStr">
        <is>
          <t>A 68553-2019</t>
        </is>
      </c>
      <c r="B340" s="1" t="n">
        <v>43818</v>
      </c>
      <c r="C340" s="1" t="n">
        <v>45640</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140-2020</t>
        </is>
      </c>
      <c r="B341" s="1" t="n">
        <v>43833</v>
      </c>
      <c r="C341" s="1" t="n">
        <v>45640</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338-2020</t>
        </is>
      </c>
      <c r="B342" s="1" t="n">
        <v>43837</v>
      </c>
      <c r="C342" s="1" t="n">
        <v>45640</v>
      </c>
      <c r="D342" t="inlineStr">
        <is>
          <t>VÄRMLANDS LÄN</t>
        </is>
      </c>
      <c r="E342" t="inlineStr">
        <is>
          <t>TORSBY</t>
        </is>
      </c>
      <c r="G342" t="n">
        <v>3.2</v>
      </c>
      <c r="H342" t="n">
        <v>0</v>
      </c>
      <c r="I342" t="n">
        <v>0</v>
      </c>
      <c r="J342" t="n">
        <v>0</v>
      </c>
      <c r="K342" t="n">
        <v>0</v>
      </c>
      <c r="L342" t="n">
        <v>0</v>
      </c>
      <c r="M342" t="n">
        <v>0</v>
      </c>
      <c r="N342" t="n">
        <v>0</v>
      </c>
      <c r="O342" t="n">
        <v>0</v>
      </c>
      <c r="P342" t="n">
        <v>0</v>
      </c>
      <c r="Q342" t="n">
        <v>0</v>
      </c>
      <c r="R342" s="2" t="inlineStr"/>
    </row>
    <row r="343" ht="15" customHeight="1">
      <c r="A343" t="inlineStr">
        <is>
          <t>A 388-2020</t>
        </is>
      </c>
      <c r="B343" s="1" t="n">
        <v>43837</v>
      </c>
      <c r="C343" s="1" t="n">
        <v>45640</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3263-2020</t>
        </is>
      </c>
      <c r="B344" s="1" t="n">
        <v>43844</v>
      </c>
      <c r="C344" s="1" t="n">
        <v>45640</v>
      </c>
      <c r="D344" t="inlineStr">
        <is>
          <t>VÄRMLANDS LÄN</t>
        </is>
      </c>
      <c r="E344" t="inlineStr">
        <is>
          <t>TORSBY</t>
        </is>
      </c>
      <c r="G344" t="n">
        <v>14.7</v>
      </c>
      <c r="H344" t="n">
        <v>0</v>
      </c>
      <c r="I344" t="n">
        <v>0</v>
      </c>
      <c r="J344" t="n">
        <v>0</v>
      </c>
      <c r="K344" t="n">
        <v>0</v>
      </c>
      <c r="L344" t="n">
        <v>0</v>
      </c>
      <c r="M344" t="n">
        <v>0</v>
      </c>
      <c r="N344" t="n">
        <v>0</v>
      </c>
      <c r="O344" t="n">
        <v>0</v>
      </c>
      <c r="P344" t="n">
        <v>0</v>
      </c>
      <c r="Q344" t="n">
        <v>0</v>
      </c>
      <c r="R344" s="2" t="inlineStr"/>
    </row>
    <row r="345" ht="15" customHeight="1">
      <c r="A345" t="inlineStr">
        <is>
          <t>A 3172-2020</t>
        </is>
      </c>
      <c r="B345" s="1" t="n">
        <v>43844</v>
      </c>
      <c r="C345" s="1" t="n">
        <v>45640</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2082-2020</t>
        </is>
      </c>
      <c r="B346" s="1" t="n">
        <v>43845</v>
      </c>
      <c r="C346" s="1" t="n">
        <v>45640</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1875-2020</t>
        </is>
      </c>
      <c r="B347" s="1" t="n">
        <v>43845</v>
      </c>
      <c r="C347" s="1" t="n">
        <v>45640</v>
      </c>
      <c r="D347" t="inlineStr">
        <is>
          <t>VÄRMLANDS LÄN</t>
        </is>
      </c>
      <c r="E347" t="inlineStr">
        <is>
          <t>TORSBY</t>
        </is>
      </c>
      <c r="G347" t="n">
        <v>3</v>
      </c>
      <c r="H347" t="n">
        <v>0</v>
      </c>
      <c r="I347" t="n">
        <v>0</v>
      </c>
      <c r="J347" t="n">
        <v>0</v>
      </c>
      <c r="K347" t="n">
        <v>0</v>
      </c>
      <c r="L347" t="n">
        <v>0</v>
      </c>
      <c r="M347" t="n">
        <v>0</v>
      </c>
      <c r="N347" t="n">
        <v>0</v>
      </c>
      <c r="O347" t="n">
        <v>0</v>
      </c>
      <c r="P347" t="n">
        <v>0</v>
      </c>
      <c r="Q347" t="n">
        <v>0</v>
      </c>
      <c r="R347" s="2" t="inlineStr"/>
    </row>
    <row r="348" ht="15" customHeight="1">
      <c r="A348" t="inlineStr">
        <is>
          <t>A 2068-2020</t>
        </is>
      </c>
      <c r="B348" s="1" t="n">
        <v>43845</v>
      </c>
      <c r="C348" s="1" t="n">
        <v>45640</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4017-2020</t>
        </is>
      </c>
      <c r="B349" s="1" t="n">
        <v>43846</v>
      </c>
      <c r="C349" s="1" t="n">
        <v>45640</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4753-2020</t>
        </is>
      </c>
      <c r="B350" s="1" t="n">
        <v>43859</v>
      </c>
      <c r="C350" s="1" t="n">
        <v>45640</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5180-2020</t>
        </is>
      </c>
      <c r="B351" s="1" t="n">
        <v>43860</v>
      </c>
      <c r="C351" s="1" t="n">
        <v>45640</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5426-2020</t>
        </is>
      </c>
      <c r="B352" s="1" t="n">
        <v>43861</v>
      </c>
      <c r="C352" s="1" t="n">
        <v>45640</v>
      </c>
      <c r="D352" t="inlineStr">
        <is>
          <t>VÄRMLANDS LÄN</t>
        </is>
      </c>
      <c r="E352" t="inlineStr">
        <is>
          <t>TORSBY</t>
        </is>
      </c>
      <c r="G352" t="n">
        <v>7.2</v>
      </c>
      <c r="H352" t="n">
        <v>0</v>
      </c>
      <c r="I352" t="n">
        <v>0</v>
      </c>
      <c r="J352" t="n">
        <v>0</v>
      </c>
      <c r="K352" t="n">
        <v>0</v>
      </c>
      <c r="L352" t="n">
        <v>0</v>
      </c>
      <c r="M352" t="n">
        <v>0</v>
      </c>
      <c r="N352" t="n">
        <v>0</v>
      </c>
      <c r="O352" t="n">
        <v>0</v>
      </c>
      <c r="P352" t="n">
        <v>0</v>
      </c>
      <c r="Q352" t="n">
        <v>0</v>
      </c>
      <c r="R352" s="2" t="inlineStr"/>
    </row>
    <row r="353" ht="15" customHeight="1">
      <c r="A353" t="inlineStr">
        <is>
          <t>A 5425-2020</t>
        </is>
      </c>
      <c r="B353" s="1" t="n">
        <v>43861</v>
      </c>
      <c r="C353" s="1" t="n">
        <v>45640</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5427-2020</t>
        </is>
      </c>
      <c r="B354" s="1" t="n">
        <v>43861</v>
      </c>
      <c r="C354" s="1" t="n">
        <v>45640</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7000-2020</t>
        </is>
      </c>
      <c r="B355" s="1" t="n">
        <v>43868</v>
      </c>
      <c r="C355" s="1" t="n">
        <v>45640</v>
      </c>
      <c r="D355" t="inlineStr">
        <is>
          <t>VÄRMLANDS LÄN</t>
        </is>
      </c>
      <c r="E355" t="inlineStr">
        <is>
          <t>TORSBY</t>
        </is>
      </c>
      <c r="G355" t="n">
        <v>2.8</v>
      </c>
      <c r="H355" t="n">
        <v>0</v>
      </c>
      <c r="I355" t="n">
        <v>0</v>
      </c>
      <c r="J355" t="n">
        <v>0</v>
      </c>
      <c r="K355" t="n">
        <v>0</v>
      </c>
      <c r="L355" t="n">
        <v>0</v>
      </c>
      <c r="M355" t="n">
        <v>0</v>
      </c>
      <c r="N355" t="n">
        <v>0</v>
      </c>
      <c r="O355" t="n">
        <v>0</v>
      </c>
      <c r="P355" t="n">
        <v>0</v>
      </c>
      <c r="Q355" t="n">
        <v>0</v>
      </c>
      <c r="R355" s="2" t="inlineStr"/>
    </row>
    <row r="356" ht="15" customHeight="1">
      <c r="A356" t="inlineStr">
        <is>
          <t>A 6862-2020</t>
        </is>
      </c>
      <c r="B356" s="1" t="n">
        <v>43868</v>
      </c>
      <c r="C356" s="1" t="n">
        <v>45640</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7153-2020</t>
        </is>
      </c>
      <c r="B357" s="1" t="n">
        <v>43870</v>
      </c>
      <c r="C357" s="1" t="n">
        <v>45640</v>
      </c>
      <c r="D357" t="inlineStr">
        <is>
          <t>VÄRMLANDS LÄN</t>
        </is>
      </c>
      <c r="E357" t="inlineStr">
        <is>
          <t>TORSBY</t>
        </is>
      </c>
      <c r="G357" t="n">
        <v>2.5</v>
      </c>
      <c r="H357" t="n">
        <v>0</v>
      </c>
      <c r="I357" t="n">
        <v>0</v>
      </c>
      <c r="J357" t="n">
        <v>0</v>
      </c>
      <c r="K357" t="n">
        <v>0</v>
      </c>
      <c r="L357" t="n">
        <v>0</v>
      </c>
      <c r="M357" t="n">
        <v>0</v>
      </c>
      <c r="N357" t="n">
        <v>0</v>
      </c>
      <c r="O357" t="n">
        <v>0</v>
      </c>
      <c r="P357" t="n">
        <v>0</v>
      </c>
      <c r="Q357" t="n">
        <v>0</v>
      </c>
      <c r="R357" s="2" t="inlineStr"/>
    </row>
    <row r="358" ht="15" customHeight="1">
      <c r="A358" t="inlineStr">
        <is>
          <t>A 7279-2020</t>
        </is>
      </c>
      <c r="B358" s="1" t="n">
        <v>43871</v>
      </c>
      <c r="C358" s="1" t="n">
        <v>45640</v>
      </c>
      <c r="D358" t="inlineStr">
        <is>
          <t>VÄRMLANDS LÄN</t>
        </is>
      </c>
      <c r="E358" t="inlineStr">
        <is>
          <t>TORSBY</t>
        </is>
      </c>
      <c r="G358" t="n">
        <v>6.7</v>
      </c>
      <c r="H358" t="n">
        <v>0</v>
      </c>
      <c r="I358" t="n">
        <v>0</v>
      </c>
      <c r="J358" t="n">
        <v>0</v>
      </c>
      <c r="K358" t="n">
        <v>0</v>
      </c>
      <c r="L358" t="n">
        <v>0</v>
      </c>
      <c r="M358" t="n">
        <v>0</v>
      </c>
      <c r="N358" t="n">
        <v>0</v>
      </c>
      <c r="O358" t="n">
        <v>0</v>
      </c>
      <c r="P358" t="n">
        <v>0</v>
      </c>
      <c r="Q358" t="n">
        <v>0</v>
      </c>
      <c r="R358" s="2" t="inlineStr"/>
    </row>
    <row r="359" ht="15" customHeight="1">
      <c r="A359" t="inlineStr">
        <is>
          <t>A 7526-2020</t>
        </is>
      </c>
      <c r="B359" s="1" t="n">
        <v>43871</v>
      </c>
      <c r="C359" s="1" t="n">
        <v>45640</v>
      </c>
      <c r="D359" t="inlineStr">
        <is>
          <t>VÄRMLANDS LÄN</t>
        </is>
      </c>
      <c r="E359" t="inlineStr">
        <is>
          <t>TORSBY</t>
        </is>
      </c>
      <c r="G359" t="n">
        <v>11.8</v>
      </c>
      <c r="H359" t="n">
        <v>0</v>
      </c>
      <c r="I359" t="n">
        <v>0</v>
      </c>
      <c r="J359" t="n">
        <v>0</v>
      </c>
      <c r="K359" t="n">
        <v>0</v>
      </c>
      <c r="L359" t="n">
        <v>0</v>
      </c>
      <c r="M359" t="n">
        <v>0</v>
      </c>
      <c r="N359" t="n">
        <v>0</v>
      </c>
      <c r="O359" t="n">
        <v>0</v>
      </c>
      <c r="P359" t="n">
        <v>0</v>
      </c>
      <c r="Q359" t="n">
        <v>0</v>
      </c>
      <c r="R359" s="2" t="inlineStr"/>
    </row>
    <row r="360" ht="15" customHeight="1">
      <c r="A360" t="inlineStr">
        <is>
          <t>A 7582-2020</t>
        </is>
      </c>
      <c r="B360" s="1" t="n">
        <v>43871</v>
      </c>
      <c r="C360" s="1" t="n">
        <v>45640</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7749-2020</t>
        </is>
      </c>
      <c r="B361" s="1" t="n">
        <v>43872</v>
      </c>
      <c r="C361" s="1" t="n">
        <v>45640</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7856-2020</t>
        </is>
      </c>
      <c r="B362" s="1" t="n">
        <v>43873</v>
      </c>
      <c r="C362" s="1" t="n">
        <v>45640</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8631-2020</t>
        </is>
      </c>
      <c r="B363" s="1" t="n">
        <v>43874</v>
      </c>
      <c r="C363" s="1" t="n">
        <v>45640</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8899-2020</t>
        </is>
      </c>
      <c r="B364" s="1" t="n">
        <v>43878</v>
      </c>
      <c r="C364" s="1" t="n">
        <v>45640</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9192-2020</t>
        </is>
      </c>
      <c r="B365" s="1" t="n">
        <v>43879</v>
      </c>
      <c r="C365" s="1" t="n">
        <v>45640</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9766-2020</t>
        </is>
      </c>
      <c r="B366" s="1" t="n">
        <v>43879</v>
      </c>
      <c r="C366" s="1" t="n">
        <v>45640</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9760-2020</t>
        </is>
      </c>
      <c r="B367" s="1" t="n">
        <v>43879</v>
      </c>
      <c r="C367" s="1" t="n">
        <v>45640</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9600-2020</t>
        </is>
      </c>
      <c r="B368" s="1" t="n">
        <v>43881</v>
      </c>
      <c r="C368" s="1" t="n">
        <v>45640</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10899-2020</t>
        </is>
      </c>
      <c r="B369" s="1" t="n">
        <v>43885</v>
      </c>
      <c r="C369" s="1" t="n">
        <v>45640</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10422-2020</t>
        </is>
      </c>
      <c r="B370" s="1" t="n">
        <v>43886</v>
      </c>
      <c r="C370" s="1" t="n">
        <v>45640</v>
      </c>
      <c r="D370" t="inlineStr">
        <is>
          <t>VÄRMLANDS LÄN</t>
        </is>
      </c>
      <c r="E370" t="inlineStr">
        <is>
          <t>TORSBY</t>
        </is>
      </c>
      <c r="G370" t="n">
        <v>3.4</v>
      </c>
      <c r="H370" t="n">
        <v>0</v>
      </c>
      <c r="I370" t="n">
        <v>0</v>
      </c>
      <c r="J370" t="n">
        <v>0</v>
      </c>
      <c r="K370" t="n">
        <v>0</v>
      </c>
      <c r="L370" t="n">
        <v>0</v>
      </c>
      <c r="M370" t="n">
        <v>0</v>
      </c>
      <c r="N370" t="n">
        <v>0</v>
      </c>
      <c r="O370" t="n">
        <v>0</v>
      </c>
      <c r="P370" t="n">
        <v>0</v>
      </c>
      <c r="Q370" t="n">
        <v>0</v>
      </c>
      <c r="R370" s="2" t="inlineStr"/>
    </row>
    <row r="371" ht="15" customHeight="1">
      <c r="A371" t="inlineStr">
        <is>
          <t>A 10449-2020</t>
        </is>
      </c>
      <c r="B371" s="1" t="n">
        <v>43886</v>
      </c>
      <c r="C371" s="1" t="n">
        <v>45640</v>
      </c>
      <c r="D371" t="inlineStr">
        <is>
          <t>VÄRMLANDS LÄN</t>
        </is>
      </c>
      <c r="E371" t="inlineStr">
        <is>
          <t>TORSBY</t>
        </is>
      </c>
      <c r="G371" t="n">
        <v>2.4</v>
      </c>
      <c r="H371" t="n">
        <v>0</v>
      </c>
      <c r="I371" t="n">
        <v>0</v>
      </c>
      <c r="J371" t="n">
        <v>0</v>
      </c>
      <c r="K371" t="n">
        <v>0</v>
      </c>
      <c r="L371" t="n">
        <v>0</v>
      </c>
      <c r="M371" t="n">
        <v>0</v>
      </c>
      <c r="N371" t="n">
        <v>0</v>
      </c>
      <c r="O371" t="n">
        <v>0</v>
      </c>
      <c r="P371" t="n">
        <v>0</v>
      </c>
      <c r="Q371" t="n">
        <v>0</v>
      </c>
      <c r="R371" s="2" t="inlineStr"/>
    </row>
    <row r="372" ht="15" customHeight="1">
      <c r="A372" t="inlineStr">
        <is>
          <t>A 11213-2020</t>
        </is>
      </c>
      <c r="B372" s="1" t="n">
        <v>43892</v>
      </c>
      <c r="C372" s="1" t="n">
        <v>45640</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12428-2020</t>
        </is>
      </c>
      <c r="B373" s="1" t="n">
        <v>43896</v>
      </c>
      <c r="C373" s="1" t="n">
        <v>45640</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12855-2020</t>
        </is>
      </c>
      <c r="B374" s="1" t="n">
        <v>43899</v>
      </c>
      <c r="C374" s="1" t="n">
        <v>45640</v>
      </c>
      <c r="D374" t="inlineStr">
        <is>
          <t>VÄRMLANDS LÄN</t>
        </is>
      </c>
      <c r="E374" t="inlineStr">
        <is>
          <t>TORSBY</t>
        </is>
      </c>
      <c r="G374" t="n">
        <v>5.9</v>
      </c>
      <c r="H374" t="n">
        <v>0</v>
      </c>
      <c r="I374" t="n">
        <v>0</v>
      </c>
      <c r="J374" t="n">
        <v>0</v>
      </c>
      <c r="K374" t="n">
        <v>0</v>
      </c>
      <c r="L374" t="n">
        <v>0</v>
      </c>
      <c r="M374" t="n">
        <v>0</v>
      </c>
      <c r="N374" t="n">
        <v>0</v>
      </c>
      <c r="O374" t="n">
        <v>0</v>
      </c>
      <c r="P374" t="n">
        <v>0</v>
      </c>
      <c r="Q374" t="n">
        <v>0</v>
      </c>
      <c r="R374" s="2" t="inlineStr"/>
    </row>
    <row r="375" ht="15" customHeight="1">
      <c r="A375" t="inlineStr">
        <is>
          <t>A 12881-2020</t>
        </is>
      </c>
      <c r="B375" s="1" t="n">
        <v>43900</v>
      </c>
      <c r="C375" s="1" t="n">
        <v>45640</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14246-2020</t>
        </is>
      </c>
      <c r="B376" s="1" t="n">
        <v>43900</v>
      </c>
      <c r="C376" s="1" t="n">
        <v>45640</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13153-2020</t>
        </is>
      </c>
      <c r="B377" s="1" t="n">
        <v>43901</v>
      </c>
      <c r="C377" s="1" t="n">
        <v>45640</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13250-2020</t>
        </is>
      </c>
      <c r="B378" s="1" t="n">
        <v>43901</v>
      </c>
      <c r="C378" s="1" t="n">
        <v>45640</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14695-2020</t>
        </is>
      </c>
      <c r="B379" s="1" t="n">
        <v>43903</v>
      </c>
      <c r="C379" s="1" t="n">
        <v>45640</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14693-2020</t>
        </is>
      </c>
      <c r="B380" s="1" t="n">
        <v>43903</v>
      </c>
      <c r="C380" s="1" t="n">
        <v>45640</v>
      </c>
      <c r="D380" t="inlineStr">
        <is>
          <t>VÄRMLANDS LÄN</t>
        </is>
      </c>
      <c r="E380" t="inlineStr">
        <is>
          <t>TORSBY</t>
        </is>
      </c>
      <c r="G380" t="n">
        <v>2.9</v>
      </c>
      <c r="H380" t="n">
        <v>0</v>
      </c>
      <c r="I380" t="n">
        <v>0</v>
      </c>
      <c r="J380" t="n">
        <v>0</v>
      </c>
      <c r="K380" t="n">
        <v>0</v>
      </c>
      <c r="L380" t="n">
        <v>0</v>
      </c>
      <c r="M380" t="n">
        <v>0</v>
      </c>
      <c r="N380" t="n">
        <v>0</v>
      </c>
      <c r="O380" t="n">
        <v>0</v>
      </c>
      <c r="P380" t="n">
        <v>0</v>
      </c>
      <c r="Q380" t="n">
        <v>0</v>
      </c>
      <c r="R380" s="2" t="inlineStr"/>
    </row>
    <row r="381" ht="15" customHeight="1">
      <c r="A381" t="inlineStr">
        <is>
          <t>A 14962-2020</t>
        </is>
      </c>
      <c r="B381" s="1" t="n">
        <v>43907</v>
      </c>
      <c r="C381" s="1" t="n">
        <v>45640</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14968-2020</t>
        </is>
      </c>
      <c r="B382" s="1" t="n">
        <v>43907</v>
      </c>
      <c r="C382" s="1" t="n">
        <v>45640</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14702-2020</t>
        </is>
      </c>
      <c r="B383" s="1" t="n">
        <v>43909</v>
      </c>
      <c r="C383" s="1" t="n">
        <v>45640</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14694-2020</t>
        </is>
      </c>
      <c r="B384" s="1" t="n">
        <v>43909</v>
      </c>
      <c r="C384" s="1" t="n">
        <v>45640</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14851-2020</t>
        </is>
      </c>
      <c r="B385" s="1" t="n">
        <v>43909</v>
      </c>
      <c r="C385" s="1" t="n">
        <v>45640</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15161-2020</t>
        </is>
      </c>
      <c r="B386" s="1" t="n">
        <v>43912</v>
      </c>
      <c r="C386" s="1" t="n">
        <v>45640</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15280-2020</t>
        </is>
      </c>
      <c r="B387" s="1" t="n">
        <v>43913</v>
      </c>
      <c r="C387" s="1" t="n">
        <v>45640</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15589-2020</t>
        </is>
      </c>
      <c r="B388" s="1" t="n">
        <v>43914</v>
      </c>
      <c r="C388" s="1" t="n">
        <v>45640</v>
      </c>
      <c r="D388" t="inlineStr">
        <is>
          <t>VÄRMLANDS LÄN</t>
        </is>
      </c>
      <c r="E388" t="inlineStr">
        <is>
          <t>TORSBY</t>
        </is>
      </c>
      <c r="G388" t="n">
        <v>1.5</v>
      </c>
      <c r="H388" t="n">
        <v>0</v>
      </c>
      <c r="I388" t="n">
        <v>0</v>
      </c>
      <c r="J388" t="n">
        <v>0</v>
      </c>
      <c r="K388" t="n">
        <v>0</v>
      </c>
      <c r="L388" t="n">
        <v>0</v>
      </c>
      <c r="M388" t="n">
        <v>0</v>
      </c>
      <c r="N388" t="n">
        <v>0</v>
      </c>
      <c r="O388" t="n">
        <v>0</v>
      </c>
      <c r="P388" t="n">
        <v>0</v>
      </c>
      <c r="Q388" t="n">
        <v>0</v>
      </c>
      <c r="R388" s="2" t="inlineStr"/>
    </row>
    <row r="389" ht="15" customHeight="1">
      <c r="A389" t="inlineStr">
        <is>
          <t>A 15701-2020</t>
        </is>
      </c>
      <c r="B389" s="1" t="n">
        <v>43915</v>
      </c>
      <c r="C389" s="1" t="n">
        <v>45640</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15768-2020</t>
        </is>
      </c>
      <c r="B390" s="1" t="n">
        <v>43915</v>
      </c>
      <c r="C390" s="1" t="n">
        <v>45640</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16101-2020</t>
        </is>
      </c>
      <c r="B391" s="1" t="n">
        <v>43916</v>
      </c>
      <c r="C391" s="1" t="n">
        <v>45640</v>
      </c>
      <c r="D391" t="inlineStr">
        <is>
          <t>VÄRMLANDS LÄN</t>
        </is>
      </c>
      <c r="E391" t="inlineStr">
        <is>
          <t>TORSBY</t>
        </is>
      </c>
      <c r="G391" t="n">
        <v>14.6</v>
      </c>
      <c r="H391" t="n">
        <v>0</v>
      </c>
      <c r="I391" t="n">
        <v>0</v>
      </c>
      <c r="J391" t="n">
        <v>0</v>
      </c>
      <c r="K391" t="n">
        <v>0</v>
      </c>
      <c r="L391" t="n">
        <v>0</v>
      </c>
      <c r="M391" t="n">
        <v>0</v>
      </c>
      <c r="N391" t="n">
        <v>0</v>
      </c>
      <c r="O391" t="n">
        <v>0</v>
      </c>
      <c r="P391" t="n">
        <v>0</v>
      </c>
      <c r="Q391" t="n">
        <v>0</v>
      </c>
      <c r="R391" s="2" t="inlineStr"/>
    </row>
    <row r="392" ht="15" customHeight="1">
      <c r="A392" t="inlineStr">
        <is>
          <t>A 16364-2020</t>
        </is>
      </c>
      <c r="B392" s="1" t="n">
        <v>43917</v>
      </c>
      <c r="C392" s="1" t="n">
        <v>45640</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16437-2020</t>
        </is>
      </c>
      <c r="B393" s="1" t="n">
        <v>43919</v>
      </c>
      <c r="C393" s="1" t="n">
        <v>45640</v>
      </c>
      <c r="D393" t="inlineStr">
        <is>
          <t>VÄRMLANDS LÄN</t>
        </is>
      </c>
      <c r="E393" t="inlineStr">
        <is>
          <t>TORSBY</t>
        </is>
      </c>
      <c r="G393" t="n">
        <v>1.2</v>
      </c>
      <c r="H393" t="n">
        <v>0</v>
      </c>
      <c r="I393" t="n">
        <v>0</v>
      </c>
      <c r="J393" t="n">
        <v>0</v>
      </c>
      <c r="K393" t="n">
        <v>0</v>
      </c>
      <c r="L393" t="n">
        <v>0</v>
      </c>
      <c r="M393" t="n">
        <v>0</v>
      </c>
      <c r="N393" t="n">
        <v>0</v>
      </c>
      <c r="O393" t="n">
        <v>0</v>
      </c>
      <c r="P393" t="n">
        <v>0</v>
      </c>
      <c r="Q393" t="n">
        <v>0</v>
      </c>
      <c r="R393" s="2" t="inlineStr"/>
    </row>
    <row r="394" ht="15" customHeight="1">
      <c r="A394" t="inlineStr">
        <is>
          <t>A 17021-2020</t>
        </is>
      </c>
      <c r="B394" s="1" t="n">
        <v>43921</v>
      </c>
      <c r="C394" s="1" t="n">
        <v>45640</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16999-2020</t>
        </is>
      </c>
      <c r="B395" s="1" t="n">
        <v>43921</v>
      </c>
      <c r="C395" s="1" t="n">
        <v>45640</v>
      </c>
      <c r="D395" t="inlineStr">
        <is>
          <t>VÄRMLANDS LÄN</t>
        </is>
      </c>
      <c r="E395" t="inlineStr">
        <is>
          <t>TORSBY</t>
        </is>
      </c>
      <c r="G395" t="n">
        <v>6.6</v>
      </c>
      <c r="H395" t="n">
        <v>0</v>
      </c>
      <c r="I395" t="n">
        <v>0</v>
      </c>
      <c r="J395" t="n">
        <v>0</v>
      </c>
      <c r="K395" t="n">
        <v>0</v>
      </c>
      <c r="L395" t="n">
        <v>0</v>
      </c>
      <c r="M395" t="n">
        <v>0</v>
      </c>
      <c r="N395" t="n">
        <v>0</v>
      </c>
      <c r="O395" t="n">
        <v>0</v>
      </c>
      <c r="P395" t="n">
        <v>0</v>
      </c>
      <c r="Q395" t="n">
        <v>0</v>
      </c>
      <c r="R395" s="2" t="inlineStr"/>
    </row>
    <row r="396" ht="15" customHeight="1">
      <c r="A396" t="inlineStr">
        <is>
          <t>A 17009-2020</t>
        </is>
      </c>
      <c r="B396" s="1" t="n">
        <v>43921</v>
      </c>
      <c r="C396" s="1" t="n">
        <v>45640</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18155-2020</t>
        </is>
      </c>
      <c r="B397" s="1" t="n">
        <v>43927</v>
      </c>
      <c r="C397" s="1" t="n">
        <v>45640</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18641-2020</t>
        </is>
      </c>
      <c r="B398" s="1" t="n">
        <v>43928</v>
      </c>
      <c r="C398" s="1" t="n">
        <v>45640</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18769-2020</t>
        </is>
      </c>
      <c r="B399" s="1" t="n">
        <v>43930</v>
      </c>
      <c r="C399" s="1" t="n">
        <v>45640</v>
      </c>
      <c r="D399" t="inlineStr">
        <is>
          <t>VÄRMLANDS LÄN</t>
        </is>
      </c>
      <c r="E399" t="inlineStr">
        <is>
          <t>TORSBY</t>
        </is>
      </c>
      <c r="G399" t="n">
        <v>5.2</v>
      </c>
      <c r="H399" t="n">
        <v>0</v>
      </c>
      <c r="I399" t="n">
        <v>0</v>
      </c>
      <c r="J399" t="n">
        <v>0</v>
      </c>
      <c r="K399" t="n">
        <v>0</v>
      </c>
      <c r="L399" t="n">
        <v>0</v>
      </c>
      <c r="M399" t="n">
        <v>0</v>
      </c>
      <c r="N399" t="n">
        <v>0</v>
      </c>
      <c r="O399" t="n">
        <v>0</v>
      </c>
      <c r="P399" t="n">
        <v>0</v>
      </c>
      <c r="Q399" t="n">
        <v>0</v>
      </c>
      <c r="R399" s="2" t="inlineStr"/>
    </row>
    <row r="400" ht="15" customHeight="1">
      <c r="A400" t="inlineStr">
        <is>
          <t>A 18770-2020</t>
        </is>
      </c>
      <c r="B400" s="1" t="n">
        <v>43930</v>
      </c>
      <c r="C400" s="1" t="n">
        <v>45640</v>
      </c>
      <c r="D400" t="inlineStr">
        <is>
          <t>VÄRMLANDS LÄN</t>
        </is>
      </c>
      <c r="E400" t="inlineStr">
        <is>
          <t>TORSBY</t>
        </is>
      </c>
      <c r="G400" t="n">
        <v>4.2</v>
      </c>
      <c r="H400" t="n">
        <v>0</v>
      </c>
      <c r="I400" t="n">
        <v>0</v>
      </c>
      <c r="J400" t="n">
        <v>0</v>
      </c>
      <c r="K400" t="n">
        <v>0</v>
      </c>
      <c r="L400" t="n">
        <v>0</v>
      </c>
      <c r="M400" t="n">
        <v>0</v>
      </c>
      <c r="N400" t="n">
        <v>0</v>
      </c>
      <c r="O400" t="n">
        <v>0</v>
      </c>
      <c r="P400" t="n">
        <v>0</v>
      </c>
      <c r="Q400" t="n">
        <v>0</v>
      </c>
      <c r="R400" s="2" t="inlineStr"/>
    </row>
    <row r="401" ht="15" customHeight="1">
      <c r="A401" t="inlineStr">
        <is>
          <t>A 18972-2020</t>
        </is>
      </c>
      <c r="B401" s="1" t="n">
        <v>43935</v>
      </c>
      <c r="C401" s="1" t="n">
        <v>45640</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19032-2020</t>
        </is>
      </c>
      <c r="B402" s="1" t="n">
        <v>43936</v>
      </c>
      <c r="C402" s="1" t="n">
        <v>45640</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19181-2020</t>
        </is>
      </c>
      <c r="B403" s="1" t="n">
        <v>43937</v>
      </c>
      <c r="C403" s="1" t="n">
        <v>45640</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19384-2020</t>
        </is>
      </c>
      <c r="B404" s="1" t="n">
        <v>43938</v>
      </c>
      <c r="C404" s="1" t="n">
        <v>45640</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19963-2020</t>
        </is>
      </c>
      <c r="B405" s="1" t="n">
        <v>43941</v>
      </c>
      <c r="C405" s="1" t="n">
        <v>45640</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20025-2020</t>
        </is>
      </c>
      <c r="B406" s="1" t="n">
        <v>43943</v>
      </c>
      <c r="C406" s="1" t="n">
        <v>45640</v>
      </c>
      <c r="D406" t="inlineStr">
        <is>
          <t>VÄRMLANDS LÄN</t>
        </is>
      </c>
      <c r="E406" t="inlineStr">
        <is>
          <t>TORSBY</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20280-2020</t>
        </is>
      </c>
      <c r="B407" s="1" t="n">
        <v>43945</v>
      </c>
      <c r="C407" s="1" t="n">
        <v>45640</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20464-2020</t>
        </is>
      </c>
      <c r="B408" s="1" t="n">
        <v>43948</v>
      </c>
      <c r="C408" s="1" t="n">
        <v>45640</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21099-2020</t>
        </is>
      </c>
      <c r="B409" s="1" t="n">
        <v>43951</v>
      </c>
      <c r="C409" s="1" t="n">
        <v>45640</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21335-2020</t>
        </is>
      </c>
      <c r="B410" s="1" t="n">
        <v>43951</v>
      </c>
      <c r="C410" s="1" t="n">
        <v>45640</v>
      </c>
      <c r="D410" t="inlineStr">
        <is>
          <t>VÄRMLANDS LÄN</t>
        </is>
      </c>
      <c r="E410" t="inlineStr">
        <is>
          <t>TORSBY</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21369-2020</t>
        </is>
      </c>
      <c r="B411" s="1" t="n">
        <v>43951</v>
      </c>
      <c r="C411" s="1" t="n">
        <v>45640</v>
      </c>
      <c r="D411" t="inlineStr">
        <is>
          <t>VÄRMLANDS LÄN</t>
        </is>
      </c>
      <c r="E411" t="inlineStr">
        <is>
          <t>TORSBY</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21045-2020</t>
        </is>
      </c>
      <c r="B412" s="1" t="n">
        <v>43951</v>
      </c>
      <c r="C412" s="1" t="n">
        <v>45640</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21347-2020</t>
        </is>
      </c>
      <c r="B413" s="1" t="n">
        <v>43951</v>
      </c>
      <c r="C413" s="1" t="n">
        <v>45640</v>
      </c>
      <c r="D413" t="inlineStr">
        <is>
          <t>VÄRMLANDS LÄN</t>
        </is>
      </c>
      <c r="E413" t="inlineStr">
        <is>
          <t>TORSBY</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21900-2020</t>
        </is>
      </c>
      <c r="B414" s="1" t="n">
        <v>43955</v>
      </c>
      <c r="C414" s="1" t="n">
        <v>45640</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21672-2020</t>
        </is>
      </c>
      <c r="B415" s="1" t="n">
        <v>43957</v>
      </c>
      <c r="C415" s="1" t="n">
        <v>45640</v>
      </c>
      <c r="D415" t="inlineStr">
        <is>
          <t>VÄRMLANDS LÄN</t>
        </is>
      </c>
      <c r="E415" t="inlineStr">
        <is>
          <t>TORSBY</t>
        </is>
      </c>
      <c r="F415" t="inlineStr">
        <is>
          <t>Bergvik skog väst AB</t>
        </is>
      </c>
      <c r="G415" t="n">
        <v>44.1</v>
      </c>
      <c r="H415" t="n">
        <v>0</v>
      </c>
      <c r="I415" t="n">
        <v>0</v>
      </c>
      <c r="J415" t="n">
        <v>0</v>
      </c>
      <c r="K415" t="n">
        <v>0</v>
      </c>
      <c r="L415" t="n">
        <v>0</v>
      </c>
      <c r="M415" t="n">
        <v>0</v>
      </c>
      <c r="N415" t="n">
        <v>0</v>
      </c>
      <c r="O415" t="n">
        <v>0</v>
      </c>
      <c r="P415" t="n">
        <v>0</v>
      </c>
      <c r="Q415" t="n">
        <v>0</v>
      </c>
      <c r="R415" s="2" t="inlineStr"/>
    </row>
    <row r="416" ht="15" customHeight="1">
      <c r="A416" t="inlineStr">
        <is>
          <t>A 22194-2020</t>
        </is>
      </c>
      <c r="B416" s="1" t="n">
        <v>43962</v>
      </c>
      <c r="C416" s="1" t="n">
        <v>45640</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22209-2020</t>
        </is>
      </c>
      <c r="B417" s="1" t="n">
        <v>43962</v>
      </c>
      <c r="C417" s="1" t="n">
        <v>45640</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25518-2020</t>
        </is>
      </c>
      <c r="B418" s="1" t="n">
        <v>43983</v>
      </c>
      <c r="C418" s="1" t="n">
        <v>45640</v>
      </c>
      <c r="D418" t="inlineStr">
        <is>
          <t>VÄRMLANDS LÄN</t>
        </is>
      </c>
      <c r="E418" t="inlineStr">
        <is>
          <t>TORSBY</t>
        </is>
      </c>
      <c r="G418" t="n">
        <v>0.2</v>
      </c>
      <c r="H418" t="n">
        <v>0</v>
      </c>
      <c r="I418" t="n">
        <v>0</v>
      </c>
      <c r="J418" t="n">
        <v>0</v>
      </c>
      <c r="K418" t="n">
        <v>0</v>
      </c>
      <c r="L418" t="n">
        <v>0</v>
      </c>
      <c r="M418" t="n">
        <v>0</v>
      </c>
      <c r="N418" t="n">
        <v>0</v>
      </c>
      <c r="O418" t="n">
        <v>0</v>
      </c>
      <c r="P418" t="n">
        <v>0</v>
      </c>
      <c r="Q418" t="n">
        <v>0</v>
      </c>
      <c r="R418" s="2" t="inlineStr"/>
    </row>
    <row r="419" ht="15" customHeight="1">
      <c r="A419" t="inlineStr">
        <is>
          <t>A 26915-2020</t>
        </is>
      </c>
      <c r="B419" s="1" t="n">
        <v>43986</v>
      </c>
      <c r="C419" s="1" t="n">
        <v>45640</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26926-2020</t>
        </is>
      </c>
      <c r="B420" s="1" t="n">
        <v>43986</v>
      </c>
      <c r="C420" s="1" t="n">
        <v>45640</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26919-2020</t>
        </is>
      </c>
      <c r="B421" s="1" t="n">
        <v>43986</v>
      </c>
      <c r="C421" s="1" t="n">
        <v>45640</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26666-2020</t>
        </is>
      </c>
      <c r="B422" s="1" t="n">
        <v>43989</v>
      </c>
      <c r="C422" s="1" t="n">
        <v>45640</v>
      </c>
      <c r="D422" t="inlineStr">
        <is>
          <t>VÄRMLANDS LÄN</t>
        </is>
      </c>
      <c r="E422" t="inlineStr">
        <is>
          <t>TORSBY</t>
        </is>
      </c>
      <c r="G422" t="n">
        <v>8.4</v>
      </c>
      <c r="H422" t="n">
        <v>0</v>
      </c>
      <c r="I422" t="n">
        <v>0</v>
      </c>
      <c r="J422" t="n">
        <v>0</v>
      </c>
      <c r="K422" t="n">
        <v>0</v>
      </c>
      <c r="L422" t="n">
        <v>0</v>
      </c>
      <c r="M422" t="n">
        <v>0</v>
      </c>
      <c r="N422" t="n">
        <v>0</v>
      </c>
      <c r="O422" t="n">
        <v>0</v>
      </c>
      <c r="P422" t="n">
        <v>0</v>
      </c>
      <c r="Q422" t="n">
        <v>0</v>
      </c>
      <c r="R422" s="2" t="inlineStr"/>
    </row>
    <row r="423" ht="15" customHeight="1">
      <c r="A423" t="inlineStr">
        <is>
          <t>A 27339-2020</t>
        </is>
      </c>
      <c r="B423" s="1" t="n">
        <v>43990</v>
      </c>
      <c r="C423" s="1" t="n">
        <v>45640</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27009-2020</t>
        </is>
      </c>
      <c r="B424" s="1" t="n">
        <v>43991</v>
      </c>
      <c r="C424" s="1" t="n">
        <v>45640</v>
      </c>
      <c r="D424" t="inlineStr">
        <is>
          <t>VÄRMLANDS LÄN</t>
        </is>
      </c>
      <c r="E424" t="inlineStr">
        <is>
          <t>TORSBY</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28397-2020</t>
        </is>
      </c>
      <c r="B425" s="1" t="n">
        <v>43998</v>
      </c>
      <c r="C425" s="1" t="n">
        <v>45640</v>
      </c>
      <c r="D425" t="inlineStr">
        <is>
          <t>VÄRMLANDS LÄN</t>
        </is>
      </c>
      <c r="E425" t="inlineStr">
        <is>
          <t>TORSBY</t>
        </is>
      </c>
      <c r="G425" t="n">
        <v>7.3</v>
      </c>
      <c r="H425" t="n">
        <v>0</v>
      </c>
      <c r="I425" t="n">
        <v>0</v>
      </c>
      <c r="J425" t="n">
        <v>0</v>
      </c>
      <c r="K425" t="n">
        <v>0</v>
      </c>
      <c r="L425" t="n">
        <v>0</v>
      </c>
      <c r="M425" t="n">
        <v>0</v>
      </c>
      <c r="N425" t="n">
        <v>0</v>
      </c>
      <c r="O425" t="n">
        <v>0</v>
      </c>
      <c r="P425" t="n">
        <v>0</v>
      </c>
      <c r="Q425" t="n">
        <v>0</v>
      </c>
      <c r="R425" s="2" t="inlineStr"/>
    </row>
    <row r="426" ht="15" customHeight="1">
      <c r="A426" t="inlineStr">
        <is>
          <t>A 28416-2020</t>
        </is>
      </c>
      <c r="B426" s="1" t="n">
        <v>43998</v>
      </c>
      <c r="C426" s="1" t="n">
        <v>45640</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28703-2020</t>
        </is>
      </c>
      <c r="B427" s="1" t="n">
        <v>43999</v>
      </c>
      <c r="C427" s="1" t="n">
        <v>45640</v>
      </c>
      <c r="D427" t="inlineStr">
        <is>
          <t>VÄRMLANDS LÄN</t>
        </is>
      </c>
      <c r="E427" t="inlineStr">
        <is>
          <t>TORSBY</t>
        </is>
      </c>
      <c r="G427" t="n">
        <v>4.3</v>
      </c>
      <c r="H427" t="n">
        <v>0</v>
      </c>
      <c r="I427" t="n">
        <v>0</v>
      </c>
      <c r="J427" t="n">
        <v>0</v>
      </c>
      <c r="K427" t="n">
        <v>0</v>
      </c>
      <c r="L427" t="n">
        <v>0</v>
      </c>
      <c r="M427" t="n">
        <v>0</v>
      </c>
      <c r="N427" t="n">
        <v>0</v>
      </c>
      <c r="O427" t="n">
        <v>0</v>
      </c>
      <c r="P427" t="n">
        <v>0</v>
      </c>
      <c r="Q427" t="n">
        <v>0</v>
      </c>
      <c r="R427" s="2" t="inlineStr"/>
    </row>
    <row r="428" ht="15" customHeight="1">
      <c r="A428" t="inlineStr">
        <is>
          <t>A 28849-2020</t>
        </is>
      </c>
      <c r="B428" s="1" t="n">
        <v>44000</v>
      </c>
      <c r="C428" s="1" t="n">
        <v>45640</v>
      </c>
      <c r="D428" t="inlineStr">
        <is>
          <t>VÄRMLANDS LÄN</t>
        </is>
      </c>
      <c r="E428" t="inlineStr">
        <is>
          <t>TORSBY</t>
        </is>
      </c>
      <c r="G428" t="n">
        <v>10.9</v>
      </c>
      <c r="H428" t="n">
        <v>0</v>
      </c>
      <c r="I428" t="n">
        <v>0</v>
      </c>
      <c r="J428" t="n">
        <v>0</v>
      </c>
      <c r="K428" t="n">
        <v>0</v>
      </c>
      <c r="L428" t="n">
        <v>0</v>
      </c>
      <c r="M428" t="n">
        <v>0</v>
      </c>
      <c r="N428" t="n">
        <v>0</v>
      </c>
      <c r="O428" t="n">
        <v>0</v>
      </c>
      <c r="P428" t="n">
        <v>0</v>
      </c>
      <c r="Q428" t="n">
        <v>0</v>
      </c>
      <c r="R428" s="2" t="inlineStr"/>
    </row>
    <row r="429" ht="15" customHeight="1">
      <c r="A429" t="inlineStr">
        <is>
          <t>A 28897-2020</t>
        </is>
      </c>
      <c r="B429" s="1" t="n">
        <v>44000</v>
      </c>
      <c r="C429" s="1" t="n">
        <v>45640</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28911-2020</t>
        </is>
      </c>
      <c r="B430" s="1" t="n">
        <v>44000</v>
      </c>
      <c r="C430" s="1" t="n">
        <v>45640</v>
      </c>
      <c r="D430" t="inlineStr">
        <is>
          <t>VÄRMLANDS LÄN</t>
        </is>
      </c>
      <c r="E430" t="inlineStr">
        <is>
          <t>TORSBY</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28976-2020</t>
        </is>
      </c>
      <c r="B431" s="1" t="n">
        <v>44000</v>
      </c>
      <c r="C431" s="1" t="n">
        <v>45640</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28987-2020</t>
        </is>
      </c>
      <c r="B432" s="1" t="n">
        <v>44000</v>
      </c>
      <c r="C432" s="1" t="n">
        <v>45640</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29970-2020</t>
        </is>
      </c>
      <c r="B433" s="1" t="n">
        <v>44006</v>
      </c>
      <c r="C433" s="1" t="n">
        <v>45640</v>
      </c>
      <c r="D433" t="inlineStr">
        <is>
          <t>VÄRMLANDS LÄN</t>
        </is>
      </c>
      <c r="E433" t="inlineStr">
        <is>
          <t>TORSBY</t>
        </is>
      </c>
      <c r="F433" t="inlineStr">
        <is>
          <t>Bergvik skog väst AB</t>
        </is>
      </c>
      <c r="G433" t="n">
        <v>7.4</v>
      </c>
      <c r="H433" t="n">
        <v>0</v>
      </c>
      <c r="I433" t="n">
        <v>0</v>
      </c>
      <c r="J433" t="n">
        <v>0</v>
      </c>
      <c r="K433" t="n">
        <v>0</v>
      </c>
      <c r="L433" t="n">
        <v>0</v>
      </c>
      <c r="M433" t="n">
        <v>0</v>
      </c>
      <c r="N433" t="n">
        <v>0</v>
      </c>
      <c r="O433" t="n">
        <v>0</v>
      </c>
      <c r="P433" t="n">
        <v>0</v>
      </c>
      <c r="Q433" t="n">
        <v>0</v>
      </c>
      <c r="R433" s="2" t="inlineStr"/>
    </row>
    <row r="434" ht="15" customHeight="1">
      <c r="A434" t="inlineStr">
        <is>
          <t>A 30572-2020</t>
        </is>
      </c>
      <c r="B434" s="1" t="n">
        <v>44008</v>
      </c>
      <c r="C434" s="1" t="n">
        <v>45640</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30996-2020</t>
        </is>
      </c>
      <c r="B435" s="1" t="n">
        <v>44011</v>
      </c>
      <c r="C435" s="1" t="n">
        <v>45640</v>
      </c>
      <c r="D435" t="inlineStr">
        <is>
          <t>VÄRMLANDS LÄN</t>
        </is>
      </c>
      <c r="E435" t="inlineStr">
        <is>
          <t>TORSBY</t>
        </is>
      </c>
      <c r="G435" t="n">
        <v>0.4</v>
      </c>
      <c r="H435" t="n">
        <v>0</v>
      </c>
      <c r="I435" t="n">
        <v>0</v>
      </c>
      <c r="J435" t="n">
        <v>0</v>
      </c>
      <c r="K435" t="n">
        <v>0</v>
      </c>
      <c r="L435" t="n">
        <v>0</v>
      </c>
      <c r="M435" t="n">
        <v>0</v>
      </c>
      <c r="N435" t="n">
        <v>0</v>
      </c>
      <c r="O435" t="n">
        <v>0</v>
      </c>
      <c r="P435" t="n">
        <v>0</v>
      </c>
      <c r="Q435" t="n">
        <v>0</v>
      </c>
      <c r="R435" s="2" t="inlineStr"/>
    </row>
    <row r="436" ht="15" customHeight="1">
      <c r="A436" t="inlineStr">
        <is>
          <t>A 30930-2020</t>
        </is>
      </c>
      <c r="B436" s="1" t="n">
        <v>44011</v>
      </c>
      <c r="C436" s="1" t="n">
        <v>45640</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31298-2020</t>
        </is>
      </c>
      <c r="B437" s="1" t="n">
        <v>44012</v>
      </c>
      <c r="C437" s="1" t="n">
        <v>45640</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31436-2020</t>
        </is>
      </c>
      <c r="B438" s="1" t="n">
        <v>44013</v>
      </c>
      <c r="C438" s="1" t="n">
        <v>45640</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31577-2020</t>
        </is>
      </c>
      <c r="B439" s="1" t="n">
        <v>44013</v>
      </c>
      <c r="C439" s="1" t="n">
        <v>45640</v>
      </c>
      <c r="D439" t="inlineStr">
        <is>
          <t>VÄRMLANDS LÄN</t>
        </is>
      </c>
      <c r="E439" t="inlineStr">
        <is>
          <t>TORSBY</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31759-2020</t>
        </is>
      </c>
      <c r="B440" s="1" t="n">
        <v>44014</v>
      </c>
      <c r="C440" s="1" t="n">
        <v>45640</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32122-2020</t>
        </is>
      </c>
      <c r="B441" s="1" t="n">
        <v>44015</v>
      </c>
      <c r="C441" s="1" t="n">
        <v>45640</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32623-2020</t>
        </is>
      </c>
      <c r="B442" s="1" t="n">
        <v>44019</v>
      </c>
      <c r="C442" s="1" t="n">
        <v>45640</v>
      </c>
      <c r="D442" t="inlineStr">
        <is>
          <t>VÄRMLANDS LÄN</t>
        </is>
      </c>
      <c r="E442" t="inlineStr">
        <is>
          <t>TORSBY</t>
        </is>
      </c>
      <c r="F442" t="inlineStr">
        <is>
          <t>Kommuner</t>
        </is>
      </c>
      <c r="G442" t="n">
        <v>13.9</v>
      </c>
      <c r="H442" t="n">
        <v>0</v>
      </c>
      <c r="I442" t="n">
        <v>0</v>
      </c>
      <c r="J442" t="n">
        <v>0</v>
      </c>
      <c r="K442" t="n">
        <v>0</v>
      </c>
      <c r="L442" t="n">
        <v>0</v>
      </c>
      <c r="M442" t="n">
        <v>0</v>
      </c>
      <c r="N442" t="n">
        <v>0</v>
      </c>
      <c r="O442" t="n">
        <v>0</v>
      </c>
      <c r="P442" t="n">
        <v>0</v>
      </c>
      <c r="Q442" t="n">
        <v>0</v>
      </c>
      <c r="R442" s="2" t="inlineStr"/>
    </row>
    <row r="443" ht="15" customHeight="1">
      <c r="A443" t="inlineStr">
        <is>
          <t>A 32651-2020</t>
        </is>
      </c>
      <c r="B443" s="1" t="n">
        <v>44019</v>
      </c>
      <c r="C443" s="1" t="n">
        <v>45640</v>
      </c>
      <c r="D443" t="inlineStr">
        <is>
          <t>VÄRMLANDS LÄN</t>
        </is>
      </c>
      <c r="E443" t="inlineStr">
        <is>
          <t>TORSBY</t>
        </is>
      </c>
      <c r="F443" t="inlineStr">
        <is>
          <t>Kommuner</t>
        </is>
      </c>
      <c r="G443" t="n">
        <v>8.6</v>
      </c>
      <c r="H443" t="n">
        <v>0</v>
      </c>
      <c r="I443" t="n">
        <v>0</v>
      </c>
      <c r="J443" t="n">
        <v>0</v>
      </c>
      <c r="K443" t="n">
        <v>0</v>
      </c>
      <c r="L443" t="n">
        <v>0</v>
      </c>
      <c r="M443" t="n">
        <v>0</v>
      </c>
      <c r="N443" t="n">
        <v>0</v>
      </c>
      <c r="O443" t="n">
        <v>0</v>
      </c>
      <c r="P443" t="n">
        <v>0</v>
      </c>
      <c r="Q443" t="n">
        <v>0</v>
      </c>
      <c r="R443" s="2" t="inlineStr"/>
    </row>
    <row r="444" ht="15" customHeight="1">
      <c r="A444" t="inlineStr">
        <is>
          <t>A 33124-2020</t>
        </is>
      </c>
      <c r="B444" s="1" t="n">
        <v>44021</v>
      </c>
      <c r="C444" s="1" t="n">
        <v>45640</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33095-2020</t>
        </is>
      </c>
      <c r="B445" s="1" t="n">
        <v>44021</v>
      </c>
      <c r="C445" s="1" t="n">
        <v>45640</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33126-2020</t>
        </is>
      </c>
      <c r="B446" s="1" t="n">
        <v>44021</v>
      </c>
      <c r="C446" s="1" t="n">
        <v>45640</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33691-2020</t>
        </is>
      </c>
      <c r="B447" s="1" t="n">
        <v>44022</v>
      </c>
      <c r="C447" s="1" t="n">
        <v>45640</v>
      </c>
      <c r="D447" t="inlineStr">
        <is>
          <t>VÄRMLANDS LÄN</t>
        </is>
      </c>
      <c r="E447" t="inlineStr">
        <is>
          <t>TORSBY</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34901-2020</t>
        </is>
      </c>
      <c r="B448" s="1" t="n">
        <v>44022</v>
      </c>
      <c r="C448" s="1" t="n">
        <v>45640</v>
      </c>
      <c r="D448" t="inlineStr">
        <is>
          <t>VÄRMLANDS LÄN</t>
        </is>
      </c>
      <c r="E448" t="inlineStr">
        <is>
          <t>TORSBY</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33908-2020</t>
        </is>
      </c>
      <c r="B449" s="1" t="n">
        <v>44027</v>
      </c>
      <c r="C449" s="1" t="n">
        <v>45640</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33864-2020</t>
        </is>
      </c>
      <c r="B450" s="1" t="n">
        <v>44027</v>
      </c>
      <c r="C450" s="1" t="n">
        <v>45640</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34118-2020</t>
        </is>
      </c>
      <c r="B451" s="1" t="n">
        <v>44028</v>
      </c>
      <c r="C451" s="1" t="n">
        <v>45640</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34247-2020</t>
        </is>
      </c>
      <c r="B452" s="1" t="n">
        <v>44029</v>
      </c>
      <c r="C452" s="1" t="n">
        <v>45640</v>
      </c>
      <c r="D452" t="inlineStr">
        <is>
          <t>VÄRMLANDS LÄN</t>
        </is>
      </c>
      <c r="E452" t="inlineStr">
        <is>
          <t>TORSBY</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35132-2020</t>
        </is>
      </c>
      <c r="B453" s="1" t="n">
        <v>44040</v>
      </c>
      <c r="C453" s="1" t="n">
        <v>45640</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35174-2020</t>
        </is>
      </c>
      <c r="B454" s="1" t="n">
        <v>44040</v>
      </c>
      <c r="C454" s="1" t="n">
        <v>45640</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35500-2020</t>
        </is>
      </c>
      <c r="B455" s="1" t="n">
        <v>44043</v>
      </c>
      <c r="C455" s="1" t="n">
        <v>45640</v>
      </c>
      <c r="D455" t="inlineStr">
        <is>
          <t>VÄRMLANDS LÄN</t>
        </is>
      </c>
      <c r="E455" t="inlineStr">
        <is>
          <t>TORSBY</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35778-2020</t>
        </is>
      </c>
      <c r="B456" s="1" t="n">
        <v>44046</v>
      </c>
      <c r="C456" s="1" t="n">
        <v>45640</v>
      </c>
      <c r="D456" t="inlineStr">
        <is>
          <t>VÄRMLANDS LÄN</t>
        </is>
      </c>
      <c r="E456" t="inlineStr">
        <is>
          <t>TORSBY</t>
        </is>
      </c>
      <c r="G456" t="n">
        <v>10.2</v>
      </c>
      <c r="H456" t="n">
        <v>0</v>
      </c>
      <c r="I456" t="n">
        <v>0</v>
      </c>
      <c r="J456" t="n">
        <v>0</v>
      </c>
      <c r="K456" t="n">
        <v>0</v>
      </c>
      <c r="L456" t="n">
        <v>0</v>
      </c>
      <c r="M456" t="n">
        <v>0</v>
      </c>
      <c r="N456" t="n">
        <v>0</v>
      </c>
      <c r="O456" t="n">
        <v>0</v>
      </c>
      <c r="P456" t="n">
        <v>0</v>
      </c>
      <c r="Q456" t="n">
        <v>0</v>
      </c>
      <c r="R456" s="2" t="inlineStr"/>
    </row>
    <row r="457" ht="15" customHeight="1">
      <c r="A457" t="inlineStr">
        <is>
          <t>A 35900-2020</t>
        </is>
      </c>
      <c r="B457" s="1" t="n">
        <v>44047</v>
      </c>
      <c r="C457" s="1" t="n">
        <v>45640</v>
      </c>
      <c r="D457" t="inlineStr">
        <is>
          <t>VÄRMLANDS LÄN</t>
        </is>
      </c>
      <c r="E457" t="inlineStr">
        <is>
          <t>TORSBY</t>
        </is>
      </c>
      <c r="G457" t="n">
        <v>7.2</v>
      </c>
      <c r="H457" t="n">
        <v>0</v>
      </c>
      <c r="I457" t="n">
        <v>0</v>
      </c>
      <c r="J457" t="n">
        <v>0</v>
      </c>
      <c r="K457" t="n">
        <v>0</v>
      </c>
      <c r="L457" t="n">
        <v>0</v>
      </c>
      <c r="M457" t="n">
        <v>0</v>
      </c>
      <c r="N457" t="n">
        <v>0</v>
      </c>
      <c r="O457" t="n">
        <v>0</v>
      </c>
      <c r="P457" t="n">
        <v>0</v>
      </c>
      <c r="Q457" t="n">
        <v>0</v>
      </c>
      <c r="R457" s="2" t="inlineStr"/>
    </row>
    <row r="458" ht="15" customHeight="1">
      <c r="A458" t="inlineStr">
        <is>
          <t>A 35955-2020</t>
        </is>
      </c>
      <c r="B458" s="1" t="n">
        <v>44047</v>
      </c>
      <c r="C458" s="1" t="n">
        <v>45640</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35826-2020</t>
        </is>
      </c>
      <c r="B459" s="1" t="n">
        <v>44047</v>
      </c>
      <c r="C459" s="1" t="n">
        <v>45640</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35905-2020</t>
        </is>
      </c>
      <c r="B460" s="1" t="n">
        <v>44047</v>
      </c>
      <c r="C460" s="1" t="n">
        <v>45640</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36482-2020</t>
        </is>
      </c>
      <c r="B461" s="1" t="n">
        <v>44048</v>
      </c>
      <c r="C461" s="1" t="n">
        <v>45640</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36104-2020</t>
        </is>
      </c>
      <c r="B462" s="1" t="n">
        <v>44048</v>
      </c>
      <c r="C462" s="1" t="n">
        <v>45640</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36265-2020</t>
        </is>
      </c>
      <c r="B463" s="1" t="n">
        <v>44049</v>
      </c>
      <c r="C463" s="1" t="n">
        <v>45640</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36396-2020</t>
        </is>
      </c>
      <c r="B464" s="1" t="n">
        <v>44049</v>
      </c>
      <c r="C464" s="1" t="n">
        <v>45640</v>
      </c>
      <c r="D464" t="inlineStr">
        <is>
          <t>VÄRMLANDS LÄN</t>
        </is>
      </c>
      <c r="E464" t="inlineStr">
        <is>
          <t>TORSBY</t>
        </is>
      </c>
      <c r="G464" t="n">
        <v>1.1</v>
      </c>
      <c r="H464" t="n">
        <v>0</v>
      </c>
      <c r="I464" t="n">
        <v>0</v>
      </c>
      <c r="J464" t="n">
        <v>0</v>
      </c>
      <c r="K464" t="n">
        <v>0</v>
      </c>
      <c r="L464" t="n">
        <v>0</v>
      </c>
      <c r="M464" t="n">
        <v>0</v>
      </c>
      <c r="N464" t="n">
        <v>0</v>
      </c>
      <c r="O464" t="n">
        <v>0</v>
      </c>
      <c r="P464" t="n">
        <v>0</v>
      </c>
      <c r="Q464" t="n">
        <v>0</v>
      </c>
      <c r="R464" s="2" t="inlineStr"/>
    </row>
    <row r="465" ht="15" customHeight="1">
      <c r="A465" t="inlineStr">
        <is>
          <t>A 36394-2020</t>
        </is>
      </c>
      <c r="B465" s="1" t="n">
        <v>44049</v>
      </c>
      <c r="C465" s="1" t="n">
        <v>45640</v>
      </c>
      <c r="D465" t="inlineStr">
        <is>
          <t>VÄRMLANDS LÄN</t>
        </is>
      </c>
      <c r="E465" t="inlineStr">
        <is>
          <t>TORSBY</t>
        </is>
      </c>
      <c r="G465" t="n">
        <v>7</v>
      </c>
      <c r="H465" t="n">
        <v>0</v>
      </c>
      <c r="I465" t="n">
        <v>0</v>
      </c>
      <c r="J465" t="n">
        <v>0</v>
      </c>
      <c r="K465" t="n">
        <v>0</v>
      </c>
      <c r="L465" t="n">
        <v>0</v>
      </c>
      <c r="M465" t="n">
        <v>0</v>
      </c>
      <c r="N465" t="n">
        <v>0</v>
      </c>
      <c r="O465" t="n">
        <v>0</v>
      </c>
      <c r="P465" t="n">
        <v>0</v>
      </c>
      <c r="Q465" t="n">
        <v>0</v>
      </c>
      <c r="R465" s="2" t="inlineStr"/>
    </row>
    <row r="466" ht="15" customHeight="1">
      <c r="A466" t="inlineStr">
        <is>
          <t>A 36847-2020</t>
        </is>
      </c>
      <c r="B466" s="1" t="n">
        <v>44053</v>
      </c>
      <c r="C466" s="1" t="n">
        <v>45640</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36901-2020</t>
        </is>
      </c>
      <c r="B467" s="1" t="n">
        <v>44053</v>
      </c>
      <c r="C467" s="1" t="n">
        <v>45640</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37305-2020</t>
        </is>
      </c>
      <c r="B468" s="1" t="n">
        <v>44055</v>
      </c>
      <c r="C468" s="1" t="n">
        <v>45640</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37302-2020</t>
        </is>
      </c>
      <c r="B469" s="1" t="n">
        <v>44055</v>
      </c>
      <c r="C469" s="1" t="n">
        <v>45640</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37307-2020</t>
        </is>
      </c>
      <c r="B470" s="1" t="n">
        <v>44055</v>
      </c>
      <c r="C470" s="1" t="n">
        <v>45640</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37303-2020</t>
        </is>
      </c>
      <c r="B471" s="1" t="n">
        <v>44055</v>
      </c>
      <c r="C471" s="1" t="n">
        <v>45640</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38506-2020</t>
        </is>
      </c>
      <c r="B472" s="1" t="n">
        <v>44061</v>
      </c>
      <c r="C472" s="1" t="n">
        <v>45640</v>
      </c>
      <c r="D472" t="inlineStr">
        <is>
          <t>VÄRMLANDS LÄN</t>
        </is>
      </c>
      <c r="E472" t="inlineStr">
        <is>
          <t>TORSBY</t>
        </is>
      </c>
      <c r="G472" t="n">
        <v>5</v>
      </c>
      <c r="H472" t="n">
        <v>0</v>
      </c>
      <c r="I472" t="n">
        <v>0</v>
      </c>
      <c r="J472" t="n">
        <v>0</v>
      </c>
      <c r="K472" t="n">
        <v>0</v>
      </c>
      <c r="L472" t="n">
        <v>0</v>
      </c>
      <c r="M472" t="n">
        <v>0</v>
      </c>
      <c r="N472" t="n">
        <v>0</v>
      </c>
      <c r="O472" t="n">
        <v>0</v>
      </c>
      <c r="P472" t="n">
        <v>0</v>
      </c>
      <c r="Q472" t="n">
        <v>0</v>
      </c>
      <c r="R472" s="2" t="inlineStr"/>
    </row>
    <row r="473" ht="15" customHeight="1">
      <c r="A473" t="inlineStr">
        <is>
          <t>A 38978-2020</t>
        </is>
      </c>
      <c r="B473" s="1" t="n">
        <v>44062</v>
      </c>
      <c r="C473" s="1" t="n">
        <v>45640</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40218-2020</t>
        </is>
      </c>
      <c r="B474" s="1" t="n">
        <v>44064</v>
      </c>
      <c r="C474" s="1" t="n">
        <v>45640</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40015-2020</t>
        </is>
      </c>
      <c r="B475" s="1" t="n">
        <v>44067</v>
      </c>
      <c r="C475" s="1" t="n">
        <v>45640</v>
      </c>
      <c r="D475" t="inlineStr">
        <is>
          <t>VÄRMLANDS LÄN</t>
        </is>
      </c>
      <c r="E475" t="inlineStr">
        <is>
          <t>TORSBY</t>
        </is>
      </c>
      <c r="G475" t="n">
        <v>5.7</v>
      </c>
      <c r="H475" t="n">
        <v>0</v>
      </c>
      <c r="I475" t="n">
        <v>0</v>
      </c>
      <c r="J475" t="n">
        <v>0</v>
      </c>
      <c r="K475" t="n">
        <v>0</v>
      </c>
      <c r="L475" t="n">
        <v>0</v>
      </c>
      <c r="M475" t="n">
        <v>0</v>
      </c>
      <c r="N475" t="n">
        <v>0</v>
      </c>
      <c r="O475" t="n">
        <v>0</v>
      </c>
      <c r="P475" t="n">
        <v>0</v>
      </c>
      <c r="Q475" t="n">
        <v>0</v>
      </c>
      <c r="R475" s="2" t="inlineStr"/>
    </row>
    <row r="476" ht="15" customHeight="1">
      <c r="A476" t="inlineStr">
        <is>
          <t>A 40550-2020</t>
        </is>
      </c>
      <c r="B476" s="1" t="n">
        <v>44069</v>
      </c>
      <c r="C476" s="1" t="n">
        <v>45640</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40594-2020</t>
        </is>
      </c>
      <c r="B477" s="1" t="n">
        <v>44069</v>
      </c>
      <c r="C477" s="1" t="n">
        <v>45640</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40509-2020</t>
        </is>
      </c>
      <c r="B478" s="1" t="n">
        <v>44069</v>
      </c>
      <c r="C478" s="1" t="n">
        <v>45640</v>
      </c>
      <c r="D478" t="inlineStr">
        <is>
          <t>VÄRMLANDS LÄN</t>
        </is>
      </c>
      <c r="E478" t="inlineStr">
        <is>
          <t>TORSBY</t>
        </is>
      </c>
      <c r="F478" t="inlineStr">
        <is>
          <t>Naturvårdsverket</t>
        </is>
      </c>
      <c r="G478" t="n">
        <v>57</v>
      </c>
      <c r="H478" t="n">
        <v>0</v>
      </c>
      <c r="I478" t="n">
        <v>0</v>
      </c>
      <c r="J478" t="n">
        <v>0</v>
      </c>
      <c r="K478" t="n">
        <v>0</v>
      </c>
      <c r="L478" t="n">
        <v>0</v>
      </c>
      <c r="M478" t="n">
        <v>0</v>
      </c>
      <c r="N478" t="n">
        <v>0</v>
      </c>
      <c r="O478" t="n">
        <v>0</v>
      </c>
      <c r="P478" t="n">
        <v>0</v>
      </c>
      <c r="Q478" t="n">
        <v>0</v>
      </c>
      <c r="R478" s="2" t="inlineStr"/>
    </row>
    <row r="479" ht="15" customHeight="1">
      <c r="A479" t="inlineStr">
        <is>
          <t>A 40601-2020</t>
        </is>
      </c>
      <c r="B479" s="1" t="n">
        <v>44069</v>
      </c>
      <c r="C479" s="1" t="n">
        <v>45640</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40994-2020</t>
        </is>
      </c>
      <c r="B480" s="1" t="n">
        <v>44070</v>
      </c>
      <c r="C480" s="1" t="n">
        <v>45640</v>
      </c>
      <c r="D480" t="inlineStr">
        <is>
          <t>VÄRMLANDS LÄN</t>
        </is>
      </c>
      <c r="E480" t="inlineStr">
        <is>
          <t>TORSBY</t>
        </is>
      </c>
      <c r="F480" t="inlineStr">
        <is>
          <t>Bergvik skog väst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40987-2020</t>
        </is>
      </c>
      <c r="B481" s="1" t="n">
        <v>44070</v>
      </c>
      <c r="C481" s="1" t="n">
        <v>45640</v>
      </c>
      <c r="D481" t="inlineStr">
        <is>
          <t>VÄRMLANDS LÄN</t>
        </is>
      </c>
      <c r="E481" t="inlineStr">
        <is>
          <t>TORSBY</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40993-2020</t>
        </is>
      </c>
      <c r="B482" s="1" t="n">
        <v>44070</v>
      </c>
      <c r="C482" s="1" t="n">
        <v>45640</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41469-2020</t>
        </is>
      </c>
      <c r="B483" s="1" t="n">
        <v>44074</v>
      </c>
      <c r="C483" s="1" t="n">
        <v>45640</v>
      </c>
      <c r="D483" t="inlineStr">
        <is>
          <t>VÄRMLANDS LÄN</t>
        </is>
      </c>
      <c r="E483" t="inlineStr">
        <is>
          <t>TORSBY</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42391-2020</t>
        </is>
      </c>
      <c r="B484" s="1" t="n">
        <v>44076</v>
      </c>
      <c r="C484" s="1" t="n">
        <v>45640</v>
      </c>
      <c r="D484" t="inlineStr">
        <is>
          <t>VÄRMLANDS LÄN</t>
        </is>
      </c>
      <c r="E484" t="inlineStr">
        <is>
          <t>TORSBY</t>
        </is>
      </c>
      <c r="G484" t="n">
        <v>3.9</v>
      </c>
      <c r="H484" t="n">
        <v>0</v>
      </c>
      <c r="I484" t="n">
        <v>0</v>
      </c>
      <c r="J484" t="n">
        <v>0</v>
      </c>
      <c r="K484" t="n">
        <v>0</v>
      </c>
      <c r="L484" t="n">
        <v>0</v>
      </c>
      <c r="M484" t="n">
        <v>0</v>
      </c>
      <c r="N484" t="n">
        <v>0</v>
      </c>
      <c r="O484" t="n">
        <v>0</v>
      </c>
      <c r="P484" t="n">
        <v>0</v>
      </c>
      <c r="Q484" t="n">
        <v>0</v>
      </c>
      <c r="R484" s="2" t="inlineStr"/>
    </row>
    <row r="485" ht="15" customHeight="1">
      <c r="A485" t="inlineStr">
        <is>
          <t>A 42566-2020</t>
        </is>
      </c>
      <c r="B485" s="1" t="n">
        <v>44077</v>
      </c>
      <c r="C485" s="1" t="n">
        <v>45640</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42982-2020</t>
        </is>
      </c>
      <c r="B486" s="1" t="n">
        <v>44078</v>
      </c>
      <c r="C486" s="1" t="n">
        <v>45640</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44722-2020</t>
        </is>
      </c>
      <c r="B487" s="1" t="n">
        <v>44078</v>
      </c>
      <c r="C487" s="1" t="n">
        <v>45640</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43547-2020</t>
        </is>
      </c>
      <c r="B488" s="1" t="n">
        <v>44078</v>
      </c>
      <c r="C488" s="1" t="n">
        <v>45640</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44715-2020</t>
        </is>
      </c>
      <c r="B489" s="1" t="n">
        <v>44078</v>
      </c>
      <c r="C489" s="1" t="n">
        <v>45640</v>
      </c>
      <c r="D489" t="inlineStr">
        <is>
          <t>VÄRMLANDS LÄN</t>
        </is>
      </c>
      <c r="E489" t="inlineStr">
        <is>
          <t>TORSBY</t>
        </is>
      </c>
      <c r="G489" t="n">
        <v>1.9</v>
      </c>
      <c r="H489" t="n">
        <v>0</v>
      </c>
      <c r="I489" t="n">
        <v>0</v>
      </c>
      <c r="J489" t="n">
        <v>0</v>
      </c>
      <c r="K489" t="n">
        <v>0</v>
      </c>
      <c r="L489" t="n">
        <v>0</v>
      </c>
      <c r="M489" t="n">
        <v>0</v>
      </c>
      <c r="N489" t="n">
        <v>0</v>
      </c>
      <c r="O489" t="n">
        <v>0</v>
      </c>
      <c r="P489" t="n">
        <v>0</v>
      </c>
      <c r="Q489" t="n">
        <v>0</v>
      </c>
      <c r="R489" s="2" t="inlineStr"/>
    </row>
    <row r="490" ht="15" customHeight="1">
      <c r="A490" t="inlineStr">
        <is>
          <t>A 44720-2020</t>
        </is>
      </c>
      <c r="B490" s="1" t="n">
        <v>44078</v>
      </c>
      <c r="C490" s="1" t="n">
        <v>45640</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43725-2020</t>
        </is>
      </c>
      <c r="B491" s="1" t="n">
        <v>44082</v>
      </c>
      <c r="C491" s="1" t="n">
        <v>45640</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44666-2020</t>
        </is>
      </c>
      <c r="B492" s="1" t="n">
        <v>44085</v>
      </c>
      <c r="C492" s="1" t="n">
        <v>45640</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46482-2020</t>
        </is>
      </c>
      <c r="B493" s="1" t="n">
        <v>44089</v>
      </c>
      <c r="C493" s="1" t="n">
        <v>45640</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45404-2020</t>
        </is>
      </c>
      <c r="B494" s="1" t="n">
        <v>44089</v>
      </c>
      <c r="C494" s="1" t="n">
        <v>45640</v>
      </c>
      <c r="D494" t="inlineStr">
        <is>
          <t>VÄRMLANDS LÄN</t>
        </is>
      </c>
      <c r="E494" t="inlineStr">
        <is>
          <t>TORSBY</t>
        </is>
      </c>
      <c r="G494" t="n">
        <v>3.2</v>
      </c>
      <c r="H494" t="n">
        <v>0</v>
      </c>
      <c r="I494" t="n">
        <v>0</v>
      </c>
      <c r="J494" t="n">
        <v>0</v>
      </c>
      <c r="K494" t="n">
        <v>0</v>
      </c>
      <c r="L494" t="n">
        <v>0</v>
      </c>
      <c r="M494" t="n">
        <v>0</v>
      </c>
      <c r="N494" t="n">
        <v>0</v>
      </c>
      <c r="O494" t="n">
        <v>0</v>
      </c>
      <c r="P494" t="n">
        <v>0</v>
      </c>
      <c r="Q494" t="n">
        <v>0</v>
      </c>
      <c r="R494" s="2" t="inlineStr"/>
    </row>
    <row r="495" ht="15" customHeight="1">
      <c r="A495" t="inlineStr">
        <is>
          <t>A 45872-2020</t>
        </is>
      </c>
      <c r="B495" s="1" t="n">
        <v>44091</v>
      </c>
      <c r="C495" s="1" t="n">
        <v>45640</v>
      </c>
      <c r="D495" t="inlineStr">
        <is>
          <t>VÄRMLANDS LÄN</t>
        </is>
      </c>
      <c r="E495" t="inlineStr">
        <is>
          <t>TORSBY</t>
        </is>
      </c>
      <c r="G495" t="n">
        <v>1.8</v>
      </c>
      <c r="H495" t="n">
        <v>0</v>
      </c>
      <c r="I495" t="n">
        <v>0</v>
      </c>
      <c r="J495" t="n">
        <v>0</v>
      </c>
      <c r="K495" t="n">
        <v>0</v>
      </c>
      <c r="L495" t="n">
        <v>0</v>
      </c>
      <c r="M495" t="n">
        <v>0</v>
      </c>
      <c r="N495" t="n">
        <v>0</v>
      </c>
      <c r="O495" t="n">
        <v>0</v>
      </c>
      <c r="P495" t="n">
        <v>0</v>
      </c>
      <c r="Q495" t="n">
        <v>0</v>
      </c>
      <c r="R495" s="2" t="inlineStr"/>
    </row>
    <row r="496" ht="15" customHeight="1">
      <c r="A496" t="inlineStr">
        <is>
          <t>A 45898-2020</t>
        </is>
      </c>
      <c r="B496" s="1" t="n">
        <v>44091</v>
      </c>
      <c r="C496" s="1" t="n">
        <v>45640</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46271-2020</t>
        </is>
      </c>
      <c r="B497" s="1" t="n">
        <v>44092</v>
      </c>
      <c r="C497" s="1" t="n">
        <v>45640</v>
      </c>
      <c r="D497" t="inlineStr">
        <is>
          <t>VÄRMLANDS LÄN</t>
        </is>
      </c>
      <c r="E497" t="inlineStr">
        <is>
          <t>TORSBY</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47707-2020</t>
        </is>
      </c>
      <c r="B498" s="1" t="n">
        <v>44096</v>
      </c>
      <c r="C498" s="1" t="n">
        <v>45640</v>
      </c>
      <c r="D498" t="inlineStr">
        <is>
          <t>VÄRMLANDS LÄN</t>
        </is>
      </c>
      <c r="E498" t="inlineStr">
        <is>
          <t>TORSBY</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47709-2020</t>
        </is>
      </c>
      <c r="B499" s="1" t="n">
        <v>44096</v>
      </c>
      <c r="C499" s="1" t="n">
        <v>45640</v>
      </c>
      <c r="D499" t="inlineStr">
        <is>
          <t>VÄRMLANDS LÄN</t>
        </is>
      </c>
      <c r="E499" t="inlineStr">
        <is>
          <t>TORSBY</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47490-2020</t>
        </is>
      </c>
      <c r="B500" s="1" t="n">
        <v>44098</v>
      </c>
      <c r="C500" s="1" t="n">
        <v>45640</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48231-2020</t>
        </is>
      </c>
      <c r="B501" s="1" t="n">
        <v>44102</v>
      </c>
      <c r="C501" s="1" t="n">
        <v>45640</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48383-2020</t>
        </is>
      </c>
      <c r="B502" s="1" t="n">
        <v>44102</v>
      </c>
      <c r="C502" s="1" t="n">
        <v>45640</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48488-2020</t>
        </is>
      </c>
      <c r="B503" s="1" t="n">
        <v>44103</v>
      </c>
      <c r="C503" s="1" t="n">
        <v>45640</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53557-2020</t>
        </is>
      </c>
      <c r="B504" s="1" t="n">
        <v>44104</v>
      </c>
      <c r="C504" s="1" t="n">
        <v>45640</v>
      </c>
      <c r="D504" t="inlineStr">
        <is>
          <t>VÄRMLANDS LÄN</t>
        </is>
      </c>
      <c r="E504" t="inlineStr">
        <is>
          <t>TORSBY</t>
        </is>
      </c>
      <c r="F504" t="inlineStr">
        <is>
          <t>Övriga statliga verk och myndigheter</t>
        </is>
      </c>
      <c r="G504" t="n">
        <v>1</v>
      </c>
      <c r="H504" t="n">
        <v>0</v>
      </c>
      <c r="I504" t="n">
        <v>0</v>
      </c>
      <c r="J504" t="n">
        <v>0</v>
      </c>
      <c r="K504" t="n">
        <v>0</v>
      </c>
      <c r="L504" t="n">
        <v>0</v>
      </c>
      <c r="M504" t="n">
        <v>0</v>
      </c>
      <c r="N504" t="n">
        <v>0</v>
      </c>
      <c r="O504" t="n">
        <v>0</v>
      </c>
      <c r="P504" t="n">
        <v>0</v>
      </c>
      <c r="Q504" t="n">
        <v>0</v>
      </c>
      <c r="R504" s="2" t="inlineStr"/>
    </row>
    <row r="505" ht="15" customHeight="1">
      <c r="A505" t="inlineStr">
        <is>
          <t>A 50084-2020</t>
        </is>
      </c>
      <c r="B505" s="1" t="n">
        <v>44109</v>
      </c>
      <c r="C505" s="1" t="n">
        <v>45640</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50092-2020</t>
        </is>
      </c>
      <c r="B506" s="1" t="n">
        <v>44109</v>
      </c>
      <c r="C506" s="1" t="n">
        <v>45640</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50103-2020</t>
        </is>
      </c>
      <c r="B507" s="1" t="n">
        <v>44109</v>
      </c>
      <c r="C507" s="1" t="n">
        <v>45640</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50096-2020</t>
        </is>
      </c>
      <c r="B508" s="1" t="n">
        <v>44109</v>
      </c>
      <c r="C508" s="1" t="n">
        <v>45640</v>
      </c>
      <c r="D508" t="inlineStr">
        <is>
          <t>VÄRMLANDS LÄN</t>
        </is>
      </c>
      <c r="E508" t="inlineStr">
        <is>
          <t>TORSBY</t>
        </is>
      </c>
      <c r="G508" t="n">
        <v>2.6</v>
      </c>
      <c r="H508" t="n">
        <v>0</v>
      </c>
      <c r="I508" t="n">
        <v>0</v>
      </c>
      <c r="J508" t="n">
        <v>0</v>
      </c>
      <c r="K508" t="n">
        <v>0</v>
      </c>
      <c r="L508" t="n">
        <v>0</v>
      </c>
      <c r="M508" t="n">
        <v>0</v>
      </c>
      <c r="N508" t="n">
        <v>0</v>
      </c>
      <c r="O508" t="n">
        <v>0</v>
      </c>
      <c r="P508" t="n">
        <v>0</v>
      </c>
      <c r="Q508" t="n">
        <v>0</v>
      </c>
      <c r="R508" s="2" t="inlineStr"/>
    </row>
    <row r="509" ht="15" customHeight="1">
      <c r="A509" t="inlineStr">
        <is>
          <t>A 50486-2020</t>
        </is>
      </c>
      <c r="B509" s="1" t="n">
        <v>44110</v>
      </c>
      <c r="C509" s="1" t="n">
        <v>45640</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50943-2020</t>
        </is>
      </c>
      <c r="B510" s="1" t="n">
        <v>44111</v>
      </c>
      <c r="C510" s="1" t="n">
        <v>45640</v>
      </c>
      <c r="D510" t="inlineStr">
        <is>
          <t>VÄRMLANDS LÄN</t>
        </is>
      </c>
      <c r="E510" t="inlineStr">
        <is>
          <t>TORSBY</t>
        </is>
      </c>
      <c r="F510" t="inlineStr">
        <is>
          <t>Bergvik skog väst AB</t>
        </is>
      </c>
      <c r="G510" t="n">
        <v>18.4</v>
      </c>
      <c r="H510" t="n">
        <v>0</v>
      </c>
      <c r="I510" t="n">
        <v>0</v>
      </c>
      <c r="J510" t="n">
        <v>0</v>
      </c>
      <c r="K510" t="n">
        <v>0</v>
      </c>
      <c r="L510" t="n">
        <v>0</v>
      </c>
      <c r="M510" t="n">
        <v>0</v>
      </c>
      <c r="N510" t="n">
        <v>0</v>
      </c>
      <c r="O510" t="n">
        <v>0</v>
      </c>
      <c r="P510" t="n">
        <v>0</v>
      </c>
      <c r="Q510" t="n">
        <v>0</v>
      </c>
      <c r="R510" s="2" t="inlineStr"/>
    </row>
    <row r="511" ht="15" customHeight="1">
      <c r="A511" t="inlineStr">
        <is>
          <t>A 51380-2020</t>
        </is>
      </c>
      <c r="B511" s="1" t="n">
        <v>44113</v>
      </c>
      <c r="C511" s="1" t="n">
        <v>45640</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51385-2020</t>
        </is>
      </c>
      <c r="B512" s="1" t="n">
        <v>44113</v>
      </c>
      <c r="C512" s="1" t="n">
        <v>45640</v>
      </c>
      <c r="D512" t="inlineStr">
        <is>
          <t>VÄRMLANDS LÄN</t>
        </is>
      </c>
      <c r="E512" t="inlineStr">
        <is>
          <t>TORSBY</t>
        </is>
      </c>
      <c r="G512" t="n">
        <v>6.8</v>
      </c>
      <c r="H512" t="n">
        <v>0</v>
      </c>
      <c r="I512" t="n">
        <v>0</v>
      </c>
      <c r="J512" t="n">
        <v>0</v>
      </c>
      <c r="K512" t="n">
        <v>0</v>
      </c>
      <c r="L512" t="n">
        <v>0</v>
      </c>
      <c r="M512" t="n">
        <v>0</v>
      </c>
      <c r="N512" t="n">
        <v>0</v>
      </c>
      <c r="O512" t="n">
        <v>0</v>
      </c>
      <c r="P512" t="n">
        <v>0</v>
      </c>
      <c r="Q512" t="n">
        <v>0</v>
      </c>
      <c r="R512" s="2" t="inlineStr"/>
    </row>
    <row r="513" ht="15" customHeight="1">
      <c r="A513" t="inlineStr">
        <is>
          <t>A 51389-2020</t>
        </is>
      </c>
      <c r="B513" s="1" t="n">
        <v>44113</v>
      </c>
      <c r="C513" s="1" t="n">
        <v>45640</v>
      </c>
      <c r="D513" t="inlineStr">
        <is>
          <t>VÄRMLANDS LÄN</t>
        </is>
      </c>
      <c r="E513" t="inlineStr">
        <is>
          <t>TORSBY</t>
        </is>
      </c>
      <c r="G513" t="n">
        <v>15.4</v>
      </c>
      <c r="H513" t="n">
        <v>0</v>
      </c>
      <c r="I513" t="n">
        <v>0</v>
      </c>
      <c r="J513" t="n">
        <v>0</v>
      </c>
      <c r="K513" t="n">
        <v>0</v>
      </c>
      <c r="L513" t="n">
        <v>0</v>
      </c>
      <c r="M513" t="n">
        <v>0</v>
      </c>
      <c r="N513" t="n">
        <v>0</v>
      </c>
      <c r="O513" t="n">
        <v>0</v>
      </c>
      <c r="P513" t="n">
        <v>0</v>
      </c>
      <c r="Q513" t="n">
        <v>0</v>
      </c>
      <c r="R513" s="2" t="inlineStr"/>
    </row>
    <row r="514" ht="15" customHeight="1">
      <c r="A514" t="inlineStr">
        <is>
          <t>A 51382-2020</t>
        </is>
      </c>
      <c r="B514" s="1" t="n">
        <v>44113</v>
      </c>
      <c r="C514" s="1" t="n">
        <v>45640</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51381-2020</t>
        </is>
      </c>
      <c r="B515" s="1" t="n">
        <v>44113</v>
      </c>
      <c r="C515" s="1" t="n">
        <v>45640</v>
      </c>
      <c r="D515" t="inlineStr">
        <is>
          <t>VÄRMLANDS LÄN</t>
        </is>
      </c>
      <c r="E515" t="inlineStr">
        <is>
          <t>TORSBY</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51386-2020</t>
        </is>
      </c>
      <c r="B516" s="1" t="n">
        <v>44113</v>
      </c>
      <c r="C516" s="1" t="n">
        <v>45640</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51635-2020</t>
        </is>
      </c>
      <c r="B517" s="1" t="n">
        <v>44113</v>
      </c>
      <c r="C517" s="1" t="n">
        <v>45640</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51383-2020</t>
        </is>
      </c>
      <c r="B518" s="1" t="n">
        <v>44113</v>
      </c>
      <c r="C518" s="1" t="n">
        <v>45640</v>
      </c>
      <c r="D518" t="inlineStr">
        <is>
          <t>VÄRMLANDS LÄN</t>
        </is>
      </c>
      <c r="E518" t="inlineStr">
        <is>
          <t>TORSBY</t>
        </is>
      </c>
      <c r="G518" t="n">
        <v>3.8</v>
      </c>
      <c r="H518" t="n">
        <v>0</v>
      </c>
      <c r="I518" t="n">
        <v>0</v>
      </c>
      <c r="J518" t="n">
        <v>0</v>
      </c>
      <c r="K518" t="n">
        <v>0</v>
      </c>
      <c r="L518" t="n">
        <v>0</v>
      </c>
      <c r="M518" t="n">
        <v>0</v>
      </c>
      <c r="N518" t="n">
        <v>0</v>
      </c>
      <c r="O518" t="n">
        <v>0</v>
      </c>
      <c r="P518" t="n">
        <v>0</v>
      </c>
      <c r="Q518" t="n">
        <v>0</v>
      </c>
      <c r="R518" s="2" t="inlineStr"/>
    </row>
    <row r="519" ht="15" customHeight="1">
      <c r="A519" t="inlineStr">
        <is>
          <t>A 51838-2020</t>
        </is>
      </c>
      <c r="B519" s="1" t="n">
        <v>44116</v>
      </c>
      <c r="C519" s="1" t="n">
        <v>45640</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52460-2020</t>
        </is>
      </c>
      <c r="B520" s="1" t="n">
        <v>44116</v>
      </c>
      <c r="C520" s="1" t="n">
        <v>45640</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51837-2020</t>
        </is>
      </c>
      <c r="B521" s="1" t="n">
        <v>44116</v>
      </c>
      <c r="C521" s="1" t="n">
        <v>45640</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52141-2020</t>
        </is>
      </c>
      <c r="B522" s="1" t="n">
        <v>44117</v>
      </c>
      <c r="C522" s="1" t="n">
        <v>45640</v>
      </c>
      <c r="D522" t="inlineStr">
        <is>
          <t>VÄRMLANDS LÄN</t>
        </is>
      </c>
      <c r="E522" t="inlineStr">
        <is>
          <t>TORSBY</t>
        </is>
      </c>
      <c r="G522" t="n">
        <v>4.1</v>
      </c>
      <c r="H522" t="n">
        <v>0</v>
      </c>
      <c r="I522" t="n">
        <v>0</v>
      </c>
      <c r="J522" t="n">
        <v>0</v>
      </c>
      <c r="K522" t="n">
        <v>0</v>
      </c>
      <c r="L522" t="n">
        <v>0</v>
      </c>
      <c r="M522" t="n">
        <v>0</v>
      </c>
      <c r="N522" t="n">
        <v>0</v>
      </c>
      <c r="O522" t="n">
        <v>0</v>
      </c>
      <c r="P522" t="n">
        <v>0</v>
      </c>
      <c r="Q522" t="n">
        <v>0</v>
      </c>
      <c r="R522" s="2" t="inlineStr"/>
    </row>
    <row r="523" ht="15" customHeight="1">
      <c r="A523" t="inlineStr">
        <is>
          <t>A 52799-2020</t>
        </is>
      </c>
      <c r="B523" s="1" t="n">
        <v>44119</v>
      </c>
      <c r="C523" s="1" t="n">
        <v>45640</v>
      </c>
      <c r="D523" t="inlineStr">
        <is>
          <t>VÄRMLANDS LÄN</t>
        </is>
      </c>
      <c r="E523" t="inlineStr">
        <is>
          <t>TORSBY</t>
        </is>
      </c>
      <c r="G523" t="n">
        <v>6.2</v>
      </c>
      <c r="H523" t="n">
        <v>0</v>
      </c>
      <c r="I523" t="n">
        <v>0</v>
      </c>
      <c r="J523" t="n">
        <v>0</v>
      </c>
      <c r="K523" t="n">
        <v>0</v>
      </c>
      <c r="L523" t="n">
        <v>0</v>
      </c>
      <c r="M523" t="n">
        <v>0</v>
      </c>
      <c r="N523" t="n">
        <v>0</v>
      </c>
      <c r="O523" t="n">
        <v>0</v>
      </c>
      <c r="P523" t="n">
        <v>0</v>
      </c>
      <c r="Q523" t="n">
        <v>0</v>
      </c>
      <c r="R523" s="2" t="inlineStr"/>
    </row>
    <row r="524" ht="15" customHeight="1">
      <c r="A524" t="inlineStr">
        <is>
          <t>A 52979-2020</t>
        </is>
      </c>
      <c r="B524" s="1" t="n">
        <v>44120</v>
      </c>
      <c r="C524" s="1" t="n">
        <v>45640</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53111-2020</t>
        </is>
      </c>
      <c r="B525" s="1" t="n">
        <v>44120</v>
      </c>
      <c r="C525" s="1" t="n">
        <v>45640</v>
      </c>
      <c r="D525" t="inlineStr">
        <is>
          <t>VÄRMLANDS LÄN</t>
        </is>
      </c>
      <c r="E525" t="inlineStr">
        <is>
          <t>TORSBY</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53771-2020</t>
        </is>
      </c>
      <c r="B526" s="1" t="n">
        <v>44124</v>
      </c>
      <c r="C526" s="1" t="n">
        <v>45640</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53733-2020</t>
        </is>
      </c>
      <c r="B527" s="1" t="n">
        <v>44124</v>
      </c>
      <c r="C527" s="1" t="n">
        <v>45640</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54331-2020</t>
        </is>
      </c>
      <c r="B528" s="1" t="n">
        <v>44124</v>
      </c>
      <c r="C528" s="1" t="n">
        <v>45640</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54060-2020</t>
        </is>
      </c>
      <c r="B529" s="1" t="n">
        <v>44125</v>
      </c>
      <c r="C529" s="1" t="n">
        <v>45640</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54072-2020</t>
        </is>
      </c>
      <c r="B530" s="1" t="n">
        <v>44125</v>
      </c>
      <c r="C530" s="1" t="n">
        <v>45640</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54916-2020</t>
        </is>
      </c>
      <c r="B531" s="1" t="n">
        <v>44127</v>
      </c>
      <c r="C531" s="1" t="n">
        <v>45640</v>
      </c>
      <c r="D531" t="inlineStr">
        <is>
          <t>VÄRMLANDS LÄN</t>
        </is>
      </c>
      <c r="E531" t="inlineStr">
        <is>
          <t>TORSBY</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54924-2020</t>
        </is>
      </c>
      <c r="B532" s="1" t="n">
        <v>44127</v>
      </c>
      <c r="C532" s="1" t="n">
        <v>45640</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55058-2020</t>
        </is>
      </c>
      <c r="B533" s="1" t="n">
        <v>44130</v>
      </c>
      <c r="C533" s="1" t="n">
        <v>45640</v>
      </c>
      <c r="D533" t="inlineStr">
        <is>
          <t>VÄRMLANDS LÄN</t>
        </is>
      </c>
      <c r="E533" t="inlineStr">
        <is>
          <t>TORSBY</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55217-2020</t>
        </is>
      </c>
      <c r="B534" s="1" t="n">
        <v>44130</v>
      </c>
      <c r="C534" s="1" t="n">
        <v>45640</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55401-2020</t>
        </is>
      </c>
      <c r="B535" s="1" t="n">
        <v>44131</v>
      </c>
      <c r="C535" s="1" t="n">
        <v>45640</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56979-2020</t>
        </is>
      </c>
      <c r="B536" s="1" t="n">
        <v>44138</v>
      </c>
      <c r="C536" s="1" t="n">
        <v>45640</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57119-2020</t>
        </is>
      </c>
      <c r="B537" s="1" t="n">
        <v>44139</v>
      </c>
      <c r="C537" s="1" t="n">
        <v>45640</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57896-2020</t>
        </is>
      </c>
      <c r="B538" s="1" t="n">
        <v>44141</v>
      </c>
      <c r="C538" s="1" t="n">
        <v>45640</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57980-2020</t>
        </is>
      </c>
      <c r="B539" s="1" t="n">
        <v>44143</v>
      </c>
      <c r="C539" s="1" t="n">
        <v>45640</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58078-2020</t>
        </is>
      </c>
      <c r="B540" s="1" t="n">
        <v>44144</v>
      </c>
      <c r="C540" s="1" t="n">
        <v>45640</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58599-2020</t>
        </is>
      </c>
      <c r="B541" s="1" t="n">
        <v>44145</v>
      </c>
      <c r="C541" s="1" t="n">
        <v>45640</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58574-2020</t>
        </is>
      </c>
      <c r="B542" s="1" t="n">
        <v>44145</v>
      </c>
      <c r="C542" s="1" t="n">
        <v>45640</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58643-2020</t>
        </is>
      </c>
      <c r="B543" s="1" t="n">
        <v>44145</v>
      </c>
      <c r="C543" s="1" t="n">
        <v>45640</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58680-2020</t>
        </is>
      </c>
      <c r="B544" s="1" t="n">
        <v>44146</v>
      </c>
      <c r="C544" s="1" t="n">
        <v>45640</v>
      </c>
      <c r="D544" t="inlineStr">
        <is>
          <t>VÄRMLANDS LÄN</t>
        </is>
      </c>
      <c r="E544" t="inlineStr">
        <is>
          <t>TORSBY</t>
        </is>
      </c>
      <c r="G544" t="n">
        <v>4.7</v>
      </c>
      <c r="H544" t="n">
        <v>0</v>
      </c>
      <c r="I544" t="n">
        <v>0</v>
      </c>
      <c r="J544" t="n">
        <v>0</v>
      </c>
      <c r="K544" t="n">
        <v>0</v>
      </c>
      <c r="L544" t="n">
        <v>0</v>
      </c>
      <c r="M544" t="n">
        <v>0</v>
      </c>
      <c r="N544" t="n">
        <v>0</v>
      </c>
      <c r="O544" t="n">
        <v>0</v>
      </c>
      <c r="P544" t="n">
        <v>0</v>
      </c>
      <c r="Q544" t="n">
        <v>0</v>
      </c>
      <c r="R544" s="2" t="inlineStr"/>
    </row>
    <row r="545" ht="15" customHeight="1">
      <c r="A545" t="inlineStr">
        <is>
          <t>A 58877-2020</t>
        </is>
      </c>
      <c r="B545" s="1" t="n">
        <v>44146</v>
      </c>
      <c r="C545" s="1" t="n">
        <v>45640</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58930-2020</t>
        </is>
      </c>
      <c r="B546" s="1" t="n">
        <v>44146</v>
      </c>
      <c r="C546" s="1" t="n">
        <v>45640</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59800-2020</t>
        </is>
      </c>
      <c r="B547" s="1" t="n">
        <v>44151</v>
      </c>
      <c r="C547" s="1" t="n">
        <v>45640</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60167-2020</t>
        </is>
      </c>
      <c r="B548" s="1" t="n">
        <v>44152</v>
      </c>
      <c r="C548" s="1" t="n">
        <v>45640</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60533-2020</t>
        </is>
      </c>
      <c r="B549" s="1" t="n">
        <v>44153</v>
      </c>
      <c r="C549" s="1" t="n">
        <v>45640</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60719-2020</t>
        </is>
      </c>
      <c r="B550" s="1" t="n">
        <v>44153</v>
      </c>
      <c r="C550" s="1" t="n">
        <v>45640</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60823-2020</t>
        </is>
      </c>
      <c r="B551" s="1" t="n">
        <v>44153</v>
      </c>
      <c r="C551" s="1" t="n">
        <v>45640</v>
      </c>
      <c r="D551" t="inlineStr">
        <is>
          <t>VÄRMLANDS LÄN</t>
        </is>
      </c>
      <c r="E551" t="inlineStr">
        <is>
          <t>TORSBY</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45640</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61009-2020</t>
        </is>
      </c>
      <c r="B553" s="1" t="n">
        <v>44154</v>
      </c>
      <c r="C553" s="1" t="n">
        <v>45640</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61594-2020</t>
        </is>
      </c>
      <c r="B554" s="1" t="n">
        <v>44154</v>
      </c>
      <c r="C554" s="1" t="n">
        <v>45640</v>
      </c>
      <c r="D554" t="inlineStr">
        <is>
          <t>VÄRMLANDS LÄN</t>
        </is>
      </c>
      <c r="E554" t="inlineStr">
        <is>
          <t>TORSBY</t>
        </is>
      </c>
      <c r="G554" t="n">
        <v>6</v>
      </c>
      <c r="H554" t="n">
        <v>0</v>
      </c>
      <c r="I554" t="n">
        <v>0</v>
      </c>
      <c r="J554" t="n">
        <v>0</v>
      </c>
      <c r="K554" t="n">
        <v>0</v>
      </c>
      <c r="L554" t="n">
        <v>0</v>
      </c>
      <c r="M554" t="n">
        <v>0</v>
      </c>
      <c r="N554" t="n">
        <v>0</v>
      </c>
      <c r="O554" t="n">
        <v>0</v>
      </c>
      <c r="P554" t="n">
        <v>0</v>
      </c>
      <c r="Q554" t="n">
        <v>0</v>
      </c>
      <c r="R554" s="2" t="inlineStr"/>
    </row>
    <row r="555" ht="15" customHeight="1">
      <c r="A555" t="inlineStr">
        <is>
          <t>A 61970-2020</t>
        </is>
      </c>
      <c r="B555" s="1" t="n">
        <v>44155</v>
      </c>
      <c r="C555" s="1" t="n">
        <v>45640</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61738-2020</t>
        </is>
      </c>
      <c r="B556" s="1" t="n">
        <v>44158</v>
      </c>
      <c r="C556" s="1" t="n">
        <v>45640</v>
      </c>
      <c r="D556" t="inlineStr">
        <is>
          <t>VÄRMLANDS LÄN</t>
        </is>
      </c>
      <c r="E556" t="inlineStr">
        <is>
          <t>TORSBY</t>
        </is>
      </c>
      <c r="F556" t="inlineStr">
        <is>
          <t>Kommuner</t>
        </is>
      </c>
      <c r="G556" t="n">
        <v>5.8</v>
      </c>
      <c r="H556" t="n">
        <v>0</v>
      </c>
      <c r="I556" t="n">
        <v>0</v>
      </c>
      <c r="J556" t="n">
        <v>0</v>
      </c>
      <c r="K556" t="n">
        <v>0</v>
      </c>
      <c r="L556" t="n">
        <v>0</v>
      </c>
      <c r="M556" t="n">
        <v>0</v>
      </c>
      <c r="N556" t="n">
        <v>0</v>
      </c>
      <c r="O556" t="n">
        <v>0</v>
      </c>
      <c r="P556" t="n">
        <v>0</v>
      </c>
      <c r="Q556" t="n">
        <v>0</v>
      </c>
      <c r="R556" s="2" t="inlineStr"/>
    </row>
    <row r="557" ht="15" customHeight="1">
      <c r="A557" t="inlineStr">
        <is>
          <t>A 61753-2020</t>
        </is>
      </c>
      <c r="B557" s="1" t="n">
        <v>44158</v>
      </c>
      <c r="C557" s="1" t="n">
        <v>45640</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61998-2020</t>
        </is>
      </c>
      <c r="B558" s="1" t="n">
        <v>44158</v>
      </c>
      <c r="C558" s="1" t="n">
        <v>45640</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61910-2020</t>
        </is>
      </c>
      <c r="B559" s="1" t="n">
        <v>44159</v>
      </c>
      <c r="C559" s="1" t="n">
        <v>45640</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61956-2020</t>
        </is>
      </c>
      <c r="B560" s="1" t="n">
        <v>44159</v>
      </c>
      <c r="C560" s="1" t="n">
        <v>45640</v>
      </c>
      <c r="D560" t="inlineStr">
        <is>
          <t>VÄRMLANDS LÄN</t>
        </is>
      </c>
      <c r="E560" t="inlineStr">
        <is>
          <t>TORSBY</t>
        </is>
      </c>
      <c r="F560" t="inlineStr">
        <is>
          <t>Kommuner</t>
        </is>
      </c>
      <c r="G560" t="n">
        <v>7.5</v>
      </c>
      <c r="H560" t="n">
        <v>0</v>
      </c>
      <c r="I560" t="n">
        <v>0</v>
      </c>
      <c r="J560" t="n">
        <v>0</v>
      </c>
      <c r="K560" t="n">
        <v>0</v>
      </c>
      <c r="L560" t="n">
        <v>0</v>
      </c>
      <c r="M560" t="n">
        <v>0</v>
      </c>
      <c r="N560" t="n">
        <v>0</v>
      </c>
      <c r="O560" t="n">
        <v>0</v>
      </c>
      <c r="P560" t="n">
        <v>0</v>
      </c>
      <c r="Q560" t="n">
        <v>0</v>
      </c>
      <c r="R560" s="2" t="inlineStr"/>
    </row>
    <row r="561" ht="15" customHeight="1">
      <c r="A561" t="inlineStr">
        <is>
          <t>A 62209-2020</t>
        </is>
      </c>
      <c r="B561" s="1" t="n">
        <v>44159</v>
      </c>
      <c r="C561" s="1" t="n">
        <v>45640</v>
      </c>
      <c r="D561" t="inlineStr">
        <is>
          <t>VÄRMLANDS LÄN</t>
        </is>
      </c>
      <c r="E561" t="inlineStr">
        <is>
          <t>TORSBY</t>
        </is>
      </c>
      <c r="F561" t="inlineStr">
        <is>
          <t>Kommuner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62211-2020</t>
        </is>
      </c>
      <c r="B562" s="1" t="n">
        <v>44159</v>
      </c>
      <c r="C562" s="1" t="n">
        <v>45640</v>
      </c>
      <c r="D562" t="inlineStr">
        <is>
          <t>VÄRMLANDS LÄN</t>
        </is>
      </c>
      <c r="E562" t="inlineStr">
        <is>
          <t>TORSBY</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62915-2020</t>
        </is>
      </c>
      <c r="B563" s="1" t="n">
        <v>44162</v>
      </c>
      <c r="C563" s="1" t="n">
        <v>45640</v>
      </c>
      <c r="D563" t="inlineStr">
        <is>
          <t>VÄRMLANDS LÄN</t>
        </is>
      </c>
      <c r="E563" t="inlineStr">
        <is>
          <t>TORSBY</t>
        </is>
      </c>
      <c r="G563" t="n">
        <v>4.6</v>
      </c>
      <c r="H563" t="n">
        <v>0</v>
      </c>
      <c r="I563" t="n">
        <v>0</v>
      </c>
      <c r="J563" t="n">
        <v>0</v>
      </c>
      <c r="K563" t="n">
        <v>0</v>
      </c>
      <c r="L563" t="n">
        <v>0</v>
      </c>
      <c r="M563" t="n">
        <v>0</v>
      </c>
      <c r="N563" t="n">
        <v>0</v>
      </c>
      <c r="O563" t="n">
        <v>0</v>
      </c>
      <c r="P563" t="n">
        <v>0</v>
      </c>
      <c r="Q563" t="n">
        <v>0</v>
      </c>
      <c r="R563" s="2" t="inlineStr"/>
    </row>
    <row r="564" ht="15" customHeight="1">
      <c r="A564" t="inlineStr">
        <is>
          <t>A 63565-2020</t>
        </is>
      </c>
      <c r="B564" s="1" t="n">
        <v>44165</v>
      </c>
      <c r="C564" s="1" t="n">
        <v>45640</v>
      </c>
      <c r="D564" t="inlineStr">
        <is>
          <t>VÄRMLANDS LÄN</t>
        </is>
      </c>
      <c r="E564" t="inlineStr">
        <is>
          <t>TORSBY</t>
        </is>
      </c>
      <c r="G564" t="n">
        <v>10.3</v>
      </c>
      <c r="H564" t="n">
        <v>0</v>
      </c>
      <c r="I564" t="n">
        <v>0</v>
      </c>
      <c r="J564" t="n">
        <v>0</v>
      </c>
      <c r="K564" t="n">
        <v>0</v>
      </c>
      <c r="L564" t="n">
        <v>0</v>
      </c>
      <c r="M564" t="n">
        <v>0</v>
      </c>
      <c r="N564" t="n">
        <v>0</v>
      </c>
      <c r="O564" t="n">
        <v>0</v>
      </c>
      <c r="P564" t="n">
        <v>0</v>
      </c>
      <c r="Q564" t="n">
        <v>0</v>
      </c>
      <c r="R564" s="2" t="inlineStr"/>
    </row>
    <row r="565" ht="15" customHeight="1">
      <c r="A565" t="inlineStr">
        <is>
          <t>A 64396-2020</t>
        </is>
      </c>
      <c r="B565" s="1" t="n">
        <v>44168</v>
      </c>
      <c r="C565" s="1" t="n">
        <v>45640</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64434-2020</t>
        </is>
      </c>
      <c r="B566" s="1" t="n">
        <v>44168</v>
      </c>
      <c r="C566" s="1" t="n">
        <v>45640</v>
      </c>
      <c r="D566" t="inlineStr">
        <is>
          <t>VÄRMLANDS LÄN</t>
        </is>
      </c>
      <c r="E566" t="inlineStr">
        <is>
          <t>TORSBY</t>
        </is>
      </c>
      <c r="G566" t="n">
        <v>7.7</v>
      </c>
      <c r="H566" t="n">
        <v>0</v>
      </c>
      <c r="I566" t="n">
        <v>0</v>
      </c>
      <c r="J566" t="n">
        <v>0</v>
      </c>
      <c r="K566" t="n">
        <v>0</v>
      </c>
      <c r="L566" t="n">
        <v>0</v>
      </c>
      <c r="M566" t="n">
        <v>0</v>
      </c>
      <c r="N566" t="n">
        <v>0</v>
      </c>
      <c r="O566" t="n">
        <v>0</v>
      </c>
      <c r="P566" t="n">
        <v>0</v>
      </c>
      <c r="Q566" t="n">
        <v>0</v>
      </c>
      <c r="R566" s="2" t="inlineStr"/>
    </row>
    <row r="567" ht="15" customHeight="1">
      <c r="A567" t="inlineStr">
        <is>
          <t>A 65369-2020</t>
        </is>
      </c>
      <c r="B567" s="1" t="n">
        <v>44169</v>
      </c>
      <c r="C567" s="1" t="n">
        <v>45640</v>
      </c>
      <c r="D567" t="inlineStr">
        <is>
          <t>VÄRMLANDS LÄN</t>
        </is>
      </c>
      <c r="E567" t="inlineStr">
        <is>
          <t>TORSBY</t>
        </is>
      </c>
      <c r="G567" t="n">
        <v>32.5</v>
      </c>
      <c r="H567" t="n">
        <v>0</v>
      </c>
      <c r="I567" t="n">
        <v>0</v>
      </c>
      <c r="J567" t="n">
        <v>0</v>
      </c>
      <c r="K567" t="n">
        <v>0</v>
      </c>
      <c r="L567" t="n">
        <v>0</v>
      </c>
      <c r="M567" t="n">
        <v>0</v>
      </c>
      <c r="N567" t="n">
        <v>0</v>
      </c>
      <c r="O567" t="n">
        <v>0</v>
      </c>
      <c r="P567" t="n">
        <v>0</v>
      </c>
      <c r="Q567" t="n">
        <v>0</v>
      </c>
      <c r="R567" s="2" t="inlineStr"/>
    </row>
    <row r="568" ht="15" customHeight="1">
      <c r="A568" t="inlineStr">
        <is>
          <t>A 65482-2020</t>
        </is>
      </c>
      <c r="B568" s="1" t="n">
        <v>44169</v>
      </c>
      <c r="C568" s="1" t="n">
        <v>45640</v>
      </c>
      <c r="D568" t="inlineStr">
        <is>
          <t>VÄRMLANDS LÄN</t>
        </is>
      </c>
      <c r="E568" t="inlineStr">
        <is>
          <t>TORSBY</t>
        </is>
      </c>
      <c r="F568" t="inlineStr">
        <is>
          <t>Kyrkan</t>
        </is>
      </c>
      <c r="G568" t="n">
        <v>21.6</v>
      </c>
      <c r="H568" t="n">
        <v>0</v>
      </c>
      <c r="I568" t="n">
        <v>0</v>
      </c>
      <c r="J568" t="n">
        <v>0</v>
      </c>
      <c r="K568" t="n">
        <v>0</v>
      </c>
      <c r="L568" t="n">
        <v>0</v>
      </c>
      <c r="M568" t="n">
        <v>0</v>
      </c>
      <c r="N568" t="n">
        <v>0</v>
      </c>
      <c r="O568" t="n">
        <v>0</v>
      </c>
      <c r="P568" t="n">
        <v>0</v>
      </c>
      <c r="Q568" t="n">
        <v>0</v>
      </c>
      <c r="R568" s="2" t="inlineStr"/>
    </row>
    <row r="569" ht="15" customHeight="1">
      <c r="A569" t="inlineStr">
        <is>
          <t>A 65398-2020</t>
        </is>
      </c>
      <c r="B569" s="1" t="n">
        <v>44169</v>
      </c>
      <c r="C569" s="1" t="n">
        <v>45640</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65678-2020</t>
        </is>
      </c>
      <c r="B570" s="1" t="n">
        <v>44172</v>
      </c>
      <c r="C570" s="1" t="n">
        <v>45640</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65827-2020</t>
        </is>
      </c>
      <c r="B571" s="1" t="n">
        <v>44173</v>
      </c>
      <c r="C571" s="1" t="n">
        <v>45640</v>
      </c>
      <c r="D571" t="inlineStr">
        <is>
          <t>VÄRMLANDS LÄN</t>
        </is>
      </c>
      <c r="E571" t="inlineStr">
        <is>
          <t>TORSBY</t>
        </is>
      </c>
      <c r="G571" t="n">
        <v>6.7</v>
      </c>
      <c r="H571" t="n">
        <v>0</v>
      </c>
      <c r="I571" t="n">
        <v>0</v>
      </c>
      <c r="J571" t="n">
        <v>0</v>
      </c>
      <c r="K571" t="n">
        <v>0</v>
      </c>
      <c r="L571" t="n">
        <v>0</v>
      </c>
      <c r="M571" t="n">
        <v>0</v>
      </c>
      <c r="N571" t="n">
        <v>0</v>
      </c>
      <c r="O571" t="n">
        <v>0</v>
      </c>
      <c r="P571" t="n">
        <v>0</v>
      </c>
      <c r="Q571" t="n">
        <v>0</v>
      </c>
      <c r="R571" s="2" t="inlineStr"/>
    </row>
    <row r="572" ht="15" customHeight="1">
      <c r="A572" t="inlineStr">
        <is>
          <t>A 66703-2020</t>
        </is>
      </c>
      <c r="B572" s="1" t="n">
        <v>44174</v>
      </c>
      <c r="C572" s="1" t="n">
        <v>45640</v>
      </c>
      <c r="D572" t="inlineStr">
        <is>
          <t>VÄRMLANDS LÄN</t>
        </is>
      </c>
      <c r="E572" t="inlineStr">
        <is>
          <t>TORSBY</t>
        </is>
      </c>
      <c r="G572" t="n">
        <v>6.3</v>
      </c>
      <c r="H572" t="n">
        <v>0</v>
      </c>
      <c r="I572" t="n">
        <v>0</v>
      </c>
      <c r="J572" t="n">
        <v>0</v>
      </c>
      <c r="K572" t="n">
        <v>0</v>
      </c>
      <c r="L572" t="n">
        <v>0</v>
      </c>
      <c r="M572" t="n">
        <v>0</v>
      </c>
      <c r="N572" t="n">
        <v>0</v>
      </c>
      <c r="O572" t="n">
        <v>0</v>
      </c>
      <c r="P572" t="n">
        <v>0</v>
      </c>
      <c r="Q572" t="n">
        <v>0</v>
      </c>
      <c r="R572" s="2" t="inlineStr"/>
    </row>
    <row r="573" ht="15" customHeight="1">
      <c r="A573" t="inlineStr">
        <is>
          <t>A 66194-2020</t>
        </is>
      </c>
      <c r="B573" s="1" t="n">
        <v>44175</v>
      </c>
      <c r="C573" s="1" t="n">
        <v>45640</v>
      </c>
      <c r="D573" t="inlineStr">
        <is>
          <t>VÄRMLANDS LÄN</t>
        </is>
      </c>
      <c r="E573" t="inlineStr">
        <is>
          <t>TORSBY</t>
        </is>
      </c>
      <c r="F573" t="inlineStr">
        <is>
          <t>Bergvik skog väst AB</t>
        </is>
      </c>
      <c r="G573" t="n">
        <v>18.4</v>
      </c>
      <c r="H573" t="n">
        <v>0</v>
      </c>
      <c r="I573" t="n">
        <v>0</v>
      </c>
      <c r="J573" t="n">
        <v>0</v>
      </c>
      <c r="K573" t="n">
        <v>0</v>
      </c>
      <c r="L573" t="n">
        <v>0</v>
      </c>
      <c r="M573" t="n">
        <v>0</v>
      </c>
      <c r="N573" t="n">
        <v>0</v>
      </c>
      <c r="O573" t="n">
        <v>0</v>
      </c>
      <c r="P573" t="n">
        <v>0</v>
      </c>
      <c r="Q573" t="n">
        <v>0</v>
      </c>
      <c r="R573" s="2" t="inlineStr"/>
    </row>
    <row r="574" ht="15" customHeight="1">
      <c r="A574" t="inlineStr">
        <is>
          <t>A 66326-2020</t>
        </is>
      </c>
      <c r="B574" s="1" t="n">
        <v>44176</v>
      </c>
      <c r="C574" s="1" t="n">
        <v>45640</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67084-2020</t>
        </is>
      </c>
      <c r="B575" s="1" t="n">
        <v>44179</v>
      </c>
      <c r="C575" s="1" t="n">
        <v>45640</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67547-2020</t>
        </is>
      </c>
      <c r="B576" s="1" t="n">
        <v>44181</v>
      </c>
      <c r="C576" s="1" t="n">
        <v>45640</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67464-2020</t>
        </is>
      </c>
      <c r="B577" s="1" t="n">
        <v>44181</v>
      </c>
      <c r="C577" s="1" t="n">
        <v>45640</v>
      </c>
      <c r="D577" t="inlineStr">
        <is>
          <t>VÄRMLANDS LÄN</t>
        </is>
      </c>
      <c r="E577" t="inlineStr">
        <is>
          <t>TORSBY</t>
        </is>
      </c>
      <c r="G577" t="n">
        <v>1.5</v>
      </c>
      <c r="H577" t="n">
        <v>0</v>
      </c>
      <c r="I577" t="n">
        <v>0</v>
      </c>
      <c r="J577" t="n">
        <v>0</v>
      </c>
      <c r="K577" t="n">
        <v>0</v>
      </c>
      <c r="L577" t="n">
        <v>0</v>
      </c>
      <c r="M577" t="n">
        <v>0</v>
      </c>
      <c r="N577" t="n">
        <v>0</v>
      </c>
      <c r="O577" t="n">
        <v>0</v>
      </c>
      <c r="P577" t="n">
        <v>0</v>
      </c>
      <c r="Q577" t="n">
        <v>0</v>
      </c>
      <c r="R577" s="2" t="inlineStr"/>
    </row>
    <row r="578" ht="15" customHeight="1">
      <c r="A578" t="inlineStr">
        <is>
          <t>A 67734-2020</t>
        </is>
      </c>
      <c r="B578" s="1" t="n">
        <v>44182</v>
      </c>
      <c r="C578" s="1" t="n">
        <v>45640</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68220-2020</t>
        </is>
      </c>
      <c r="B579" s="1" t="n">
        <v>44183</v>
      </c>
      <c r="C579" s="1" t="n">
        <v>45640</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68238-2020</t>
        </is>
      </c>
      <c r="B580" s="1" t="n">
        <v>44183</v>
      </c>
      <c r="C580" s="1" t="n">
        <v>45640</v>
      </c>
      <c r="D580" t="inlineStr">
        <is>
          <t>VÄRMLANDS LÄN</t>
        </is>
      </c>
      <c r="E580" t="inlineStr">
        <is>
          <t>TORSBY</t>
        </is>
      </c>
      <c r="F580" t="inlineStr">
        <is>
          <t>Bergvik skog väst AB</t>
        </is>
      </c>
      <c r="G580" t="n">
        <v>6.7</v>
      </c>
      <c r="H580" t="n">
        <v>0</v>
      </c>
      <c r="I580" t="n">
        <v>0</v>
      </c>
      <c r="J580" t="n">
        <v>0</v>
      </c>
      <c r="K580" t="n">
        <v>0</v>
      </c>
      <c r="L580" t="n">
        <v>0</v>
      </c>
      <c r="M580" t="n">
        <v>0</v>
      </c>
      <c r="N580" t="n">
        <v>0</v>
      </c>
      <c r="O580" t="n">
        <v>0</v>
      </c>
      <c r="P580" t="n">
        <v>0</v>
      </c>
      <c r="Q580" t="n">
        <v>0</v>
      </c>
      <c r="R580" s="2" t="inlineStr"/>
    </row>
    <row r="581" ht="15" customHeight="1">
      <c r="A581" t="inlineStr">
        <is>
          <t>A 68246-2020</t>
        </is>
      </c>
      <c r="B581" s="1" t="n">
        <v>44183</v>
      </c>
      <c r="C581" s="1" t="n">
        <v>45640</v>
      </c>
      <c r="D581" t="inlineStr">
        <is>
          <t>VÄRMLANDS LÄN</t>
        </is>
      </c>
      <c r="E581" t="inlineStr">
        <is>
          <t>TORSBY</t>
        </is>
      </c>
      <c r="G581" t="n">
        <v>2.5</v>
      </c>
      <c r="H581" t="n">
        <v>0</v>
      </c>
      <c r="I581" t="n">
        <v>0</v>
      </c>
      <c r="J581" t="n">
        <v>0</v>
      </c>
      <c r="K581" t="n">
        <v>0</v>
      </c>
      <c r="L581" t="n">
        <v>0</v>
      </c>
      <c r="M581" t="n">
        <v>0</v>
      </c>
      <c r="N581" t="n">
        <v>0</v>
      </c>
      <c r="O581" t="n">
        <v>0</v>
      </c>
      <c r="P581" t="n">
        <v>0</v>
      </c>
      <c r="Q581" t="n">
        <v>0</v>
      </c>
      <c r="R581" s="2" t="inlineStr"/>
    </row>
    <row r="582" ht="15" customHeight="1">
      <c r="A582" t="inlineStr">
        <is>
          <t>A 68603-2020</t>
        </is>
      </c>
      <c r="B582" s="1" t="n">
        <v>44186</v>
      </c>
      <c r="C582" s="1" t="n">
        <v>45640</v>
      </c>
      <c r="D582" t="inlineStr">
        <is>
          <t>VÄRMLANDS LÄN</t>
        </is>
      </c>
      <c r="E582" t="inlineStr">
        <is>
          <t>TORSBY</t>
        </is>
      </c>
      <c r="G582" t="n">
        <v>11.2</v>
      </c>
      <c r="H582" t="n">
        <v>0</v>
      </c>
      <c r="I582" t="n">
        <v>0</v>
      </c>
      <c r="J582" t="n">
        <v>0</v>
      </c>
      <c r="K582" t="n">
        <v>0</v>
      </c>
      <c r="L582" t="n">
        <v>0</v>
      </c>
      <c r="M582" t="n">
        <v>0</v>
      </c>
      <c r="N582" t="n">
        <v>0</v>
      </c>
      <c r="O582" t="n">
        <v>0</v>
      </c>
      <c r="P582" t="n">
        <v>0</v>
      </c>
      <c r="Q582" t="n">
        <v>0</v>
      </c>
      <c r="R582" s="2" t="inlineStr"/>
    </row>
    <row r="583" ht="15" customHeight="1">
      <c r="A583" t="inlineStr">
        <is>
          <t>A 69245-2020</t>
        </is>
      </c>
      <c r="B583" s="1" t="n">
        <v>44192</v>
      </c>
      <c r="C583" s="1" t="n">
        <v>45640</v>
      </c>
      <c r="D583" t="inlineStr">
        <is>
          <t>VÄRMLANDS LÄN</t>
        </is>
      </c>
      <c r="E583" t="inlineStr">
        <is>
          <t>TORSBY</t>
        </is>
      </c>
      <c r="G583" t="n">
        <v>0.2</v>
      </c>
      <c r="H583" t="n">
        <v>0</v>
      </c>
      <c r="I583" t="n">
        <v>0</v>
      </c>
      <c r="J583" t="n">
        <v>0</v>
      </c>
      <c r="K583" t="n">
        <v>0</v>
      </c>
      <c r="L583" t="n">
        <v>0</v>
      </c>
      <c r="M583" t="n">
        <v>0</v>
      </c>
      <c r="N583" t="n">
        <v>0</v>
      </c>
      <c r="O583" t="n">
        <v>0</v>
      </c>
      <c r="P583" t="n">
        <v>0</v>
      </c>
      <c r="Q583" t="n">
        <v>0</v>
      </c>
      <c r="R583" s="2" t="inlineStr"/>
    </row>
    <row r="584" ht="15" customHeight="1">
      <c r="A584" t="inlineStr">
        <is>
          <t>A 69250-2020</t>
        </is>
      </c>
      <c r="B584" s="1" t="n">
        <v>44192</v>
      </c>
      <c r="C584" s="1" t="n">
        <v>45640</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69242-2020</t>
        </is>
      </c>
      <c r="B585" s="1" t="n">
        <v>44192</v>
      </c>
      <c r="C585" s="1" t="n">
        <v>45640</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69247-2020</t>
        </is>
      </c>
      <c r="B586" s="1" t="n">
        <v>44192</v>
      </c>
      <c r="C586" s="1" t="n">
        <v>45640</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69244-2020</t>
        </is>
      </c>
      <c r="B587" s="1" t="n">
        <v>44192</v>
      </c>
      <c r="C587" s="1" t="n">
        <v>45640</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69248-2020</t>
        </is>
      </c>
      <c r="B588" s="1" t="n">
        <v>44192</v>
      </c>
      <c r="C588" s="1" t="n">
        <v>45640</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69241-2020</t>
        </is>
      </c>
      <c r="B589" s="1" t="n">
        <v>44192</v>
      </c>
      <c r="C589" s="1" t="n">
        <v>45640</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69246-2020</t>
        </is>
      </c>
      <c r="B590" s="1" t="n">
        <v>44192</v>
      </c>
      <c r="C590" s="1" t="n">
        <v>45640</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69434-2020</t>
        </is>
      </c>
      <c r="B591" s="1" t="n">
        <v>44194</v>
      </c>
      <c r="C591" s="1" t="n">
        <v>45640</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69448-2020</t>
        </is>
      </c>
      <c r="B592" s="1" t="n">
        <v>44194</v>
      </c>
      <c r="C592" s="1" t="n">
        <v>45640</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69628-2020</t>
        </is>
      </c>
      <c r="B593" s="1" t="n">
        <v>44195</v>
      </c>
      <c r="C593" s="1" t="n">
        <v>45640</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339-2021</t>
        </is>
      </c>
      <c r="B594" s="1" t="n">
        <v>44201</v>
      </c>
      <c r="C594" s="1" t="n">
        <v>45640</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1516-2021</t>
        </is>
      </c>
      <c r="B595" s="1" t="n">
        <v>44209</v>
      </c>
      <c r="C595" s="1" t="n">
        <v>45640</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1526-2021</t>
        </is>
      </c>
      <c r="B596" s="1" t="n">
        <v>44209</v>
      </c>
      <c r="C596" s="1" t="n">
        <v>45640</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1535-2021</t>
        </is>
      </c>
      <c r="B597" s="1" t="n">
        <v>44209</v>
      </c>
      <c r="C597" s="1" t="n">
        <v>45640</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1544-2021</t>
        </is>
      </c>
      <c r="B598" s="1" t="n">
        <v>44209</v>
      </c>
      <c r="C598" s="1" t="n">
        <v>45640</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2321-2021</t>
        </is>
      </c>
      <c r="B599" s="1" t="n">
        <v>44214</v>
      </c>
      <c r="C599" s="1" t="n">
        <v>45640</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2576-2021</t>
        </is>
      </c>
      <c r="B600" s="1" t="n">
        <v>44214</v>
      </c>
      <c r="C600" s="1" t="n">
        <v>45640</v>
      </c>
      <c r="D600" t="inlineStr">
        <is>
          <t>VÄRMLANDS LÄN</t>
        </is>
      </c>
      <c r="E600" t="inlineStr">
        <is>
          <t>TORSBY</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2758-2021</t>
        </is>
      </c>
      <c r="B601" s="1" t="n">
        <v>44215</v>
      </c>
      <c r="C601" s="1" t="n">
        <v>45640</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3160-2021</t>
        </is>
      </c>
      <c r="B602" s="1" t="n">
        <v>44217</v>
      </c>
      <c r="C602" s="1" t="n">
        <v>45640</v>
      </c>
      <c r="D602" t="inlineStr">
        <is>
          <t>VÄRMLANDS LÄN</t>
        </is>
      </c>
      <c r="E602" t="inlineStr">
        <is>
          <t>TORSBY</t>
        </is>
      </c>
      <c r="G602" t="n">
        <v>4.4</v>
      </c>
      <c r="H602" t="n">
        <v>0</v>
      </c>
      <c r="I602" t="n">
        <v>0</v>
      </c>
      <c r="J602" t="n">
        <v>0</v>
      </c>
      <c r="K602" t="n">
        <v>0</v>
      </c>
      <c r="L602" t="n">
        <v>0</v>
      </c>
      <c r="M602" t="n">
        <v>0</v>
      </c>
      <c r="N602" t="n">
        <v>0</v>
      </c>
      <c r="O602" t="n">
        <v>0</v>
      </c>
      <c r="P602" t="n">
        <v>0</v>
      </c>
      <c r="Q602" t="n">
        <v>0</v>
      </c>
      <c r="R602" s="2" t="inlineStr"/>
    </row>
    <row r="603" ht="15" customHeight="1">
      <c r="A603" t="inlineStr">
        <is>
          <t>A 3336-2021</t>
        </is>
      </c>
      <c r="B603" s="1" t="n">
        <v>44217</v>
      </c>
      <c r="C603" s="1" t="n">
        <v>45640</v>
      </c>
      <c r="D603" t="inlineStr">
        <is>
          <t>VÄRMLANDS LÄN</t>
        </is>
      </c>
      <c r="E603" t="inlineStr">
        <is>
          <t>TORSBY</t>
        </is>
      </c>
      <c r="G603" t="n">
        <v>3.7</v>
      </c>
      <c r="H603" t="n">
        <v>0</v>
      </c>
      <c r="I603" t="n">
        <v>0</v>
      </c>
      <c r="J603" t="n">
        <v>0</v>
      </c>
      <c r="K603" t="n">
        <v>0</v>
      </c>
      <c r="L603" t="n">
        <v>0</v>
      </c>
      <c r="M603" t="n">
        <v>0</v>
      </c>
      <c r="N603" t="n">
        <v>0</v>
      </c>
      <c r="O603" t="n">
        <v>0</v>
      </c>
      <c r="P603" t="n">
        <v>0</v>
      </c>
      <c r="Q603" t="n">
        <v>0</v>
      </c>
      <c r="R603" s="2" t="inlineStr"/>
    </row>
    <row r="604" ht="15" customHeight="1">
      <c r="A604" t="inlineStr">
        <is>
          <t>A 4392-2021</t>
        </is>
      </c>
      <c r="B604" s="1" t="n">
        <v>44223</v>
      </c>
      <c r="C604" s="1" t="n">
        <v>45640</v>
      </c>
      <c r="D604" t="inlineStr">
        <is>
          <t>VÄRMLANDS LÄN</t>
        </is>
      </c>
      <c r="E604" t="inlineStr">
        <is>
          <t>TORSBY</t>
        </is>
      </c>
      <c r="G604" t="n">
        <v>3.8</v>
      </c>
      <c r="H604" t="n">
        <v>0</v>
      </c>
      <c r="I604" t="n">
        <v>0</v>
      </c>
      <c r="J604" t="n">
        <v>0</v>
      </c>
      <c r="K604" t="n">
        <v>0</v>
      </c>
      <c r="L604" t="n">
        <v>0</v>
      </c>
      <c r="M604" t="n">
        <v>0</v>
      </c>
      <c r="N604" t="n">
        <v>0</v>
      </c>
      <c r="O604" t="n">
        <v>0</v>
      </c>
      <c r="P604" t="n">
        <v>0</v>
      </c>
      <c r="Q604" t="n">
        <v>0</v>
      </c>
      <c r="R604" s="2" t="inlineStr"/>
    </row>
    <row r="605" ht="15" customHeight="1">
      <c r="A605" t="inlineStr">
        <is>
          <t>A 4558-2021</t>
        </is>
      </c>
      <c r="B605" s="1" t="n">
        <v>44223</v>
      </c>
      <c r="C605" s="1" t="n">
        <v>45640</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4393-2021</t>
        </is>
      </c>
      <c r="B606" s="1" t="n">
        <v>44223</v>
      </c>
      <c r="C606" s="1" t="n">
        <v>45640</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4564-2021</t>
        </is>
      </c>
      <c r="B607" s="1" t="n">
        <v>44223</v>
      </c>
      <c r="C607" s="1" t="n">
        <v>45640</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4479-2021</t>
        </is>
      </c>
      <c r="B608" s="1" t="n">
        <v>44224</v>
      </c>
      <c r="C608" s="1" t="n">
        <v>45640</v>
      </c>
      <c r="D608" t="inlineStr">
        <is>
          <t>VÄRMLANDS LÄN</t>
        </is>
      </c>
      <c r="E608" t="inlineStr">
        <is>
          <t>TORSBY</t>
        </is>
      </c>
      <c r="G608" t="n">
        <v>2.1</v>
      </c>
      <c r="H608" t="n">
        <v>0</v>
      </c>
      <c r="I608" t="n">
        <v>0</v>
      </c>
      <c r="J608" t="n">
        <v>0</v>
      </c>
      <c r="K608" t="n">
        <v>0</v>
      </c>
      <c r="L608" t="n">
        <v>0</v>
      </c>
      <c r="M608" t="n">
        <v>0</v>
      </c>
      <c r="N608" t="n">
        <v>0</v>
      </c>
      <c r="O608" t="n">
        <v>0</v>
      </c>
      <c r="P608" t="n">
        <v>0</v>
      </c>
      <c r="Q608" t="n">
        <v>0</v>
      </c>
      <c r="R608" s="2" t="inlineStr"/>
    </row>
    <row r="609" ht="15" customHeight="1">
      <c r="A609" t="inlineStr">
        <is>
          <t>A 4711-2021</t>
        </is>
      </c>
      <c r="B609" s="1" t="n">
        <v>44225</v>
      </c>
      <c r="C609" s="1" t="n">
        <v>45640</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5050-2021</t>
        </is>
      </c>
      <c r="B610" s="1" t="n">
        <v>44228</v>
      </c>
      <c r="C610" s="1" t="n">
        <v>45640</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5105-2021</t>
        </is>
      </c>
      <c r="B611" s="1" t="n">
        <v>44228</v>
      </c>
      <c r="C611" s="1" t="n">
        <v>45640</v>
      </c>
      <c r="D611" t="inlineStr">
        <is>
          <t>VÄRMLANDS LÄN</t>
        </is>
      </c>
      <c r="E611" t="inlineStr">
        <is>
          <t>TORSBY</t>
        </is>
      </c>
      <c r="G611" t="n">
        <v>5.6</v>
      </c>
      <c r="H611" t="n">
        <v>0</v>
      </c>
      <c r="I611" t="n">
        <v>0</v>
      </c>
      <c r="J611" t="n">
        <v>0</v>
      </c>
      <c r="K611" t="n">
        <v>0</v>
      </c>
      <c r="L611" t="n">
        <v>0</v>
      </c>
      <c r="M611" t="n">
        <v>0</v>
      </c>
      <c r="N611" t="n">
        <v>0</v>
      </c>
      <c r="O611" t="n">
        <v>0</v>
      </c>
      <c r="P611" t="n">
        <v>0</v>
      </c>
      <c r="Q611" t="n">
        <v>0</v>
      </c>
      <c r="R611" s="2" t="inlineStr"/>
    </row>
    <row r="612" ht="15" customHeight="1">
      <c r="A612" t="inlineStr">
        <is>
          <t>A 5365-2021</t>
        </is>
      </c>
      <c r="B612" s="1" t="n">
        <v>44229</v>
      </c>
      <c r="C612" s="1" t="n">
        <v>45640</v>
      </c>
      <c r="D612" t="inlineStr">
        <is>
          <t>VÄRMLANDS LÄN</t>
        </is>
      </c>
      <c r="E612" t="inlineStr">
        <is>
          <t>TORSBY</t>
        </is>
      </c>
      <c r="G612" t="n">
        <v>8.1</v>
      </c>
      <c r="H612" t="n">
        <v>0</v>
      </c>
      <c r="I612" t="n">
        <v>0</v>
      </c>
      <c r="J612" t="n">
        <v>0</v>
      </c>
      <c r="K612" t="n">
        <v>0</v>
      </c>
      <c r="L612" t="n">
        <v>0</v>
      </c>
      <c r="M612" t="n">
        <v>0</v>
      </c>
      <c r="N612" t="n">
        <v>0</v>
      </c>
      <c r="O612" t="n">
        <v>0</v>
      </c>
      <c r="P612" t="n">
        <v>0</v>
      </c>
      <c r="Q612" t="n">
        <v>0</v>
      </c>
      <c r="R612" s="2" t="inlineStr"/>
    </row>
    <row r="613" ht="15" customHeight="1">
      <c r="A613" t="inlineStr">
        <is>
          <t>A 5572-2021</t>
        </is>
      </c>
      <c r="B613" s="1" t="n">
        <v>44230</v>
      </c>
      <c r="C613" s="1" t="n">
        <v>45640</v>
      </c>
      <c r="D613" t="inlineStr">
        <is>
          <t>VÄRMLANDS LÄN</t>
        </is>
      </c>
      <c r="E613" t="inlineStr">
        <is>
          <t>TORSBY</t>
        </is>
      </c>
      <c r="G613" t="n">
        <v>2</v>
      </c>
      <c r="H613" t="n">
        <v>0</v>
      </c>
      <c r="I613" t="n">
        <v>0</v>
      </c>
      <c r="J613" t="n">
        <v>0</v>
      </c>
      <c r="K613" t="n">
        <v>0</v>
      </c>
      <c r="L613" t="n">
        <v>0</v>
      </c>
      <c r="M613" t="n">
        <v>0</v>
      </c>
      <c r="N613" t="n">
        <v>0</v>
      </c>
      <c r="O613" t="n">
        <v>0</v>
      </c>
      <c r="P613" t="n">
        <v>0</v>
      </c>
      <c r="Q613" t="n">
        <v>0</v>
      </c>
      <c r="R613" s="2" t="inlineStr"/>
    </row>
    <row r="614" ht="15" customHeight="1">
      <c r="A614" t="inlineStr">
        <is>
          <t>A 5839-2021</t>
        </is>
      </c>
      <c r="B614" s="1" t="n">
        <v>44231</v>
      </c>
      <c r="C614" s="1" t="n">
        <v>45640</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6063-2021</t>
        </is>
      </c>
      <c r="B615" s="1" t="n">
        <v>44232</v>
      </c>
      <c r="C615" s="1" t="n">
        <v>45640</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6111-2021</t>
        </is>
      </c>
      <c r="B616" s="1" t="n">
        <v>44232</v>
      </c>
      <c r="C616" s="1" t="n">
        <v>45640</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6121-2021</t>
        </is>
      </c>
      <c r="B617" s="1" t="n">
        <v>44232</v>
      </c>
      <c r="C617" s="1" t="n">
        <v>45640</v>
      </c>
      <c r="D617" t="inlineStr">
        <is>
          <t>VÄRMLANDS LÄN</t>
        </is>
      </c>
      <c r="E617" t="inlineStr">
        <is>
          <t>TORSBY</t>
        </is>
      </c>
      <c r="G617" t="n">
        <v>2.9</v>
      </c>
      <c r="H617" t="n">
        <v>0</v>
      </c>
      <c r="I617" t="n">
        <v>0</v>
      </c>
      <c r="J617" t="n">
        <v>0</v>
      </c>
      <c r="K617" t="n">
        <v>0</v>
      </c>
      <c r="L617" t="n">
        <v>0</v>
      </c>
      <c r="M617" t="n">
        <v>0</v>
      </c>
      <c r="N617" t="n">
        <v>0</v>
      </c>
      <c r="O617" t="n">
        <v>0</v>
      </c>
      <c r="P617" t="n">
        <v>0</v>
      </c>
      <c r="Q617" t="n">
        <v>0</v>
      </c>
      <c r="R617" s="2" t="inlineStr"/>
    </row>
    <row r="618" ht="15" customHeight="1">
      <c r="A618" t="inlineStr">
        <is>
          <t>A 6068-2021</t>
        </is>
      </c>
      <c r="B618" s="1" t="n">
        <v>44232</v>
      </c>
      <c r="C618" s="1" t="n">
        <v>45640</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6102-2021</t>
        </is>
      </c>
      <c r="B619" s="1" t="n">
        <v>44232</v>
      </c>
      <c r="C619" s="1" t="n">
        <v>45640</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6656-2021</t>
        </is>
      </c>
      <c r="B620" s="1" t="n">
        <v>44236</v>
      </c>
      <c r="C620" s="1" t="n">
        <v>45640</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7661-2021</t>
        </is>
      </c>
      <c r="B621" s="1" t="n">
        <v>44242</v>
      </c>
      <c r="C621" s="1" t="n">
        <v>45640</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8034-2021</t>
        </is>
      </c>
      <c r="B622" s="1" t="n">
        <v>44243</v>
      </c>
      <c r="C622" s="1" t="n">
        <v>45640</v>
      </c>
      <c r="D622" t="inlineStr">
        <is>
          <t>VÄRMLANDS LÄN</t>
        </is>
      </c>
      <c r="E622" t="inlineStr">
        <is>
          <t>TORSBY</t>
        </is>
      </c>
      <c r="G622" t="n">
        <v>15.4</v>
      </c>
      <c r="H622" t="n">
        <v>0</v>
      </c>
      <c r="I622" t="n">
        <v>0</v>
      </c>
      <c r="J622" t="n">
        <v>0</v>
      </c>
      <c r="K622" t="n">
        <v>0</v>
      </c>
      <c r="L622" t="n">
        <v>0</v>
      </c>
      <c r="M622" t="n">
        <v>0</v>
      </c>
      <c r="N622" t="n">
        <v>0</v>
      </c>
      <c r="O622" t="n">
        <v>0</v>
      </c>
      <c r="P622" t="n">
        <v>0</v>
      </c>
      <c r="Q622" t="n">
        <v>0</v>
      </c>
      <c r="R622" s="2" t="inlineStr"/>
    </row>
    <row r="623" ht="15" customHeight="1">
      <c r="A623" t="inlineStr">
        <is>
          <t>A 7898-2021</t>
        </is>
      </c>
      <c r="B623" s="1" t="n">
        <v>44243</v>
      </c>
      <c r="C623" s="1" t="n">
        <v>45640</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8910-2021</t>
        </is>
      </c>
      <c r="B624" s="1" t="n">
        <v>44246</v>
      </c>
      <c r="C624" s="1" t="n">
        <v>45640</v>
      </c>
      <c r="D624" t="inlineStr">
        <is>
          <t>VÄRMLANDS LÄN</t>
        </is>
      </c>
      <c r="E624" t="inlineStr">
        <is>
          <t>TORSBY</t>
        </is>
      </c>
      <c r="G624" t="n">
        <v>3.7</v>
      </c>
      <c r="H624" t="n">
        <v>0</v>
      </c>
      <c r="I624" t="n">
        <v>0</v>
      </c>
      <c r="J624" t="n">
        <v>0</v>
      </c>
      <c r="K624" t="n">
        <v>0</v>
      </c>
      <c r="L624" t="n">
        <v>0</v>
      </c>
      <c r="M624" t="n">
        <v>0</v>
      </c>
      <c r="N624" t="n">
        <v>0</v>
      </c>
      <c r="O624" t="n">
        <v>0</v>
      </c>
      <c r="P624" t="n">
        <v>0</v>
      </c>
      <c r="Q624" t="n">
        <v>0</v>
      </c>
      <c r="R624" s="2" t="inlineStr"/>
    </row>
    <row r="625" ht="15" customHeight="1">
      <c r="A625" t="inlineStr">
        <is>
          <t>A 9775-2021</t>
        </is>
      </c>
      <c r="B625" s="1" t="n">
        <v>44252</v>
      </c>
      <c r="C625" s="1" t="n">
        <v>45640</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10133-2021</t>
        </is>
      </c>
      <c r="B626" s="1" t="n">
        <v>44256</v>
      </c>
      <c r="C626" s="1" t="n">
        <v>45640</v>
      </c>
      <c r="D626" t="inlineStr">
        <is>
          <t>VÄRMLANDS LÄN</t>
        </is>
      </c>
      <c r="E626" t="inlineStr">
        <is>
          <t>TORSBY</t>
        </is>
      </c>
      <c r="G626" t="n">
        <v>5</v>
      </c>
      <c r="H626" t="n">
        <v>0</v>
      </c>
      <c r="I626" t="n">
        <v>0</v>
      </c>
      <c r="J626" t="n">
        <v>0</v>
      </c>
      <c r="K626" t="n">
        <v>0</v>
      </c>
      <c r="L626" t="n">
        <v>0</v>
      </c>
      <c r="M626" t="n">
        <v>0</v>
      </c>
      <c r="N626" t="n">
        <v>0</v>
      </c>
      <c r="O626" t="n">
        <v>0</v>
      </c>
      <c r="P626" t="n">
        <v>0</v>
      </c>
      <c r="Q626" t="n">
        <v>0</v>
      </c>
      <c r="R626" s="2" t="inlineStr"/>
    </row>
    <row r="627" ht="15" customHeight="1">
      <c r="A627" t="inlineStr">
        <is>
          <t>A 10118-2021</t>
        </is>
      </c>
      <c r="B627" s="1" t="n">
        <v>44256</v>
      </c>
      <c r="C627" s="1" t="n">
        <v>45640</v>
      </c>
      <c r="D627" t="inlineStr">
        <is>
          <t>VÄRMLANDS LÄN</t>
        </is>
      </c>
      <c r="E627" t="inlineStr">
        <is>
          <t>TORSBY</t>
        </is>
      </c>
      <c r="G627" t="n">
        <v>12.5</v>
      </c>
      <c r="H627" t="n">
        <v>0</v>
      </c>
      <c r="I627" t="n">
        <v>0</v>
      </c>
      <c r="J627" t="n">
        <v>0</v>
      </c>
      <c r="K627" t="n">
        <v>0</v>
      </c>
      <c r="L627" t="n">
        <v>0</v>
      </c>
      <c r="M627" t="n">
        <v>0</v>
      </c>
      <c r="N627" t="n">
        <v>0</v>
      </c>
      <c r="O627" t="n">
        <v>0</v>
      </c>
      <c r="P627" t="n">
        <v>0</v>
      </c>
      <c r="Q627" t="n">
        <v>0</v>
      </c>
      <c r="R627" s="2" t="inlineStr"/>
    </row>
    <row r="628" ht="15" customHeight="1">
      <c r="A628" t="inlineStr">
        <is>
          <t>A 10579-2021</t>
        </is>
      </c>
      <c r="B628" s="1" t="n">
        <v>44257</v>
      </c>
      <c r="C628" s="1" t="n">
        <v>45640</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10778-2021</t>
        </is>
      </c>
      <c r="B629" s="1" t="n">
        <v>44259</v>
      </c>
      <c r="C629" s="1" t="n">
        <v>45640</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11695-2021</t>
        </is>
      </c>
      <c r="B630" s="1" t="n">
        <v>44264</v>
      </c>
      <c r="C630" s="1" t="n">
        <v>45640</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11947-2021</t>
        </is>
      </c>
      <c r="B631" s="1" t="n">
        <v>44265</v>
      </c>
      <c r="C631" s="1" t="n">
        <v>45640</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13013-2021</t>
        </is>
      </c>
      <c r="B632" s="1" t="n">
        <v>44271</v>
      </c>
      <c r="C632" s="1" t="n">
        <v>45640</v>
      </c>
      <c r="D632" t="inlineStr">
        <is>
          <t>VÄRMLANDS LÄN</t>
        </is>
      </c>
      <c r="E632" t="inlineStr">
        <is>
          <t>TORSBY</t>
        </is>
      </c>
      <c r="G632" t="n">
        <v>7.7</v>
      </c>
      <c r="H632" t="n">
        <v>0</v>
      </c>
      <c r="I632" t="n">
        <v>0</v>
      </c>
      <c r="J632" t="n">
        <v>0</v>
      </c>
      <c r="K632" t="n">
        <v>0</v>
      </c>
      <c r="L632" t="n">
        <v>0</v>
      </c>
      <c r="M632" t="n">
        <v>0</v>
      </c>
      <c r="N632" t="n">
        <v>0</v>
      </c>
      <c r="O632" t="n">
        <v>0</v>
      </c>
      <c r="P632" t="n">
        <v>0</v>
      </c>
      <c r="Q632" t="n">
        <v>0</v>
      </c>
      <c r="R632" s="2" t="inlineStr"/>
    </row>
    <row r="633" ht="15" customHeight="1">
      <c r="A633" t="inlineStr">
        <is>
          <t>A 14942-2021</t>
        </is>
      </c>
      <c r="B633" s="1" t="n">
        <v>44281</v>
      </c>
      <c r="C633" s="1" t="n">
        <v>45640</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15279-2021</t>
        </is>
      </c>
      <c r="B634" s="1" t="n">
        <v>44284</v>
      </c>
      <c r="C634" s="1" t="n">
        <v>45640</v>
      </c>
      <c r="D634" t="inlineStr">
        <is>
          <t>VÄRMLANDS LÄN</t>
        </is>
      </c>
      <c r="E634" t="inlineStr">
        <is>
          <t>TORSBY</t>
        </is>
      </c>
      <c r="G634" t="n">
        <v>3.9</v>
      </c>
      <c r="H634" t="n">
        <v>0</v>
      </c>
      <c r="I634" t="n">
        <v>0</v>
      </c>
      <c r="J634" t="n">
        <v>0</v>
      </c>
      <c r="K634" t="n">
        <v>0</v>
      </c>
      <c r="L634" t="n">
        <v>0</v>
      </c>
      <c r="M634" t="n">
        <v>0</v>
      </c>
      <c r="N634" t="n">
        <v>0</v>
      </c>
      <c r="O634" t="n">
        <v>0</v>
      </c>
      <c r="P634" t="n">
        <v>0</v>
      </c>
      <c r="Q634" t="n">
        <v>0</v>
      </c>
      <c r="R634" s="2" t="inlineStr"/>
    </row>
    <row r="635" ht="15" customHeight="1">
      <c r="A635" t="inlineStr">
        <is>
          <t>A 16191-2021</t>
        </is>
      </c>
      <c r="B635" s="1" t="n">
        <v>44285</v>
      </c>
      <c r="C635" s="1" t="n">
        <v>45640</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15854-2021</t>
        </is>
      </c>
      <c r="B636" s="1" t="n">
        <v>44286</v>
      </c>
      <c r="C636" s="1" t="n">
        <v>45640</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15853-2021</t>
        </is>
      </c>
      <c r="B637" s="1" t="n">
        <v>44286</v>
      </c>
      <c r="C637" s="1" t="n">
        <v>45640</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15945-2021</t>
        </is>
      </c>
      <c r="B638" s="1" t="n">
        <v>44287</v>
      </c>
      <c r="C638" s="1" t="n">
        <v>45640</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15939-2021</t>
        </is>
      </c>
      <c r="B639" s="1" t="n">
        <v>44287</v>
      </c>
      <c r="C639" s="1" t="n">
        <v>45640</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16303-2021</t>
        </is>
      </c>
      <c r="B640" s="1" t="n">
        <v>44292</v>
      </c>
      <c r="C640" s="1" t="n">
        <v>45640</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16299-2021</t>
        </is>
      </c>
      <c r="B641" s="1" t="n">
        <v>44292</v>
      </c>
      <c r="C641" s="1" t="n">
        <v>45640</v>
      </c>
      <c r="D641" t="inlineStr">
        <is>
          <t>VÄRMLANDS LÄN</t>
        </is>
      </c>
      <c r="E641" t="inlineStr">
        <is>
          <t>TORSBY</t>
        </is>
      </c>
      <c r="G641" t="n">
        <v>3.4</v>
      </c>
      <c r="H641" t="n">
        <v>0</v>
      </c>
      <c r="I641" t="n">
        <v>0</v>
      </c>
      <c r="J641" t="n">
        <v>0</v>
      </c>
      <c r="K641" t="n">
        <v>0</v>
      </c>
      <c r="L641" t="n">
        <v>0</v>
      </c>
      <c r="M641" t="n">
        <v>0</v>
      </c>
      <c r="N641" t="n">
        <v>0</v>
      </c>
      <c r="O641" t="n">
        <v>0</v>
      </c>
      <c r="P641" t="n">
        <v>0</v>
      </c>
      <c r="Q641" t="n">
        <v>0</v>
      </c>
      <c r="R641" s="2" t="inlineStr"/>
    </row>
    <row r="642" ht="15" customHeight="1">
      <c r="A642" t="inlineStr">
        <is>
          <t>A 16375-2021</t>
        </is>
      </c>
      <c r="B642" s="1" t="n">
        <v>44292</v>
      </c>
      <c r="C642" s="1" t="n">
        <v>45640</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17249-2021</t>
        </is>
      </c>
      <c r="B643" s="1" t="n">
        <v>44298</v>
      </c>
      <c r="C643" s="1" t="n">
        <v>45640</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17941-2021</t>
        </is>
      </c>
      <c r="B644" s="1" t="n">
        <v>44301</v>
      </c>
      <c r="C644" s="1" t="n">
        <v>45640</v>
      </c>
      <c r="D644" t="inlineStr">
        <is>
          <t>VÄRMLANDS LÄN</t>
        </is>
      </c>
      <c r="E644" t="inlineStr">
        <is>
          <t>TORSBY</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17962-2021</t>
        </is>
      </c>
      <c r="B645" s="1" t="n">
        <v>44301</v>
      </c>
      <c r="C645" s="1" t="n">
        <v>45640</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17944-2021</t>
        </is>
      </c>
      <c r="B646" s="1" t="n">
        <v>44301</v>
      </c>
      <c r="C646" s="1" t="n">
        <v>45640</v>
      </c>
      <c r="D646" t="inlineStr">
        <is>
          <t>VÄRMLANDS LÄN</t>
        </is>
      </c>
      <c r="E646" t="inlineStr">
        <is>
          <t>TORSBY</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23524-2021</t>
        </is>
      </c>
      <c r="B647" s="1" t="n">
        <v>44301</v>
      </c>
      <c r="C647" s="1" t="n">
        <v>45640</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18174-2021</t>
        </is>
      </c>
      <c r="B648" s="1" t="n">
        <v>44302</v>
      </c>
      <c r="C648" s="1" t="n">
        <v>45640</v>
      </c>
      <c r="D648" t="inlineStr">
        <is>
          <t>VÄRMLANDS LÄN</t>
        </is>
      </c>
      <c r="E648" t="inlineStr">
        <is>
          <t>TORSBY</t>
        </is>
      </c>
      <c r="G648" t="n">
        <v>4.5</v>
      </c>
      <c r="H648" t="n">
        <v>0</v>
      </c>
      <c r="I648" t="n">
        <v>0</v>
      </c>
      <c r="J648" t="n">
        <v>0</v>
      </c>
      <c r="K648" t="n">
        <v>0</v>
      </c>
      <c r="L648" t="n">
        <v>0</v>
      </c>
      <c r="M648" t="n">
        <v>0</v>
      </c>
      <c r="N648" t="n">
        <v>0</v>
      </c>
      <c r="O648" t="n">
        <v>0</v>
      </c>
      <c r="P648" t="n">
        <v>0</v>
      </c>
      <c r="Q648" t="n">
        <v>0</v>
      </c>
      <c r="R648" s="2" t="inlineStr"/>
    </row>
    <row r="649" ht="15" customHeight="1">
      <c r="A649" t="inlineStr">
        <is>
          <t>A 18033-2021</t>
        </is>
      </c>
      <c r="B649" s="1" t="n">
        <v>44302</v>
      </c>
      <c r="C649" s="1" t="n">
        <v>45640</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18354-2021</t>
        </is>
      </c>
      <c r="B650" s="1" t="n">
        <v>44305</v>
      </c>
      <c r="C650" s="1" t="n">
        <v>45640</v>
      </c>
      <c r="D650" t="inlineStr">
        <is>
          <t>VÄRMLANDS LÄN</t>
        </is>
      </c>
      <c r="E650" t="inlineStr">
        <is>
          <t>TORSBY</t>
        </is>
      </c>
      <c r="F650" t="inlineStr">
        <is>
          <t>Kommuner</t>
        </is>
      </c>
      <c r="G650" t="n">
        <v>2.4</v>
      </c>
      <c r="H650" t="n">
        <v>0</v>
      </c>
      <c r="I650" t="n">
        <v>0</v>
      </c>
      <c r="J650" t="n">
        <v>0</v>
      </c>
      <c r="K650" t="n">
        <v>0</v>
      </c>
      <c r="L650" t="n">
        <v>0</v>
      </c>
      <c r="M650" t="n">
        <v>0</v>
      </c>
      <c r="N650" t="n">
        <v>0</v>
      </c>
      <c r="O650" t="n">
        <v>0</v>
      </c>
      <c r="P650" t="n">
        <v>0</v>
      </c>
      <c r="Q650" t="n">
        <v>0</v>
      </c>
      <c r="R650" s="2" t="inlineStr"/>
    </row>
    <row r="651" ht="15" customHeight="1">
      <c r="A651" t="inlineStr">
        <is>
          <t>A 18344-2021</t>
        </is>
      </c>
      <c r="B651" s="1" t="n">
        <v>44305</v>
      </c>
      <c r="C651" s="1" t="n">
        <v>45640</v>
      </c>
      <c r="D651" t="inlineStr">
        <is>
          <t>VÄRMLANDS LÄN</t>
        </is>
      </c>
      <c r="E651" t="inlineStr">
        <is>
          <t>TORSBY</t>
        </is>
      </c>
      <c r="F651" t="inlineStr">
        <is>
          <t>Kommuner</t>
        </is>
      </c>
      <c r="G651" t="n">
        <v>4.3</v>
      </c>
      <c r="H651" t="n">
        <v>0</v>
      </c>
      <c r="I651" t="n">
        <v>0</v>
      </c>
      <c r="J651" t="n">
        <v>0</v>
      </c>
      <c r="K651" t="n">
        <v>0</v>
      </c>
      <c r="L651" t="n">
        <v>0</v>
      </c>
      <c r="M651" t="n">
        <v>0</v>
      </c>
      <c r="N651" t="n">
        <v>0</v>
      </c>
      <c r="O651" t="n">
        <v>0</v>
      </c>
      <c r="P651" t="n">
        <v>0</v>
      </c>
      <c r="Q651" t="n">
        <v>0</v>
      </c>
      <c r="R651" s="2" t="inlineStr"/>
    </row>
    <row r="652" ht="15" customHeight="1">
      <c r="A652" t="inlineStr">
        <is>
          <t>A 18349-2021</t>
        </is>
      </c>
      <c r="B652" s="1" t="n">
        <v>44305</v>
      </c>
      <c r="C652" s="1" t="n">
        <v>45640</v>
      </c>
      <c r="D652" t="inlineStr">
        <is>
          <t>VÄRMLANDS LÄN</t>
        </is>
      </c>
      <c r="E652" t="inlineStr">
        <is>
          <t>TORSBY</t>
        </is>
      </c>
      <c r="G652" t="n">
        <v>3</v>
      </c>
      <c r="H652" t="n">
        <v>0</v>
      </c>
      <c r="I652" t="n">
        <v>0</v>
      </c>
      <c r="J652" t="n">
        <v>0</v>
      </c>
      <c r="K652" t="n">
        <v>0</v>
      </c>
      <c r="L652" t="n">
        <v>0</v>
      </c>
      <c r="M652" t="n">
        <v>0</v>
      </c>
      <c r="N652" t="n">
        <v>0</v>
      </c>
      <c r="O652" t="n">
        <v>0</v>
      </c>
      <c r="P652" t="n">
        <v>0</v>
      </c>
      <c r="Q652" t="n">
        <v>0</v>
      </c>
      <c r="R652" s="2" t="inlineStr"/>
    </row>
    <row r="653" ht="15" customHeight="1">
      <c r="A653" t="inlineStr">
        <is>
          <t>A 18560-2021</t>
        </is>
      </c>
      <c r="B653" s="1" t="n">
        <v>44306</v>
      </c>
      <c r="C653" s="1" t="n">
        <v>45640</v>
      </c>
      <c r="D653" t="inlineStr">
        <is>
          <t>VÄRMLANDS LÄN</t>
        </is>
      </c>
      <c r="E653" t="inlineStr">
        <is>
          <t>TORSBY</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19031-2021</t>
        </is>
      </c>
      <c r="B654" s="1" t="n">
        <v>44308</v>
      </c>
      <c r="C654" s="1" t="n">
        <v>45640</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19338-2021</t>
        </is>
      </c>
      <c r="B655" s="1" t="n">
        <v>44309</v>
      </c>
      <c r="C655" s="1" t="n">
        <v>45640</v>
      </c>
      <c r="D655" t="inlineStr">
        <is>
          <t>VÄRMLANDS LÄN</t>
        </is>
      </c>
      <c r="E655" t="inlineStr">
        <is>
          <t>TORSBY</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19375-2021</t>
        </is>
      </c>
      <c r="B656" s="1" t="n">
        <v>44309</v>
      </c>
      <c r="C656" s="1" t="n">
        <v>45640</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20182-2021</t>
        </is>
      </c>
      <c r="B657" s="1" t="n">
        <v>44312</v>
      </c>
      <c r="C657" s="1" t="n">
        <v>45640</v>
      </c>
      <c r="D657" t="inlineStr">
        <is>
          <t>VÄRMLANDS LÄN</t>
        </is>
      </c>
      <c r="E657" t="inlineStr">
        <is>
          <t>TORSBY</t>
        </is>
      </c>
      <c r="G657" t="n">
        <v>14.4</v>
      </c>
      <c r="H657" t="n">
        <v>0</v>
      </c>
      <c r="I657" t="n">
        <v>0</v>
      </c>
      <c r="J657" t="n">
        <v>0</v>
      </c>
      <c r="K657" t="n">
        <v>0</v>
      </c>
      <c r="L657" t="n">
        <v>0</v>
      </c>
      <c r="M657" t="n">
        <v>0</v>
      </c>
      <c r="N657" t="n">
        <v>0</v>
      </c>
      <c r="O657" t="n">
        <v>0</v>
      </c>
      <c r="P657" t="n">
        <v>0</v>
      </c>
      <c r="Q657" t="n">
        <v>0</v>
      </c>
      <c r="R657" s="2" t="inlineStr"/>
    </row>
    <row r="658" ht="15" customHeight="1">
      <c r="A658" t="inlineStr">
        <is>
          <t>A 20199-2021</t>
        </is>
      </c>
      <c r="B658" s="1" t="n">
        <v>44312</v>
      </c>
      <c r="C658" s="1" t="n">
        <v>45640</v>
      </c>
      <c r="D658" t="inlineStr">
        <is>
          <t>VÄRMLANDS LÄN</t>
        </is>
      </c>
      <c r="E658" t="inlineStr">
        <is>
          <t>TORSBY</t>
        </is>
      </c>
      <c r="G658" t="n">
        <v>11.4</v>
      </c>
      <c r="H658" t="n">
        <v>0</v>
      </c>
      <c r="I658" t="n">
        <v>0</v>
      </c>
      <c r="J658" t="n">
        <v>0</v>
      </c>
      <c r="K658" t="n">
        <v>0</v>
      </c>
      <c r="L658" t="n">
        <v>0</v>
      </c>
      <c r="M658" t="n">
        <v>0</v>
      </c>
      <c r="N658" t="n">
        <v>0</v>
      </c>
      <c r="O658" t="n">
        <v>0</v>
      </c>
      <c r="P658" t="n">
        <v>0</v>
      </c>
      <c r="Q658" t="n">
        <v>0</v>
      </c>
      <c r="R658" s="2" t="inlineStr"/>
    </row>
    <row r="659" ht="15" customHeight="1">
      <c r="A659" t="inlineStr">
        <is>
          <t>A 20170-2021</t>
        </is>
      </c>
      <c r="B659" s="1" t="n">
        <v>44312</v>
      </c>
      <c r="C659" s="1" t="n">
        <v>45640</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19877-2021</t>
        </is>
      </c>
      <c r="B660" s="1" t="n">
        <v>44313</v>
      </c>
      <c r="C660" s="1" t="n">
        <v>45640</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19974-2021</t>
        </is>
      </c>
      <c r="B661" s="1" t="n">
        <v>44313</v>
      </c>
      <c r="C661" s="1" t="n">
        <v>45640</v>
      </c>
      <c r="D661" t="inlineStr">
        <is>
          <t>VÄRMLANDS LÄN</t>
        </is>
      </c>
      <c r="E661" t="inlineStr">
        <is>
          <t>TORSBY</t>
        </is>
      </c>
      <c r="G661" t="n">
        <v>0.4</v>
      </c>
      <c r="H661" t="n">
        <v>0</v>
      </c>
      <c r="I661" t="n">
        <v>0</v>
      </c>
      <c r="J661" t="n">
        <v>0</v>
      </c>
      <c r="K661" t="n">
        <v>0</v>
      </c>
      <c r="L661" t="n">
        <v>0</v>
      </c>
      <c r="M661" t="n">
        <v>0</v>
      </c>
      <c r="N661" t="n">
        <v>0</v>
      </c>
      <c r="O661" t="n">
        <v>0</v>
      </c>
      <c r="P661" t="n">
        <v>0</v>
      </c>
      <c r="Q661" t="n">
        <v>0</v>
      </c>
      <c r="R661" s="2" t="inlineStr"/>
    </row>
    <row r="662" ht="15" customHeight="1">
      <c r="A662" t="inlineStr">
        <is>
          <t>A 20122-2021</t>
        </is>
      </c>
      <c r="B662" s="1" t="n">
        <v>44314</v>
      </c>
      <c r="C662" s="1" t="n">
        <v>45640</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21031-2021</t>
        </is>
      </c>
      <c r="B663" s="1" t="n">
        <v>44319</v>
      </c>
      <c r="C663" s="1" t="n">
        <v>45640</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21206-2021</t>
        </is>
      </c>
      <c r="B664" s="1" t="n">
        <v>44320</v>
      </c>
      <c r="C664" s="1" t="n">
        <v>45640</v>
      </c>
      <c r="D664" t="inlineStr">
        <is>
          <t>VÄRMLANDS LÄN</t>
        </is>
      </c>
      <c r="E664" t="inlineStr">
        <is>
          <t>TORSBY</t>
        </is>
      </c>
      <c r="G664" t="n">
        <v>2.6</v>
      </c>
      <c r="H664" t="n">
        <v>0</v>
      </c>
      <c r="I664" t="n">
        <v>0</v>
      </c>
      <c r="J664" t="n">
        <v>0</v>
      </c>
      <c r="K664" t="n">
        <v>0</v>
      </c>
      <c r="L664" t="n">
        <v>0</v>
      </c>
      <c r="M664" t="n">
        <v>0</v>
      </c>
      <c r="N664" t="n">
        <v>0</v>
      </c>
      <c r="O664" t="n">
        <v>0</v>
      </c>
      <c r="P664" t="n">
        <v>0</v>
      </c>
      <c r="Q664" t="n">
        <v>0</v>
      </c>
      <c r="R664" s="2" t="inlineStr"/>
    </row>
    <row r="665" ht="15" customHeight="1">
      <c r="A665" t="inlineStr">
        <is>
          <t>A 22038-2021</t>
        </is>
      </c>
      <c r="B665" s="1" t="n">
        <v>44323</v>
      </c>
      <c r="C665" s="1" t="n">
        <v>45640</v>
      </c>
      <c r="D665" t="inlineStr">
        <is>
          <t>VÄRMLANDS LÄN</t>
        </is>
      </c>
      <c r="E665" t="inlineStr">
        <is>
          <t>TORSBY</t>
        </is>
      </c>
      <c r="G665" t="n">
        <v>4</v>
      </c>
      <c r="H665" t="n">
        <v>0</v>
      </c>
      <c r="I665" t="n">
        <v>0</v>
      </c>
      <c r="J665" t="n">
        <v>0</v>
      </c>
      <c r="K665" t="n">
        <v>0</v>
      </c>
      <c r="L665" t="n">
        <v>0</v>
      </c>
      <c r="M665" t="n">
        <v>0</v>
      </c>
      <c r="N665" t="n">
        <v>0</v>
      </c>
      <c r="O665" t="n">
        <v>0</v>
      </c>
      <c r="P665" t="n">
        <v>0</v>
      </c>
      <c r="Q665" t="n">
        <v>0</v>
      </c>
      <c r="R665" s="2" t="inlineStr"/>
    </row>
    <row r="666" ht="15" customHeight="1">
      <c r="A666" t="inlineStr">
        <is>
          <t>A 22113-2021</t>
        </is>
      </c>
      <c r="B666" s="1" t="n">
        <v>44323</v>
      </c>
      <c r="C666" s="1" t="n">
        <v>45640</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22464-2021</t>
        </is>
      </c>
      <c r="B667" s="1" t="n">
        <v>44326</v>
      </c>
      <c r="C667" s="1" t="n">
        <v>45640</v>
      </c>
      <c r="D667" t="inlineStr">
        <is>
          <t>VÄRMLANDS LÄN</t>
        </is>
      </c>
      <c r="E667" t="inlineStr">
        <is>
          <t>TORSBY</t>
        </is>
      </c>
      <c r="G667" t="n">
        <v>6</v>
      </c>
      <c r="H667" t="n">
        <v>0</v>
      </c>
      <c r="I667" t="n">
        <v>0</v>
      </c>
      <c r="J667" t="n">
        <v>0</v>
      </c>
      <c r="K667" t="n">
        <v>0</v>
      </c>
      <c r="L667" t="n">
        <v>0</v>
      </c>
      <c r="M667" t="n">
        <v>0</v>
      </c>
      <c r="N667" t="n">
        <v>0</v>
      </c>
      <c r="O667" t="n">
        <v>0</v>
      </c>
      <c r="P667" t="n">
        <v>0</v>
      </c>
      <c r="Q667" t="n">
        <v>0</v>
      </c>
      <c r="R667" s="2" t="inlineStr"/>
    </row>
    <row r="668" ht="15" customHeight="1">
      <c r="A668" t="inlineStr">
        <is>
          <t>A 22463-2021</t>
        </is>
      </c>
      <c r="B668" s="1" t="n">
        <v>44326</v>
      </c>
      <c r="C668" s="1" t="n">
        <v>45640</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22671-2021</t>
        </is>
      </c>
      <c r="B669" s="1" t="n">
        <v>44327</v>
      </c>
      <c r="C669" s="1" t="n">
        <v>45640</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22638-2021</t>
        </is>
      </c>
      <c r="B670" s="1" t="n">
        <v>44327</v>
      </c>
      <c r="C670" s="1" t="n">
        <v>45640</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23191-2021</t>
        </is>
      </c>
      <c r="B671" s="1" t="n">
        <v>44328</v>
      </c>
      <c r="C671" s="1" t="n">
        <v>45640</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23194-2021</t>
        </is>
      </c>
      <c r="B672" s="1" t="n">
        <v>44328</v>
      </c>
      <c r="C672" s="1" t="n">
        <v>45640</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23435-2021</t>
        </is>
      </c>
      <c r="B673" s="1" t="n">
        <v>44333</v>
      </c>
      <c r="C673" s="1" t="n">
        <v>45640</v>
      </c>
      <c r="D673" t="inlineStr">
        <is>
          <t>VÄRMLANDS LÄN</t>
        </is>
      </c>
      <c r="E673" t="inlineStr">
        <is>
          <t>TORSBY</t>
        </is>
      </c>
      <c r="G673" t="n">
        <v>4.9</v>
      </c>
      <c r="H673" t="n">
        <v>0</v>
      </c>
      <c r="I673" t="n">
        <v>0</v>
      </c>
      <c r="J673" t="n">
        <v>0</v>
      </c>
      <c r="K673" t="n">
        <v>0</v>
      </c>
      <c r="L673" t="n">
        <v>0</v>
      </c>
      <c r="M673" t="n">
        <v>0</v>
      </c>
      <c r="N673" t="n">
        <v>0</v>
      </c>
      <c r="O673" t="n">
        <v>0</v>
      </c>
      <c r="P673" t="n">
        <v>0</v>
      </c>
      <c r="Q673" t="n">
        <v>0</v>
      </c>
      <c r="R673" s="2" t="inlineStr"/>
    </row>
    <row r="674" ht="15" customHeight="1">
      <c r="A674" t="inlineStr">
        <is>
          <t>A 23548-2021</t>
        </is>
      </c>
      <c r="B674" s="1" t="n">
        <v>44333</v>
      </c>
      <c r="C674" s="1" t="n">
        <v>45640</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23842-2021</t>
        </is>
      </c>
      <c r="B675" s="1" t="n">
        <v>44335</v>
      </c>
      <c r="C675" s="1" t="n">
        <v>45640</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23823-2021</t>
        </is>
      </c>
      <c r="B676" s="1" t="n">
        <v>44335</v>
      </c>
      <c r="C676" s="1" t="n">
        <v>45640</v>
      </c>
      <c r="D676" t="inlineStr">
        <is>
          <t>VÄRMLANDS LÄN</t>
        </is>
      </c>
      <c r="E676" t="inlineStr">
        <is>
          <t>TORSBY</t>
        </is>
      </c>
      <c r="G676" t="n">
        <v>3.1</v>
      </c>
      <c r="H676" t="n">
        <v>0</v>
      </c>
      <c r="I676" t="n">
        <v>0</v>
      </c>
      <c r="J676" t="n">
        <v>0</v>
      </c>
      <c r="K676" t="n">
        <v>0</v>
      </c>
      <c r="L676" t="n">
        <v>0</v>
      </c>
      <c r="M676" t="n">
        <v>0</v>
      </c>
      <c r="N676" t="n">
        <v>0</v>
      </c>
      <c r="O676" t="n">
        <v>0</v>
      </c>
      <c r="P676" t="n">
        <v>0</v>
      </c>
      <c r="Q676" t="n">
        <v>0</v>
      </c>
      <c r="R676" s="2" t="inlineStr"/>
    </row>
    <row r="677" ht="15" customHeight="1">
      <c r="A677" t="inlineStr">
        <is>
          <t>A 24054-2021</t>
        </is>
      </c>
      <c r="B677" s="1" t="n">
        <v>44336</v>
      </c>
      <c r="C677" s="1" t="n">
        <v>45640</v>
      </c>
      <c r="D677" t="inlineStr">
        <is>
          <t>VÄRMLANDS LÄN</t>
        </is>
      </c>
      <c r="E677" t="inlineStr">
        <is>
          <t>TORSBY</t>
        </is>
      </c>
      <c r="G677" t="n">
        <v>2.9</v>
      </c>
      <c r="H677" t="n">
        <v>0</v>
      </c>
      <c r="I677" t="n">
        <v>0</v>
      </c>
      <c r="J677" t="n">
        <v>0</v>
      </c>
      <c r="K677" t="n">
        <v>0</v>
      </c>
      <c r="L677" t="n">
        <v>0</v>
      </c>
      <c r="M677" t="n">
        <v>0</v>
      </c>
      <c r="N677" t="n">
        <v>0</v>
      </c>
      <c r="O677" t="n">
        <v>0</v>
      </c>
      <c r="P677" t="n">
        <v>0</v>
      </c>
      <c r="Q677" t="n">
        <v>0</v>
      </c>
      <c r="R677" s="2" t="inlineStr"/>
    </row>
    <row r="678" ht="15" customHeight="1">
      <c r="A678" t="inlineStr">
        <is>
          <t>A 24150-2021</t>
        </is>
      </c>
      <c r="B678" s="1" t="n">
        <v>44336</v>
      </c>
      <c r="C678" s="1" t="n">
        <v>45640</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24165-2021</t>
        </is>
      </c>
      <c r="B679" s="1" t="n">
        <v>44336</v>
      </c>
      <c r="C679" s="1" t="n">
        <v>45640</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25096-2021</t>
        </is>
      </c>
      <c r="B680" s="1" t="n">
        <v>44341</v>
      </c>
      <c r="C680" s="1" t="n">
        <v>45640</v>
      </c>
      <c r="D680" t="inlineStr">
        <is>
          <t>VÄRMLANDS LÄN</t>
        </is>
      </c>
      <c r="E680" t="inlineStr">
        <is>
          <t>TORSBY</t>
        </is>
      </c>
      <c r="F680" t="inlineStr">
        <is>
          <t>Bergvik skog väst AB</t>
        </is>
      </c>
      <c r="G680" t="n">
        <v>14.7</v>
      </c>
      <c r="H680" t="n">
        <v>0</v>
      </c>
      <c r="I680" t="n">
        <v>0</v>
      </c>
      <c r="J680" t="n">
        <v>0</v>
      </c>
      <c r="K680" t="n">
        <v>0</v>
      </c>
      <c r="L680" t="n">
        <v>0</v>
      </c>
      <c r="M680" t="n">
        <v>0</v>
      </c>
      <c r="N680" t="n">
        <v>0</v>
      </c>
      <c r="O680" t="n">
        <v>0</v>
      </c>
      <c r="P680" t="n">
        <v>0</v>
      </c>
      <c r="Q680" t="n">
        <v>0</v>
      </c>
      <c r="R680" s="2" t="inlineStr"/>
    </row>
    <row r="681" ht="15" customHeight="1">
      <c r="A681" t="inlineStr">
        <is>
          <t>A 25247-2021</t>
        </is>
      </c>
      <c r="B681" s="1" t="n">
        <v>44342</v>
      </c>
      <c r="C681" s="1" t="n">
        <v>45640</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25920-2021</t>
        </is>
      </c>
      <c r="B682" s="1" t="n">
        <v>44344</v>
      </c>
      <c r="C682" s="1" t="n">
        <v>45640</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26082-2021</t>
        </is>
      </c>
      <c r="B683" s="1" t="n">
        <v>44344</v>
      </c>
      <c r="C683" s="1" t="n">
        <v>45640</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26223-2021</t>
        </is>
      </c>
      <c r="B684" s="1" t="n">
        <v>44347</v>
      </c>
      <c r="C684" s="1" t="n">
        <v>45640</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26558-2021</t>
        </is>
      </c>
      <c r="B685" s="1" t="n">
        <v>44348</v>
      </c>
      <c r="C685" s="1" t="n">
        <v>45640</v>
      </c>
      <c r="D685" t="inlineStr">
        <is>
          <t>VÄRMLANDS LÄN</t>
        </is>
      </c>
      <c r="E685" t="inlineStr">
        <is>
          <t>TORSBY</t>
        </is>
      </c>
      <c r="G685" t="n">
        <v>19.7</v>
      </c>
      <c r="H685" t="n">
        <v>0</v>
      </c>
      <c r="I685" t="n">
        <v>0</v>
      </c>
      <c r="J685" t="n">
        <v>0</v>
      </c>
      <c r="K685" t="n">
        <v>0</v>
      </c>
      <c r="L685" t="n">
        <v>0</v>
      </c>
      <c r="M685" t="n">
        <v>0</v>
      </c>
      <c r="N685" t="n">
        <v>0</v>
      </c>
      <c r="O685" t="n">
        <v>0</v>
      </c>
      <c r="P685" t="n">
        <v>0</v>
      </c>
      <c r="Q685" t="n">
        <v>0</v>
      </c>
      <c r="R685" s="2" t="inlineStr"/>
    </row>
    <row r="686" ht="15" customHeight="1">
      <c r="A686" t="inlineStr">
        <is>
          <t>A 27446-2021</t>
        </is>
      </c>
      <c r="B686" s="1" t="n">
        <v>44351</v>
      </c>
      <c r="C686" s="1" t="n">
        <v>45640</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27411-2021</t>
        </is>
      </c>
      <c r="B687" s="1" t="n">
        <v>44351</v>
      </c>
      <c r="C687" s="1" t="n">
        <v>45640</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27362-2021</t>
        </is>
      </c>
      <c r="B688" s="1" t="n">
        <v>44351</v>
      </c>
      <c r="C688" s="1" t="n">
        <v>45640</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27932-2021</t>
        </is>
      </c>
      <c r="B689" s="1" t="n">
        <v>44354</v>
      </c>
      <c r="C689" s="1" t="n">
        <v>45640</v>
      </c>
      <c r="D689" t="inlineStr">
        <is>
          <t>VÄRMLANDS LÄN</t>
        </is>
      </c>
      <c r="E689" t="inlineStr">
        <is>
          <t>TORSBY</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28559-2021</t>
        </is>
      </c>
      <c r="B690" s="1" t="n">
        <v>44356</v>
      </c>
      <c r="C690" s="1" t="n">
        <v>45640</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28562-2021</t>
        </is>
      </c>
      <c r="B691" s="1" t="n">
        <v>44356</v>
      </c>
      <c r="C691" s="1" t="n">
        <v>45640</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28940-2021</t>
        </is>
      </c>
      <c r="B692" s="1" t="n">
        <v>44358</v>
      </c>
      <c r="C692" s="1" t="n">
        <v>45640</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29495-2021</t>
        </is>
      </c>
      <c r="B693" s="1" t="n">
        <v>44361</v>
      </c>
      <c r="C693" s="1" t="n">
        <v>45640</v>
      </c>
      <c r="D693" t="inlineStr">
        <is>
          <t>VÄRMLANDS LÄN</t>
        </is>
      </c>
      <c r="E693" t="inlineStr">
        <is>
          <t>TORSBY</t>
        </is>
      </c>
      <c r="F693" t="inlineStr">
        <is>
          <t>Övriga Aktiebolag</t>
        </is>
      </c>
      <c r="G693" t="n">
        <v>38.2</v>
      </c>
      <c r="H693" t="n">
        <v>0</v>
      </c>
      <c r="I693" t="n">
        <v>0</v>
      </c>
      <c r="J693" t="n">
        <v>0</v>
      </c>
      <c r="K693" t="n">
        <v>0</v>
      </c>
      <c r="L693" t="n">
        <v>0</v>
      </c>
      <c r="M693" t="n">
        <v>0</v>
      </c>
      <c r="N693" t="n">
        <v>0</v>
      </c>
      <c r="O693" t="n">
        <v>0</v>
      </c>
      <c r="P693" t="n">
        <v>0</v>
      </c>
      <c r="Q693" t="n">
        <v>0</v>
      </c>
      <c r="R693" s="2" t="inlineStr"/>
    </row>
    <row r="694" ht="15" customHeight="1">
      <c r="A694" t="inlineStr">
        <is>
          <t>A 29457-2021</t>
        </is>
      </c>
      <c r="B694" s="1" t="n">
        <v>44361</v>
      </c>
      <c r="C694" s="1" t="n">
        <v>45640</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29518-2021</t>
        </is>
      </c>
      <c r="B695" s="1" t="n">
        <v>44361</v>
      </c>
      <c r="C695" s="1" t="n">
        <v>45640</v>
      </c>
      <c r="D695" t="inlineStr">
        <is>
          <t>VÄRMLANDS LÄN</t>
        </is>
      </c>
      <c r="E695" t="inlineStr">
        <is>
          <t>TORSBY</t>
        </is>
      </c>
      <c r="F695" t="inlineStr">
        <is>
          <t>Bergvik skog väst AB</t>
        </is>
      </c>
      <c r="G695" t="n">
        <v>16.7</v>
      </c>
      <c r="H695" t="n">
        <v>0</v>
      </c>
      <c r="I695" t="n">
        <v>0</v>
      </c>
      <c r="J695" t="n">
        <v>0</v>
      </c>
      <c r="K695" t="n">
        <v>0</v>
      </c>
      <c r="L695" t="n">
        <v>0</v>
      </c>
      <c r="M695" t="n">
        <v>0</v>
      </c>
      <c r="N695" t="n">
        <v>0</v>
      </c>
      <c r="O695" t="n">
        <v>0</v>
      </c>
      <c r="P695" t="n">
        <v>0</v>
      </c>
      <c r="Q695" t="n">
        <v>0</v>
      </c>
      <c r="R695" s="2" t="inlineStr"/>
    </row>
    <row r="696" ht="15" customHeight="1">
      <c r="A696" t="inlineStr">
        <is>
          <t>A 29746-2021</t>
        </is>
      </c>
      <c r="B696" s="1" t="n">
        <v>44362</v>
      </c>
      <c r="C696" s="1" t="n">
        <v>45640</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30162-2021</t>
        </is>
      </c>
      <c r="B697" s="1" t="n">
        <v>44363</v>
      </c>
      <c r="C697" s="1" t="n">
        <v>45640</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30384-2021</t>
        </is>
      </c>
      <c r="B698" s="1" t="n">
        <v>44364</v>
      </c>
      <c r="C698" s="1" t="n">
        <v>45640</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30802-2021</t>
        </is>
      </c>
      <c r="B699" s="1" t="n">
        <v>44365</v>
      </c>
      <c r="C699" s="1" t="n">
        <v>45640</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31494-2021</t>
        </is>
      </c>
      <c r="B700" s="1" t="n">
        <v>44369</v>
      </c>
      <c r="C700" s="1" t="n">
        <v>45640</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31493-2021</t>
        </is>
      </c>
      <c r="B701" s="1" t="n">
        <v>44369</v>
      </c>
      <c r="C701" s="1" t="n">
        <v>45640</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31511-2021</t>
        </is>
      </c>
      <c r="B702" s="1" t="n">
        <v>44369</v>
      </c>
      <c r="C702" s="1" t="n">
        <v>45640</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31894-2021</t>
        </is>
      </c>
      <c r="B703" s="1" t="n">
        <v>44370</v>
      </c>
      <c r="C703" s="1" t="n">
        <v>45640</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31911-2021</t>
        </is>
      </c>
      <c r="B704" s="1" t="n">
        <v>44370</v>
      </c>
      <c r="C704" s="1" t="n">
        <v>45640</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32696-2021</t>
        </is>
      </c>
      <c r="B705" s="1" t="n">
        <v>44375</v>
      </c>
      <c r="C705" s="1" t="n">
        <v>45640</v>
      </c>
      <c r="D705" t="inlineStr">
        <is>
          <t>VÄRMLANDS LÄN</t>
        </is>
      </c>
      <c r="E705" t="inlineStr">
        <is>
          <t>TORSBY</t>
        </is>
      </c>
      <c r="F705" t="inlineStr">
        <is>
          <t>Bergvik skog väst AB</t>
        </is>
      </c>
      <c r="G705" t="n">
        <v>14.8</v>
      </c>
      <c r="H705" t="n">
        <v>0</v>
      </c>
      <c r="I705" t="n">
        <v>0</v>
      </c>
      <c r="J705" t="n">
        <v>0</v>
      </c>
      <c r="K705" t="n">
        <v>0</v>
      </c>
      <c r="L705" t="n">
        <v>0</v>
      </c>
      <c r="M705" t="n">
        <v>0</v>
      </c>
      <c r="N705" t="n">
        <v>0</v>
      </c>
      <c r="O705" t="n">
        <v>0</v>
      </c>
      <c r="P705" t="n">
        <v>0</v>
      </c>
      <c r="Q705" t="n">
        <v>0</v>
      </c>
      <c r="R705" s="2" t="inlineStr"/>
    </row>
    <row r="706" ht="15" customHeight="1">
      <c r="A706" t="inlineStr">
        <is>
          <t>A 32821-2021</t>
        </is>
      </c>
      <c r="B706" s="1" t="n">
        <v>44375</v>
      </c>
      <c r="C706" s="1" t="n">
        <v>45640</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32747-2021</t>
        </is>
      </c>
      <c r="B707" s="1" t="n">
        <v>44375</v>
      </c>
      <c r="C707" s="1" t="n">
        <v>45640</v>
      </c>
      <c r="D707" t="inlineStr">
        <is>
          <t>VÄRMLANDS LÄN</t>
        </is>
      </c>
      <c r="E707" t="inlineStr">
        <is>
          <t>TORSBY</t>
        </is>
      </c>
      <c r="G707" t="n">
        <v>6.3</v>
      </c>
      <c r="H707" t="n">
        <v>0</v>
      </c>
      <c r="I707" t="n">
        <v>0</v>
      </c>
      <c r="J707" t="n">
        <v>0</v>
      </c>
      <c r="K707" t="n">
        <v>0</v>
      </c>
      <c r="L707" t="n">
        <v>0</v>
      </c>
      <c r="M707" t="n">
        <v>0</v>
      </c>
      <c r="N707" t="n">
        <v>0</v>
      </c>
      <c r="O707" t="n">
        <v>0</v>
      </c>
      <c r="P707" t="n">
        <v>0</v>
      </c>
      <c r="Q707" t="n">
        <v>0</v>
      </c>
      <c r="R707" s="2" t="inlineStr"/>
    </row>
    <row r="708" ht="15" customHeight="1">
      <c r="A708" t="inlineStr">
        <is>
          <t>A 33146-2021</t>
        </is>
      </c>
      <c r="B708" s="1" t="n">
        <v>44376</v>
      </c>
      <c r="C708" s="1" t="n">
        <v>45640</v>
      </c>
      <c r="D708" t="inlineStr">
        <is>
          <t>VÄRMLANDS LÄN</t>
        </is>
      </c>
      <c r="E708" t="inlineStr">
        <is>
          <t>TORSBY</t>
        </is>
      </c>
      <c r="F708" t="inlineStr">
        <is>
          <t>Bergvik skog väst AB</t>
        </is>
      </c>
      <c r="G708" t="n">
        <v>44.5</v>
      </c>
      <c r="H708" t="n">
        <v>0</v>
      </c>
      <c r="I708" t="n">
        <v>0</v>
      </c>
      <c r="J708" t="n">
        <v>0</v>
      </c>
      <c r="K708" t="n">
        <v>0</v>
      </c>
      <c r="L708" t="n">
        <v>0</v>
      </c>
      <c r="M708" t="n">
        <v>0</v>
      </c>
      <c r="N708" t="n">
        <v>0</v>
      </c>
      <c r="O708" t="n">
        <v>0</v>
      </c>
      <c r="P708" t="n">
        <v>0</v>
      </c>
      <c r="Q708" t="n">
        <v>0</v>
      </c>
      <c r="R708" s="2" t="inlineStr"/>
    </row>
    <row r="709" ht="15" customHeight="1">
      <c r="A709" t="inlineStr">
        <is>
          <t>A 33182-2021</t>
        </is>
      </c>
      <c r="B709" s="1" t="n">
        <v>44376</v>
      </c>
      <c r="C709" s="1" t="n">
        <v>45640</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33145-2021</t>
        </is>
      </c>
      <c r="B710" s="1" t="n">
        <v>44376</v>
      </c>
      <c r="C710" s="1" t="n">
        <v>45640</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33149-2021</t>
        </is>
      </c>
      <c r="B711" s="1" t="n">
        <v>44376</v>
      </c>
      <c r="C711" s="1" t="n">
        <v>45640</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33183-2021</t>
        </is>
      </c>
      <c r="B712" s="1" t="n">
        <v>44376</v>
      </c>
      <c r="C712" s="1" t="n">
        <v>45640</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33517-2021</t>
        </is>
      </c>
      <c r="B713" s="1" t="n">
        <v>44377</v>
      </c>
      <c r="C713" s="1" t="n">
        <v>45640</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33515-2021</t>
        </is>
      </c>
      <c r="B714" s="1" t="n">
        <v>44377</v>
      </c>
      <c r="C714" s="1" t="n">
        <v>45640</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33839-2021</t>
        </is>
      </c>
      <c r="B715" s="1" t="n">
        <v>44378</v>
      </c>
      <c r="C715" s="1" t="n">
        <v>45640</v>
      </c>
      <c r="D715" t="inlineStr">
        <is>
          <t>VÄRMLANDS LÄN</t>
        </is>
      </c>
      <c r="E715" t="inlineStr">
        <is>
          <t>TORSBY</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33853-2021</t>
        </is>
      </c>
      <c r="B716" s="1" t="n">
        <v>44378</v>
      </c>
      <c r="C716" s="1" t="n">
        <v>45640</v>
      </c>
      <c r="D716" t="inlineStr">
        <is>
          <t>VÄRMLANDS LÄN</t>
        </is>
      </c>
      <c r="E716" t="inlineStr">
        <is>
          <t>TORSBY</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33937-2021</t>
        </is>
      </c>
      <c r="B717" s="1" t="n">
        <v>44378</v>
      </c>
      <c r="C717" s="1" t="n">
        <v>45640</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34626-2021</t>
        </is>
      </c>
      <c r="B718" s="1" t="n">
        <v>44382</v>
      </c>
      <c r="C718" s="1" t="n">
        <v>45640</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34694-2021</t>
        </is>
      </c>
      <c r="B719" s="1" t="n">
        <v>44382</v>
      </c>
      <c r="C719" s="1" t="n">
        <v>45640</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34885-2021</t>
        </is>
      </c>
      <c r="B720" s="1" t="n">
        <v>44383</v>
      </c>
      <c r="C720" s="1" t="n">
        <v>45640</v>
      </c>
      <c r="D720" t="inlineStr">
        <is>
          <t>VÄRMLANDS LÄN</t>
        </is>
      </c>
      <c r="E720" t="inlineStr">
        <is>
          <t>TORSBY</t>
        </is>
      </c>
      <c r="G720" t="n">
        <v>8.9</v>
      </c>
      <c r="H720" t="n">
        <v>0</v>
      </c>
      <c r="I720" t="n">
        <v>0</v>
      </c>
      <c r="J720" t="n">
        <v>0</v>
      </c>
      <c r="K720" t="n">
        <v>0</v>
      </c>
      <c r="L720" t="n">
        <v>0</v>
      </c>
      <c r="M720" t="n">
        <v>0</v>
      </c>
      <c r="N720" t="n">
        <v>0</v>
      </c>
      <c r="O720" t="n">
        <v>0</v>
      </c>
      <c r="P720" t="n">
        <v>0</v>
      </c>
      <c r="Q720" t="n">
        <v>0</v>
      </c>
      <c r="R720" s="2" t="inlineStr"/>
    </row>
    <row r="721" ht="15" customHeight="1">
      <c r="A721" t="inlineStr">
        <is>
          <t>A 35221-2021</t>
        </is>
      </c>
      <c r="B721" s="1" t="n">
        <v>44384</v>
      </c>
      <c r="C721" s="1" t="n">
        <v>45640</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35586-2021</t>
        </is>
      </c>
      <c r="B722" s="1" t="n">
        <v>44386</v>
      </c>
      <c r="C722" s="1" t="n">
        <v>45640</v>
      </c>
      <c r="D722" t="inlineStr">
        <is>
          <t>VÄRMLANDS LÄN</t>
        </is>
      </c>
      <c r="E722" t="inlineStr">
        <is>
          <t>TORSBY</t>
        </is>
      </c>
      <c r="F722" t="inlineStr">
        <is>
          <t>Bergvik skog väst AB</t>
        </is>
      </c>
      <c r="G722" t="n">
        <v>5.1</v>
      </c>
      <c r="H722" t="n">
        <v>0</v>
      </c>
      <c r="I722" t="n">
        <v>0</v>
      </c>
      <c r="J722" t="n">
        <v>0</v>
      </c>
      <c r="K722" t="n">
        <v>0</v>
      </c>
      <c r="L722" t="n">
        <v>0</v>
      </c>
      <c r="M722" t="n">
        <v>0</v>
      </c>
      <c r="N722" t="n">
        <v>0</v>
      </c>
      <c r="O722" t="n">
        <v>0</v>
      </c>
      <c r="P722" t="n">
        <v>0</v>
      </c>
      <c r="Q722" t="n">
        <v>0</v>
      </c>
      <c r="R722" s="2" t="inlineStr"/>
    </row>
    <row r="723" ht="15" customHeight="1">
      <c r="A723" t="inlineStr">
        <is>
          <t>A 35907-2021</t>
        </is>
      </c>
      <c r="B723" s="1" t="n">
        <v>44387</v>
      </c>
      <c r="C723" s="1" t="n">
        <v>45640</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35909-2021</t>
        </is>
      </c>
      <c r="B724" s="1" t="n">
        <v>44387</v>
      </c>
      <c r="C724" s="1" t="n">
        <v>45640</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36189-2021</t>
        </is>
      </c>
      <c r="B725" s="1" t="n">
        <v>44389</v>
      </c>
      <c r="C725" s="1" t="n">
        <v>45640</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36186-2021</t>
        </is>
      </c>
      <c r="B726" s="1" t="n">
        <v>44389</v>
      </c>
      <c r="C726" s="1" t="n">
        <v>45640</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36327-2021</t>
        </is>
      </c>
      <c r="B727" s="1" t="n">
        <v>44390</v>
      </c>
      <c r="C727" s="1" t="n">
        <v>45640</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36589-2021</t>
        </is>
      </c>
      <c r="B728" s="1" t="n">
        <v>44391</v>
      </c>
      <c r="C728" s="1" t="n">
        <v>45640</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36700-2021</t>
        </is>
      </c>
      <c r="B729" s="1" t="n">
        <v>44392</v>
      </c>
      <c r="C729" s="1" t="n">
        <v>45640</v>
      </c>
      <c r="D729" t="inlineStr">
        <is>
          <t>VÄRMLANDS LÄN</t>
        </is>
      </c>
      <c r="E729" t="inlineStr">
        <is>
          <t>TORSBY</t>
        </is>
      </c>
      <c r="F729" t="inlineStr">
        <is>
          <t>Bergvik skog väst AB</t>
        </is>
      </c>
      <c r="G729" t="n">
        <v>9.9</v>
      </c>
      <c r="H729" t="n">
        <v>0</v>
      </c>
      <c r="I729" t="n">
        <v>0</v>
      </c>
      <c r="J729" t="n">
        <v>0</v>
      </c>
      <c r="K729" t="n">
        <v>0</v>
      </c>
      <c r="L729" t="n">
        <v>0</v>
      </c>
      <c r="M729" t="n">
        <v>0</v>
      </c>
      <c r="N729" t="n">
        <v>0</v>
      </c>
      <c r="O729" t="n">
        <v>0</v>
      </c>
      <c r="P729" t="n">
        <v>0</v>
      </c>
      <c r="Q729" t="n">
        <v>0</v>
      </c>
      <c r="R729" s="2" t="inlineStr"/>
    </row>
    <row r="730" ht="15" customHeight="1">
      <c r="A730" t="inlineStr">
        <is>
          <t>A 37074-2021</t>
        </is>
      </c>
      <c r="B730" s="1" t="n">
        <v>44394</v>
      </c>
      <c r="C730" s="1" t="n">
        <v>45640</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37075-2021</t>
        </is>
      </c>
      <c r="B731" s="1" t="n">
        <v>44394</v>
      </c>
      <c r="C731" s="1" t="n">
        <v>45640</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37225-2021</t>
        </is>
      </c>
      <c r="B732" s="1" t="n">
        <v>44396</v>
      </c>
      <c r="C732" s="1" t="n">
        <v>45640</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37609-2021</t>
        </is>
      </c>
      <c r="B733" s="1" t="n">
        <v>44399</v>
      </c>
      <c r="C733" s="1" t="n">
        <v>45640</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37608-2021</t>
        </is>
      </c>
      <c r="B734" s="1" t="n">
        <v>44399</v>
      </c>
      <c r="C734" s="1" t="n">
        <v>45640</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38467-2021</t>
        </is>
      </c>
      <c r="B735" s="1" t="n">
        <v>44405</v>
      </c>
      <c r="C735" s="1" t="n">
        <v>45640</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38229-2021</t>
        </is>
      </c>
      <c r="B736" s="1" t="n">
        <v>44405</v>
      </c>
      <c r="C736" s="1" t="n">
        <v>45640</v>
      </c>
      <c r="D736" t="inlineStr">
        <is>
          <t>VÄRMLANDS LÄN</t>
        </is>
      </c>
      <c r="E736" t="inlineStr">
        <is>
          <t>TORSBY</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38298-2021</t>
        </is>
      </c>
      <c r="B737" s="1" t="n">
        <v>44406</v>
      </c>
      <c r="C737" s="1" t="n">
        <v>45640</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38564-2021</t>
        </is>
      </c>
      <c r="B738" s="1" t="n">
        <v>44407</v>
      </c>
      <c r="C738" s="1" t="n">
        <v>45640</v>
      </c>
      <c r="D738" t="inlineStr">
        <is>
          <t>VÄRMLANDS LÄN</t>
        </is>
      </c>
      <c r="E738" t="inlineStr">
        <is>
          <t>TORSBY</t>
        </is>
      </c>
      <c r="F738" t="inlineStr">
        <is>
          <t>Bergvik skog väst AB</t>
        </is>
      </c>
      <c r="G738" t="n">
        <v>15.7</v>
      </c>
      <c r="H738" t="n">
        <v>0</v>
      </c>
      <c r="I738" t="n">
        <v>0</v>
      </c>
      <c r="J738" t="n">
        <v>0</v>
      </c>
      <c r="K738" t="n">
        <v>0</v>
      </c>
      <c r="L738" t="n">
        <v>0</v>
      </c>
      <c r="M738" t="n">
        <v>0</v>
      </c>
      <c r="N738" t="n">
        <v>0</v>
      </c>
      <c r="O738" t="n">
        <v>0</v>
      </c>
      <c r="P738" t="n">
        <v>0</v>
      </c>
      <c r="Q738" t="n">
        <v>0</v>
      </c>
      <c r="R738" s="2" t="inlineStr"/>
    </row>
    <row r="739" ht="15" customHeight="1">
      <c r="A739" t="inlineStr">
        <is>
          <t>A 38528-2021</t>
        </is>
      </c>
      <c r="B739" s="1" t="n">
        <v>44407</v>
      </c>
      <c r="C739" s="1" t="n">
        <v>45640</v>
      </c>
      <c r="D739" t="inlineStr">
        <is>
          <t>VÄRMLANDS LÄN</t>
        </is>
      </c>
      <c r="E739" t="inlineStr">
        <is>
          <t>TORSBY</t>
        </is>
      </c>
      <c r="F739" t="inlineStr">
        <is>
          <t>Bergvik skog väst AB</t>
        </is>
      </c>
      <c r="G739" t="n">
        <v>12.5</v>
      </c>
      <c r="H739" t="n">
        <v>0</v>
      </c>
      <c r="I739" t="n">
        <v>0</v>
      </c>
      <c r="J739" t="n">
        <v>0</v>
      </c>
      <c r="K739" t="n">
        <v>0</v>
      </c>
      <c r="L739" t="n">
        <v>0</v>
      </c>
      <c r="M739" t="n">
        <v>0</v>
      </c>
      <c r="N739" t="n">
        <v>0</v>
      </c>
      <c r="O739" t="n">
        <v>0</v>
      </c>
      <c r="P739" t="n">
        <v>0</v>
      </c>
      <c r="Q739" t="n">
        <v>0</v>
      </c>
      <c r="R739" s="2" t="inlineStr"/>
    </row>
    <row r="740" ht="15" customHeight="1">
      <c r="A740" t="inlineStr">
        <is>
          <t>A 38767-2021</t>
        </is>
      </c>
      <c r="B740" s="1" t="n">
        <v>44410</v>
      </c>
      <c r="C740" s="1" t="n">
        <v>45640</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38841-2021</t>
        </is>
      </c>
      <c r="B741" s="1" t="n">
        <v>44411</v>
      </c>
      <c r="C741" s="1" t="n">
        <v>45640</v>
      </c>
      <c r="D741" t="inlineStr">
        <is>
          <t>VÄRMLANDS LÄN</t>
        </is>
      </c>
      <c r="E741" t="inlineStr">
        <is>
          <t>TORSBY</t>
        </is>
      </c>
      <c r="F741" t="inlineStr">
        <is>
          <t>Bergvik skog väst AB</t>
        </is>
      </c>
      <c r="G741" t="n">
        <v>13.8</v>
      </c>
      <c r="H741" t="n">
        <v>0</v>
      </c>
      <c r="I741" t="n">
        <v>0</v>
      </c>
      <c r="J741" t="n">
        <v>0</v>
      </c>
      <c r="K741" t="n">
        <v>0</v>
      </c>
      <c r="L741" t="n">
        <v>0</v>
      </c>
      <c r="M741" t="n">
        <v>0</v>
      </c>
      <c r="N741" t="n">
        <v>0</v>
      </c>
      <c r="O741" t="n">
        <v>0</v>
      </c>
      <c r="P741" t="n">
        <v>0</v>
      </c>
      <c r="Q741" t="n">
        <v>0</v>
      </c>
      <c r="R741" s="2" t="inlineStr"/>
    </row>
    <row r="742" ht="15" customHeight="1">
      <c r="A742" t="inlineStr">
        <is>
          <t>A 39003-2021</t>
        </is>
      </c>
      <c r="B742" s="1" t="n">
        <v>44412</v>
      </c>
      <c r="C742" s="1" t="n">
        <v>45640</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39260-2021</t>
        </is>
      </c>
      <c r="B743" s="1" t="n">
        <v>44413</v>
      </c>
      <c r="C743" s="1" t="n">
        <v>45640</v>
      </c>
      <c r="D743" t="inlineStr">
        <is>
          <t>VÄRMLANDS LÄN</t>
        </is>
      </c>
      <c r="E743" t="inlineStr">
        <is>
          <t>TORSBY</t>
        </is>
      </c>
      <c r="G743" t="n">
        <v>4.7</v>
      </c>
      <c r="H743" t="n">
        <v>0</v>
      </c>
      <c r="I743" t="n">
        <v>0</v>
      </c>
      <c r="J743" t="n">
        <v>0</v>
      </c>
      <c r="K743" t="n">
        <v>0</v>
      </c>
      <c r="L743" t="n">
        <v>0</v>
      </c>
      <c r="M743" t="n">
        <v>0</v>
      </c>
      <c r="N743" t="n">
        <v>0</v>
      </c>
      <c r="O743" t="n">
        <v>0</v>
      </c>
      <c r="P743" t="n">
        <v>0</v>
      </c>
      <c r="Q743" t="n">
        <v>0</v>
      </c>
      <c r="R743" s="2" t="inlineStr"/>
    </row>
    <row r="744" ht="15" customHeight="1">
      <c r="A744" t="inlineStr">
        <is>
          <t>A 39642-2021</t>
        </is>
      </c>
      <c r="B744" s="1" t="n">
        <v>44417</v>
      </c>
      <c r="C744" s="1" t="n">
        <v>45640</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39826-2021</t>
        </is>
      </c>
      <c r="B745" s="1" t="n">
        <v>44417</v>
      </c>
      <c r="C745" s="1" t="n">
        <v>45640</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39967-2021</t>
        </is>
      </c>
      <c r="B746" s="1" t="n">
        <v>44418</v>
      </c>
      <c r="C746" s="1" t="n">
        <v>45640</v>
      </c>
      <c r="D746" t="inlineStr">
        <is>
          <t>VÄRMLANDS LÄN</t>
        </is>
      </c>
      <c r="E746" t="inlineStr">
        <is>
          <t>TORSBY</t>
        </is>
      </c>
      <c r="F746" t="inlineStr">
        <is>
          <t>Bergvik skog väst AB</t>
        </is>
      </c>
      <c r="G746" t="n">
        <v>11.8</v>
      </c>
      <c r="H746" t="n">
        <v>0</v>
      </c>
      <c r="I746" t="n">
        <v>0</v>
      </c>
      <c r="J746" t="n">
        <v>0</v>
      </c>
      <c r="K746" t="n">
        <v>0</v>
      </c>
      <c r="L746" t="n">
        <v>0</v>
      </c>
      <c r="M746" t="n">
        <v>0</v>
      </c>
      <c r="N746" t="n">
        <v>0</v>
      </c>
      <c r="O746" t="n">
        <v>0</v>
      </c>
      <c r="P746" t="n">
        <v>0</v>
      </c>
      <c r="Q746" t="n">
        <v>0</v>
      </c>
      <c r="R746" s="2" t="inlineStr"/>
    </row>
    <row r="747" ht="15" customHeight="1">
      <c r="A747" t="inlineStr">
        <is>
          <t>A 40281-2021</t>
        </is>
      </c>
      <c r="B747" s="1" t="n">
        <v>44419</v>
      </c>
      <c r="C747" s="1" t="n">
        <v>45640</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40276-2021</t>
        </is>
      </c>
      <c r="B748" s="1" t="n">
        <v>44419</v>
      </c>
      <c r="C748" s="1" t="n">
        <v>45640</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40278-2021</t>
        </is>
      </c>
      <c r="B749" s="1" t="n">
        <v>44419</v>
      </c>
      <c r="C749" s="1" t="n">
        <v>45640</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40282-2021</t>
        </is>
      </c>
      <c r="B750" s="1" t="n">
        <v>44419</v>
      </c>
      <c r="C750" s="1" t="n">
        <v>45640</v>
      </c>
      <c r="D750" t="inlineStr">
        <is>
          <t>VÄRMLANDS LÄN</t>
        </is>
      </c>
      <c r="E750" t="inlineStr">
        <is>
          <t>TORSBY</t>
        </is>
      </c>
      <c r="G750" t="n">
        <v>3.1</v>
      </c>
      <c r="H750" t="n">
        <v>0</v>
      </c>
      <c r="I750" t="n">
        <v>0</v>
      </c>
      <c r="J750" t="n">
        <v>0</v>
      </c>
      <c r="K750" t="n">
        <v>0</v>
      </c>
      <c r="L750" t="n">
        <v>0</v>
      </c>
      <c r="M750" t="n">
        <v>0</v>
      </c>
      <c r="N750" t="n">
        <v>0</v>
      </c>
      <c r="O750" t="n">
        <v>0</v>
      </c>
      <c r="P750" t="n">
        <v>0</v>
      </c>
      <c r="Q750" t="n">
        <v>0</v>
      </c>
      <c r="R750" s="2" t="inlineStr"/>
    </row>
    <row r="751" ht="15" customHeight="1">
      <c r="A751" t="inlineStr">
        <is>
          <t>A 40590-2021</t>
        </is>
      </c>
      <c r="B751" s="1" t="n">
        <v>44420</v>
      </c>
      <c r="C751" s="1" t="n">
        <v>45640</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40876-2021</t>
        </is>
      </c>
      <c r="B752" s="1" t="n">
        <v>44421</v>
      </c>
      <c r="C752" s="1" t="n">
        <v>45640</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41253-2021</t>
        </is>
      </c>
      <c r="B753" s="1" t="n">
        <v>44424</v>
      </c>
      <c r="C753" s="1" t="n">
        <v>45640</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41377-2021</t>
        </is>
      </c>
      <c r="B754" s="1" t="n">
        <v>44424</v>
      </c>
      <c r="C754" s="1" t="n">
        <v>45640</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41633-2021</t>
        </is>
      </c>
      <c r="B755" s="1" t="n">
        <v>44425</v>
      </c>
      <c r="C755" s="1" t="n">
        <v>45640</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41671-2021</t>
        </is>
      </c>
      <c r="B756" s="1" t="n">
        <v>44425</v>
      </c>
      <c r="C756" s="1" t="n">
        <v>45640</v>
      </c>
      <c r="D756" t="inlineStr">
        <is>
          <t>VÄRMLANDS LÄN</t>
        </is>
      </c>
      <c r="E756" t="inlineStr">
        <is>
          <t>TORSBY</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41678-2021</t>
        </is>
      </c>
      <c r="B757" s="1" t="n">
        <v>44425</v>
      </c>
      <c r="C757" s="1" t="n">
        <v>45640</v>
      </c>
      <c r="D757" t="inlineStr">
        <is>
          <t>VÄRMLANDS LÄN</t>
        </is>
      </c>
      <c r="E757" t="inlineStr">
        <is>
          <t>TORSBY</t>
        </is>
      </c>
      <c r="G757" t="n">
        <v>4.3</v>
      </c>
      <c r="H757" t="n">
        <v>0</v>
      </c>
      <c r="I757" t="n">
        <v>0</v>
      </c>
      <c r="J757" t="n">
        <v>0</v>
      </c>
      <c r="K757" t="n">
        <v>0</v>
      </c>
      <c r="L757" t="n">
        <v>0</v>
      </c>
      <c r="M757" t="n">
        <v>0</v>
      </c>
      <c r="N757" t="n">
        <v>0</v>
      </c>
      <c r="O757" t="n">
        <v>0</v>
      </c>
      <c r="P757" t="n">
        <v>0</v>
      </c>
      <c r="Q757" t="n">
        <v>0</v>
      </c>
      <c r="R757" s="2" t="inlineStr"/>
    </row>
    <row r="758" ht="15" customHeight="1">
      <c r="A758" t="inlineStr">
        <is>
          <t>A 41808-2021</t>
        </is>
      </c>
      <c r="B758" s="1" t="n">
        <v>44425</v>
      </c>
      <c r="C758" s="1" t="n">
        <v>45640</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42347-2021</t>
        </is>
      </c>
      <c r="B759" s="1" t="n">
        <v>44427</v>
      </c>
      <c r="C759" s="1" t="n">
        <v>45640</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42615-2021</t>
        </is>
      </c>
      <c r="B760" s="1" t="n">
        <v>44428</v>
      </c>
      <c r="C760" s="1" t="n">
        <v>45640</v>
      </c>
      <c r="D760" t="inlineStr">
        <is>
          <t>VÄRMLANDS LÄN</t>
        </is>
      </c>
      <c r="E760" t="inlineStr">
        <is>
          <t>TORSBY</t>
        </is>
      </c>
      <c r="F760" t="inlineStr">
        <is>
          <t>Bergvik skog väst AB</t>
        </is>
      </c>
      <c r="G760" t="n">
        <v>37.2</v>
      </c>
      <c r="H760" t="n">
        <v>0</v>
      </c>
      <c r="I760" t="n">
        <v>0</v>
      </c>
      <c r="J760" t="n">
        <v>0</v>
      </c>
      <c r="K760" t="n">
        <v>0</v>
      </c>
      <c r="L760" t="n">
        <v>0</v>
      </c>
      <c r="M760" t="n">
        <v>0</v>
      </c>
      <c r="N760" t="n">
        <v>0</v>
      </c>
      <c r="O760" t="n">
        <v>0</v>
      </c>
      <c r="P760" t="n">
        <v>0</v>
      </c>
      <c r="Q760" t="n">
        <v>0</v>
      </c>
      <c r="R760" s="2" t="inlineStr"/>
    </row>
    <row r="761" ht="15" customHeight="1">
      <c r="A761" t="inlineStr">
        <is>
          <t>A 42646-2021</t>
        </is>
      </c>
      <c r="B761" s="1" t="n">
        <v>44428</v>
      </c>
      <c r="C761" s="1" t="n">
        <v>45640</v>
      </c>
      <c r="D761" t="inlineStr">
        <is>
          <t>VÄRMLANDS LÄN</t>
        </is>
      </c>
      <c r="E761" t="inlineStr">
        <is>
          <t>TORSBY</t>
        </is>
      </c>
      <c r="F761" t="inlineStr">
        <is>
          <t>Bergvik skog väst AB</t>
        </is>
      </c>
      <c r="G761" t="n">
        <v>21.4</v>
      </c>
      <c r="H761" t="n">
        <v>0</v>
      </c>
      <c r="I761" t="n">
        <v>0</v>
      </c>
      <c r="J761" t="n">
        <v>0</v>
      </c>
      <c r="K761" t="n">
        <v>0</v>
      </c>
      <c r="L761" t="n">
        <v>0</v>
      </c>
      <c r="M761" t="n">
        <v>0</v>
      </c>
      <c r="N761" t="n">
        <v>0</v>
      </c>
      <c r="O761" t="n">
        <v>0</v>
      </c>
      <c r="P761" t="n">
        <v>0</v>
      </c>
      <c r="Q761" t="n">
        <v>0</v>
      </c>
      <c r="R761" s="2" t="inlineStr"/>
    </row>
    <row r="762" ht="15" customHeight="1">
      <c r="A762" t="inlineStr">
        <is>
          <t>A 43052-2021</t>
        </is>
      </c>
      <c r="B762" s="1" t="n">
        <v>44431</v>
      </c>
      <c r="C762" s="1" t="n">
        <v>45640</v>
      </c>
      <c r="D762" t="inlineStr">
        <is>
          <t>VÄRMLANDS LÄN</t>
        </is>
      </c>
      <c r="E762" t="inlineStr">
        <is>
          <t>TORSBY</t>
        </is>
      </c>
      <c r="G762" t="n">
        <v>25.1</v>
      </c>
      <c r="H762" t="n">
        <v>0</v>
      </c>
      <c r="I762" t="n">
        <v>0</v>
      </c>
      <c r="J762" t="n">
        <v>0</v>
      </c>
      <c r="K762" t="n">
        <v>0</v>
      </c>
      <c r="L762" t="n">
        <v>0</v>
      </c>
      <c r="M762" t="n">
        <v>0</v>
      </c>
      <c r="N762" t="n">
        <v>0</v>
      </c>
      <c r="O762" t="n">
        <v>0</v>
      </c>
      <c r="P762" t="n">
        <v>0</v>
      </c>
      <c r="Q762" t="n">
        <v>0</v>
      </c>
      <c r="R762" s="2" t="inlineStr"/>
    </row>
    <row r="763" ht="15" customHeight="1">
      <c r="A763" t="inlineStr">
        <is>
          <t>A 43060-2021</t>
        </is>
      </c>
      <c r="B763" s="1" t="n">
        <v>44431</v>
      </c>
      <c r="C763" s="1" t="n">
        <v>45640</v>
      </c>
      <c r="D763" t="inlineStr">
        <is>
          <t>VÄRMLANDS LÄN</t>
        </is>
      </c>
      <c r="E763" t="inlineStr">
        <is>
          <t>TORSBY</t>
        </is>
      </c>
      <c r="G763" t="n">
        <v>3.2</v>
      </c>
      <c r="H763" t="n">
        <v>0</v>
      </c>
      <c r="I763" t="n">
        <v>0</v>
      </c>
      <c r="J763" t="n">
        <v>0</v>
      </c>
      <c r="K763" t="n">
        <v>0</v>
      </c>
      <c r="L763" t="n">
        <v>0</v>
      </c>
      <c r="M763" t="n">
        <v>0</v>
      </c>
      <c r="N763" t="n">
        <v>0</v>
      </c>
      <c r="O763" t="n">
        <v>0</v>
      </c>
      <c r="P763" t="n">
        <v>0</v>
      </c>
      <c r="Q763" t="n">
        <v>0</v>
      </c>
      <c r="R763" s="2" t="inlineStr"/>
    </row>
    <row r="764" ht="15" customHeight="1">
      <c r="A764" t="inlineStr">
        <is>
          <t>A 43128-2021</t>
        </is>
      </c>
      <c r="B764" s="1" t="n">
        <v>44431</v>
      </c>
      <c r="C764" s="1" t="n">
        <v>45640</v>
      </c>
      <c r="D764" t="inlineStr">
        <is>
          <t>VÄRMLANDS LÄN</t>
        </is>
      </c>
      <c r="E764" t="inlineStr">
        <is>
          <t>TORSBY</t>
        </is>
      </c>
      <c r="G764" t="n">
        <v>10.9</v>
      </c>
      <c r="H764" t="n">
        <v>0</v>
      </c>
      <c r="I764" t="n">
        <v>0</v>
      </c>
      <c r="J764" t="n">
        <v>0</v>
      </c>
      <c r="K764" t="n">
        <v>0</v>
      </c>
      <c r="L764" t="n">
        <v>0</v>
      </c>
      <c r="M764" t="n">
        <v>0</v>
      </c>
      <c r="N764" t="n">
        <v>0</v>
      </c>
      <c r="O764" t="n">
        <v>0</v>
      </c>
      <c r="P764" t="n">
        <v>0</v>
      </c>
      <c r="Q764" t="n">
        <v>0</v>
      </c>
      <c r="R764" s="2" t="inlineStr"/>
    </row>
    <row r="765" ht="15" customHeight="1">
      <c r="A765" t="inlineStr">
        <is>
          <t>A 43136-2021</t>
        </is>
      </c>
      <c r="B765" s="1" t="n">
        <v>44431</v>
      </c>
      <c r="C765" s="1" t="n">
        <v>45640</v>
      </c>
      <c r="D765" t="inlineStr">
        <is>
          <t>VÄRMLANDS LÄN</t>
        </is>
      </c>
      <c r="E765" t="inlineStr">
        <is>
          <t>TORSBY</t>
        </is>
      </c>
      <c r="G765" t="n">
        <v>14.4</v>
      </c>
      <c r="H765" t="n">
        <v>0</v>
      </c>
      <c r="I765" t="n">
        <v>0</v>
      </c>
      <c r="J765" t="n">
        <v>0</v>
      </c>
      <c r="K765" t="n">
        <v>0</v>
      </c>
      <c r="L765" t="n">
        <v>0</v>
      </c>
      <c r="M765" t="n">
        <v>0</v>
      </c>
      <c r="N765" t="n">
        <v>0</v>
      </c>
      <c r="O765" t="n">
        <v>0</v>
      </c>
      <c r="P765" t="n">
        <v>0</v>
      </c>
      <c r="Q765" t="n">
        <v>0</v>
      </c>
      <c r="R765" s="2" t="inlineStr"/>
    </row>
    <row r="766" ht="15" customHeight="1">
      <c r="A766" t="inlineStr">
        <is>
          <t>A 43169-2021</t>
        </is>
      </c>
      <c r="B766" s="1" t="n">
        <v>44431</v>
      </c>
      <c r="C766" s="1" t="n">
        <v>45640</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43095-2021</t>
        </is>
      </c>
      <c r="B767" s="1" t="n">
        <v>44431</v>
      </c>
      <c r="C767" s="1" t="n">
        <v>45640</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43157-2021</t>
        </is>
      </c>
      <c r="B768" s="1" t="n">
        <v>44431</v>
      </c>
      <c r="C768" s="1" t="n">
        <v>45640</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43127-2021</t>
        </is>
      </c>
      <c r="B769" s="1" t="n">
        <v>44431</v>
      </c>
      <c r="C769" s="1" t="n">
        <v>45640</v>
      </c>
      <c r="D769" t="inlineStr">
        <is>
          <t>VÄRMLANDS LÄN</t>
        </is>
      </c>
      <c r="E769" t="inlineStr">
        <is>
          <t>TORSBY</t>
        </is>
      </c>
      <c r="G769" t="n">
        <v>23.3</v>
      </c>
      <c r="H769" t="n">
        <v>0</v>
      </c>
      <c r="I769" t="n">
        <v>0</v>
      </c>
      <c r="J769" t="n">
        <v>0</v>
      </c>
      <c r="K769" t="n">
        <v>0</v>
      </c>
      <c r="L769" t="n">
        <v>0</v>
      </c>
      <c r="M769" t="n">
        <v>0</v>
      </c>
      <c r="N769" t="n">
        <v>0</v>
      </c>
      <c r="O769" t="n">
        <v>0</v>
      </c>
      <c r="P769" t="n">
        <v>0</v>
      </c>
      <c r="Q769" t="n">
        <v>0</v>
      </c>
      <c r="R769" s="2" t="inlineStr"/>
    </row>
    <row r="770" ht="15" customHeight="1">
      <c r="A770" t="inlineStr">
        <is>
          <t>A 43161-2021</t>
        </is>
      </c>
      <c r="B770" s="1" t="n">
        <v>44431</v>
      </c>
      <c r="C770" s="1" t="n">
        <v>45640</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44018-2021</t>
        </is>
      </c>
      <c r="B771" s="1" t="n">
        <v>44434</v>
      </c>
      <c r="C771" s="1" t="n">
        <v>45640</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44418-2021</t>
        </is>
      </c>
      <c r="B772" s="1" t="n">
        <v>44435</v>
      </c>
      <c r="C772" s="1" t="n">
        <v>45640</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44490-2021</t>
        </is>
      </c>
      <c r="B773" s="1" t="n">
        <v>44435</v>
      </c>
      <c r="C773" s="1" t="n">
        <v>45640</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44761-2021</t>
        </is>
      </c>
      <c r="B774" s="1" t="n">
        <v>44438</v>
      </c>
      <c r="C774" s="1" t="n">
        <v>45640</v>
      </c>
      <c r="D774" t="inlineStr">
        <is>
          <t>VÄRMLANDS LÄN</t>
        </is>
      </c>
      <c r="E774" t="inlineStr">
        <is>
          <t>TORSBY</t>
        </is>
      </c>
      <c r="G774" t="n">
        <v>6.5</v>
      </c>
      <c r="H774" t="n">
        <v>0</v>
      </c>
      <c r="I774" t="n">
        <v>0</v>
      </c>
      <c r="J774" t="n">
        <v>0</v>
      </c>
      <c r="K774" t="n">
        <v>0</v>
      </c>
      <c r="L774" t="n">
        <v>0</v>
      </c>
      <c r="M774" t="n">
        <v>0</v>
      </c>
      <c r="N774" t="n">
        <v>0</v>
      </c>
      <c r="O774" t="n">
        <v>0</v>
      </c>
      <c r="P774" t="n">
        <v>0</v>
      </c>
      <c r="Q774" t="n">
        <v>0</v>
      </c>
      <c r="R774" s="2" t="inlineStr"/>
    </row>
    <row r="775" ht="15" customHeight="1">
      <c r="A775" t="inlineStr">
        <is>
          <t>A 44979-2021</t>
        </is>
      </c>
      <c r="B775" s="1" t="n">
        <v>44438</v>
      </c>
      <c r="C775" s="1" t="n">
        <v>45640</v>
      </c>
      <c r="D775" t="inlineStr">
        <is>
          <t>VÄRMLANDS LÄN</t>
        </is>
      </c>
      <c r="E775" t="inlineStr">
        <is>
          <t>TORSBY</t>
        </is>
      </c>
      <c r="F775" t="inlineStr">
        <is>
          <t>Bergvik skog väst AB</t>
        </is>
      </c>
      <c r="G775" t="n">
        <v>22.2</v>
      </c>
      <c r="H775" t="n">
        <v>0</v>
      </c>
      <c r="I775" t="n">
        <v>0</v>
      </c>
      <c r="J775" t="n">
        <v>0</v>
      </c>
      <c r="K775" t="n">
        <v>0</v>
      </c>
      <c r="L775" t="n">
        <v>0</v>
      </c>
      <c r="M775" t="n">
        <v>0</v>
      </c>
      <c r="N775" t="n">
        <v>0</v>
      </c>
      <c r="O775" t="n">
        <v>0</v>
      </c>
      <c r="P775" t="n">
        <v>0</v>
      </c>
      <c r="Q775" t="n">
        <v>0</v>
      </c>
      <c r="R775" s="2" t="inlineStr"/>
    </row>
    <row r="776" ht="15" customHeight="1">
      <c r="A776" t="inlineStr">
        <is>
          <t>A 44923-2021</t>
        </is>
      </c>
      <c r="B776" s="1" t="n">
        <v>44438</v>
      </c>
      <c r="C776" s="1" t="n">
        <v>45640</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45445-2021</t>
        </is>
      </c>
      <c r="B777" s="1" t="n">
        <v>44440</v>
      </c>
      <c r="C777" s="1" t="n">
        <v>45640</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45447-2021</t>
        </is>
      </c>
      <c r="B778" s="1" t="n">
        <v>44440</v>
      </c>
      <c r="C778" s="1" t="n">
        <v>45640</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46302-2021</t>
        </is>
      </c>
      <c r="B779" s="1" t="n">
        <v>44442</v>
      </c>
      <c r="C779" s="1" t="n">
        <v>45640</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46503-2021</t>
        </is>
      </c>
      <c r="B780" s="1" t="n">
        <v>44445</v>
      </c>
      <c r="C780" s="1" t="n">
        <v>45640</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46610-2021</t>
        </is>
      </c>
      <c r="B781" s="1" t="n">
        <v>44445</v>
      </c>
      <c r="C781" s="1" t="n">
        <v>45640</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46795-2021</t>
        </is>
      </c>
      <c r="B782" s="1" t="n">
        <v>44446</v>
      </c>
      <c r="C782" s="1" t="n">
        <v>45640</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46934-2021</t>
        </is>
      </c>
      <c r="B783" s="1" t="n">
        <v>44446</v>
      </c>
      <c r="C783" s="1" t="n">
        <v>45640</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46880-2021</t>
        </is>
      </c>
      <c r="B784" s="1" t="n">
        <v>44446</v>
      </c>
      <c r="C784" s="1" t="n">
        <v>45640</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47083-2021</t>
        </is>
      </c>
      <c r="B785" s="1" t="n">
        <v>44446</v>
      </c>
      <c r="C785" s="1" t="n">
        <v>45640</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47098-2021</t>
        </is>
      </c>
      <c r="B786" s="1" t="n">
        <v>44446</v>
      </c>
      <c r="C786" s="1" t="n">
        <v>45640</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47271-2021</t>
        </is>
      </c>
      <c r="B787" s="1" t="n">
        <v>44447</v>
      </c>
      <c r="C787" s="1" t="n">
        <v>45640</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47299-2021</t>
        </is>
      </c>
      <c r="B788" s="1" t="n">
        <v>44447</v>
      </c>
      <c r="C788" s="1" t="n">
        <v>45640</v>
      </c>
      <c r="D788" t="inlineStr">
        <is>
          <t>VÄRMLANDS LÄN</t>
        </is>
      </c>
      <c r="E788" t="inlineStr">
        <is>
          <t>TORSBY</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47602-2021</t>
        </is>
      </c>
      <c r="B789" s="1" t="n">
        <v>44448</v>
      </c>
      <c r="C789" s="1" t="n">
        <v>45640</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48159-2021</t>
        </is>
      </c>
      <c r="B790" s="1" t="n">
        <v>44449</v>
      </c>
      <c r="C790" s="1" t="n">
        <v>45640</v>
      </c>
      <c r="D790" t="inlineStr">
        <is>
          <t>VÄRMLANDS LÄN</t>
        </is>
      </c>
      <c r="E790" t="inlineStr">
        <is>
          <t>TORSBY</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48188-2021</t>
        </is>
      </c>
      <c r="B791" s="1" t="n">
        <v>44449</v>
      </c>
      <c r="C791" s="1" t="n">
        <v>45640</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48324-2021</t>
        </is>
      </c>
      <c r="B792" s="1" t="n">
        <v>44450</v>
      </c>
      <c r="C792" s="1" t="n">
        <v>45640</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48657-2021</t>
        </is>
      </c>
      <c r="B793" s="1" t="n">
        <v>44452</v>
      </c>
      <c r="C793" s="1" t="n">
        <v>45640</v>
      </c>
      <c r="D793" t="inlineStr">
        <is>
          <t>VÄRMLANDS LÄN</t>
        </is>
      </c>
      <c r="E793" t="inlineStr">
        <is>
          <t>TORSBY</t>
        </is>
      </c>
      <c r="F793" t="inlineStr">
        <is>
          <t>Bergvik skog väst AB</t>
        </is>
      </c>
      <c r="G793" t="n">
        <v>7.8</v>
      </c>
      <c r="H793" t="n">
        <v>0</v>
      </c>
      <c r="I793" t="n">
        <v>0</v>
      </c>
      <c r="J793" t="n">
        <v>0</v>
      </c>
      <c r="K793" t="n">
        <v>0</v>
      </c>
      <c r="L793" t="n">
        <v>0</v>
      </c>
      <c r="M793" t="n">
        <v>0</v>
      </c>
      <c r="N793" t="n">
        <v>0</v>
      </c>
      <c r="O793" t="n">
        <v>0</v>
      </c>
      <c r="P793" t="n">
        <v>0</v>
      </c>
      <c r="Q793" t="n">
        <v>0</v>
      </c>
      <c r="R793" s="2" t="inlineStr"/>
    </row>
    <row r="794" ht="15" customHeight="1">
      <c r="A794" t="inlineStr">
        <is>
          <t>A 48771-2021</t>
        </is>
      </c>
      <c r="B794" s="1" t="n">
        <v>44452</v>
      </c>
      <c r="C794" s="1" t="n">
        <v>45640</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49192-2021</t>
        </is>
      </c>
      <c r="B795" s="1" t="n">
        <v>44454</v>
      </c>
      <c r="C795" s="1" t="n">
        <v>45640</v>
      </c>
      <c r="D795" t="inlineStr">
        <is>
          <t>VÄRMLANDS LÄN</t>
        </is>
      </c>
      <c r="E795" t="inlineStr">
        <is>
          <t>TORSBY</t>
        </is>
      </c>
      <c r="F795" t="inlineStr">
        <is>
          <t>Bergvik skog väst AB</t>
        </is>
      </c>
      <c r="G795" t="n">
        <v>2.3</v>
      </c>
      <c r="H795" t="n">
        <v>0</v>
      </c>
      <c r="I795" t="n">
        <v>0</v>
      </c>
      <c r="J795" t="n">
        <v>0</v>
      </c>
      <c r="K795" t="n">
        <v>0</v>
      </c>
      <c r="L795" t="n">
        <v>0</v>
      </c>
      <c r="M795" t="n">
        <v>0</v>
      </c>
      <c r="N795" t="n">
        <v>0</v>
      </c>
      <c r="O795" t="n">
        <v>0</v>
      </c>
      <c r="P795" t="n">
        <v>0</v>
      </c>
      <c r="Q795" t="n">
        <v>0</v>
      </c>
      <c r="R795" s="2" t="inlineStr"/>
    </row>
    <row r="796" ht="15" customHeight="1">
      <c r="A796" t="inlineStr">
        <is>
          <t>A 49900-2021</t>
        </is>
      </c>
      <c r="B796" s="1" t="n">
        <v>44455</v>
      </c>
      <c r="C796" s="1" t="n">
        <v>45640</v>
      </c>
      <c r="D796" t="inlineStr">
        <is>
          <t>VÄRMLANDS LÄN</t>
        </is>
      </c>
      <c r="E796" t="inlineStr">
        <is>
          <t>TORSBY</t>
        </is>
      </c>
      <c r="G796" t="n">
        <v>4.1</v>
      </c>
      <c r="H796" t="n">
        <v>0</v>
      </c>
      <c r="I796" t="n">
        <v>0</v>
      </c>
      <c r="J796" t="n">
        <v>0</v>
      </c>
      <c r="K796" t="n">
        <v>0</v>
      </c>
      <c r="L796" t="n">
        <v>0</v>
      </c>
      <c r="M796" t="n">
        <v>0</v>
      </c>
      <c r="N796" t="n">
        <v>0</v>
      </c>
      <c r="O796" t="n">
        <v>0</v>
      </c>
      <c r="P796" t="n">
        <v>0</v>
      </c>
      <c r="Q796" t="n">
        <v>0</v>
      </c>
      <c r="R796" s="2" t="inlineStr"/>
    </row>
    <row r="797" ht="15" customHeight="1">
      <c r="A797" t="inlineStr">
        <is>
          <t>A 50100-2021</t>
        </is>
      </c>
      <c r="B797" s="1" t="n">
        <v>44456</v>
      </c>
      <c r="C797" s="1" t="n">
        <v>45640</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50596-2021</t>
        </is>
      </c>
      <c r="B798" s="1" t="n">
        <v>44459</v>
      </c>
      <c r="C798" s="1" t="n">
        <v>45640</v>
      </c>
      <c r="D798" t="inlineStr">
        <is>
          <t>VÄRMLANDS LÄN</t>
        </is>
      </c>
      <c r="E798" t="inlineStr">
        <is>
          <t>TORSBY</t>
        </is>
      </c>
      <c r="G798" t="n">
        <v>0.5</v>
      </c>
      <c r="H798" t="n">
        <v>0</v>
      </c>
      <c r="I798" t="n">
        <v>0</v>
      </c>
      <c r="J798" t="n">
        <v>0</v>
      </c>
      <c r="K798" t="n">
        <v>0</v>
      </c>
      <c r="L798" t="n">
        <v>0</v>
      </c>
      <c r="M798" t="n">
        <v>0</v>
      </c>
      <c r="N798" t="n">
        <v>0</v>
      </c>
      <c r="O798" t="n">
        <v>0</v>
      </c>
      <c r="P798" t="n">
        <v>0</v>
      </c>
      <c r="Q798" t="n">
        <v>0</v>
      </c>
      <c r="R798" s="2" t="inlineStr"/>
    </row>
    <row r="799" ht="15" customHeight="1">
      <c r="A799" t="inlineStr">
        <is>
          <t>A 50549-2021</t>
        </is>
      </c>
      <c r="B799" s="1" t="n">
        <v>44459</v>
      </c>
      <c r="C799" s="1" t="n">
        <v>45640</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50988-2021</t>
        </is>
      </c>
      <c r="B800" s="1" t="n">
        <v>44460</v>
      </c>
      <c r="C800" s="1" t="n">
        <v>45640</v>
      </c>
      <c r="D800" t="inlineStr">
        <is>
          <t>VÄRMLANDS LÄN</t>
        </is>
      </c>
      <c r="E800" t="inlineStr">
        <is>
          <t>TORSBY</t>
        </is>
      </c>
      <c r="G800" t="n">
        <v>14.3</v>
      </c>
      <c r="H800" t="n">
        <v>0</v>
      </c>
      <c r="I800" t="n">
        <v>0</v>
      </c>
      <c r="J800" t="n">
        <v>0</v>
      </c>
      <c r="K800" t="n">
        <v>0</v>
      </c>
      <c r="L800" t="n">
        <v>0</v>
      </c>
      <c r="M800" t="n">
        <v>0</v>
      </c>
      <c r="N800" t="n">
        <v>0</v>
      </c>
      <c r="O800" t="n">
        <v>0</v>
      </c>
      <c r="P800" t="n">
        <v>0</v>
      </c>
      <c r="Q800" t="n">
        <v>0</v>
      </c>
      <c r="R800" s="2" t="inlineStr"/>
    </row>
    <row r="801" ht="15" customHeight="1">
      <c r="A801" t="inlineStr">
        <is>
          <t>A 51505-2021</t>
        </is>
      </c>
      <c r="B801" s="1" t="n">
        <v>44460</v>
      </c>
      <c r="C801" s="1" t="n">
        <v>45640</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51494-2021</t>
        </is>
      </c>
      <c r="B802" s="1" t="n">
        <v>44460</v>
      </c>
      <c r="C802" s="1" t="n">
        <v>45640</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51510-2021</t>
        </is>
      </c>
      <c r="B803" s="1" t="n">
        <v>44460</v>
      </c>
      <c r="C803" s="1" t="n">
        <v>45640</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51099-2021</t>
        </is>
      </c>
      <c r="B804" s="1" t="n">
        <v>44461</v>
      </c>
      <c r="C804" s="1" t="n">
        <v>45640</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51247-2021</t>
        </is>
      </c>
      <c r="B805" s="1" t="n">
        <v>44461</v>
      </c>
      <c r="C805" s="1" t="n">
        <v>45640</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51372-2021</t>
        </is>
      </c>
      <c r="B806" s="1" t="n">
        <v>44461</v>
      </c>
      <c r="C806" s="1" t="n">
        <v>45640</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51819-2021</t>
        </is>
      </c>
      <c r="B807" s="1" t="n">
        <v>44462</v>
      </c>
      <c r="C807" s="1" t="n">
        <v>45640</v>
      </c>
      <c r="D807" t="inlineStr">
        <is>
          <t>VÄRMLANDS LÄN</t>
        </is>
      </c>
      <c r="E807" t="inlineStr">
        <is>
          <t>TORSBY</t>
        </is>
      </c>
      <c r="F807" t="inlineStr">
        <is>
          <t>Bergvik skog väst AB</t>
        </is>
      </c>
      <c r="G807" t="n">
        <v>14.7</v>
      </c>
      <c r="H807" t="n">
        <v>0</v>
      </c>
      <c r="I807" t="n">
        <v>0</v>
      </c>
      <c r="J807" t="n">
        <v>0</v>
      </c>
      <c r="K807" t="n">
        <v>0</v>
      </c>
      <c r="L807" t="n">
        <v>0</v>
      </c>
      <c r="M807" t="n">
        <v>0</v>
      </c>
      <c r="N807" t="n">
        <v>0</v>
      </c>
      <c r="O807" t="n">
        <v>0</v>
      </c>
      <c r="P807" t="n">
        <v>0</v>
      </c>
      <c r="Q807" t="n">
        <v>0</v>
      </c>
      <c r="R807" s="2" t="inlineStr"/>
    </row>
    <row r="808" ht="15" customHeight="1">
      <c r="A808" t="inlineStr">
        <is>
          <t>A 51522-2021</t>
        </is>
      </c>
      <c r="B808" s="1" t="n">
        <v>44462</v>
      </c>
      <c r="C808" s="1" t="n">
        <v>45640</v>
      </c>
      <c r="D808" t="inlineStr">
        <is>
          <t>VÄRMLANDS LÄN</t>
        </is>
      </c>
      <c r="E808" t="inlineStr">
        <is>
          <t>TORSBY</t>
        </is>
      </c>
      <c r="G808" t="n">
        <v>0.3</v>
      </c>
      <c r="H808" t="n">
        <v>0</v>
      </c>
      <c r="I808" t="n">
        <v>0</v>
      </c>
      <c r="J808" t="n">
        <v>0</v>
      </c>
      <c r="K808" t="n">
        <v>0</v>
      </c>
      <c r="L808" t="n">
        <v>0</v>
      </c>
      <c r="M808" t="n">
        <v>0</v>
      </c>
      <c r="N808" t="n">
        <v>0</v>
      </c>
      <c r="O808" t="n">
        <v>0</v>
      </c>
      <c r="P808" t="n">
        <v>0</v>
      </c>
      <c r="Q808" t="n">
        <v>0</v>
      </c>
      <c r="R808" s="2" t="inlineStr"/>
    </row>
    <row r="809" ht="15" customHeight="1">
      <c r="A809" t="inlineStr">
        <is>
          <t>A 52121-2021</t>
        </is>
      </c>
      <c r="B809" s="1" t="n">
        <v>44463</v>
      </c>
      <c r="C809" s="1" t="n">
        <v>45640</v>
      </c>
      <c r="D809" t="inlineStr">
        <is>
          <t>VÄRMLANDS LÄN</t>
        </is>
      </c>
      <c r="E809" t="inlineStr">
        <is>
          <t>TORSBY</t>
        </is>
      </c>
      <c r="G809" t="n">
        <v>0</v>
      </c>
      <c r="H809" t="n">
        <v>0</v>
      </c>
      <c r="I809" t="n">
        <v>0</v>
      </c>
      <c r="J809" t="n">
        <v>0</v>
      </c>
      <c r="K809" t="n">
        <v>0</v>
      </c>
      <c r="L809" t="n">
        <v>0</v>
      </c>
      <c r="M809" t="n">
        <v>0</v>
      </c>
      <c r="N809" t="n">
        <v>0</v>
      </c>
      <c r="O809" t="n">
        <v>0</v>
      </c>
      <c r="P809" t="n">
        <v>0</v>
      </c>
      <c r="Q809" t="n">
        <v>0</v>
      </c>
      <c r="R809" s="2" t="inlineStr"/>
    </row>
    <row r="810" ht="15" customHeight="1">
      <c r="A810" t="inlineStr">
        <is>
          <t>A 52520-2021</t>
        </is>
      </c>
      <c r="B810" s="1" t="n">
        <v>44466</v>
      </c>
      <c r="C810" s="1" t="n">
        <v>45640</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52728-2021</t>
        </is>
      </c>
      <c r="B811" s="1" t="n">
        <v>44467</v>
      </c>
      <c r="C811" s="1" t="n">
        <v>45640</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52900-2021</t>
        </is>
      </c>
      <c r="B812" s="1" t="n">
        <v>44467</v>
      </c>
      <c r="C812" s="1" t="n">
        <v>45640</v>
      </c>
      <c r="D812" t="inlineStr">
        <is>
          <t>VÄRMLANDS LÄN</t>
        </is>
      </c>
      <c r="E812" t="inlineStr">
        <is>
          <t>TORSBY</t>
        </is>
      </c>
      <c r="G812" t="n">
        <v>3.8</v>
      </c>
      <c r="H812" t="n">
        <v>0</v>
      </c>
      <c r="I812" t="n">
        <v>0</v>
      </c>
      <c r="J812" t="n">
        <v>0</v>
      </c>
      <c r="K812" t="n">
        <v>0</v>
      </c>
      <c r="L812" t="n">
        <v>0</v>
      </c>
      <c r="M812" t="n">
        <v>0</v>
      </c>
      <c r="N812" t="n">
        <v>0</v>
      </c>
      <c r="O812" t="n">
        <v>0</v>
      </c>
      <c r="P812" t="n">
        <v>0</v>
      </c>
      <c r="Q812" t="n">
        <v>0</v>
      </c>
      <c r="R812" s="2" t="inlineStr"/>
    </row>
    <row r="813" ht="15" customHeight="1">
      <c r="A813" t="inlineStr">
        <is>
          <t>A 53705-2021</t>
        </is>
      </c>
      <c r="B813" s="1" t="n">
        <v>44469</v>
      </c>
      <c r="C813" s="1" t="n">
        <v>45640</v>
      </c>
      <c r="D813" t="inlineStr">
        <is>
          <t>VÄRMLANDS LÄN</t>
        </is>
      </c>
      <c r="E813" t="inlineStr">
        <is>
          <t>TORSBY</t>
        </is>
      </c>
      <c r="F813" t="inlineStr">
        <is>
          <t>Kyrkan</t>
        </is>
      </c>
      <c r="G813" t="n">
        <v>12.4</v>
      </c>
      <c r="H813" t="n">
        <v>0</v>
      </c>
      <c r="I813" t="n">
        <v>0</v>
      </c>
      <c r="J813" t="n">
        <v>0</v>
      </c>
      <c r="K813" t="n">
        <v>0</v>
      </c>
      <c r="L813" t="n">
        <v>0</v>
      </c>
      <c r="M813" t="n">
        <v>0</v>
      </c>
      <c r="N813" t="n">
        <v>0</v>
      </c>
      <c r="O813" t="n">
        <v>0</v>
      </c>
      <c r="P813" t="n">
        <v>0</v>
      </c>
      <c r="Q813" t="n">
        <v>0</v>
      </c>
      <c r="R813" s="2" t="inlineStr"/>
    </row>
    <row r="814" ht="15" customHeight="1">
      <c r="A814" t="inlineStr">
        <is>
          <t>A 54029-2021</t>
        </is>
      </c>
      <c r="B814" s="1" t="n">
        <v>44470</v>
      </c>
      <c r="C814" s="1" t="n">
        <v>45640</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54033-2021</t>
        </is>
      </c>
      <c r="B815" s="1" t="n">
        <v>44470</v>
      </c>
      <c r="C815" s="1" t="n">
        <v>45640</v>
      </c>
      <c r="D815" t="inlineStr">
        <is>
          <t>VÄRMLANDS LÄN</t>
        </is>
      </c>
      <c r="E815" t="inlineStr">
        <is>
          <t>TORSBY</t>
        </is>
      </c>
      <c r="G815" t="n">
        <v>6</v>
      </c>
      <c r="H815" t="n">
        <v>0</v>
      </c>
      <c r="I815" t="n">
        <v>0</v>
      </c>
      <c r="J815" t="n">
        <v>0</v>
      </c>
      <c r="K815" t="n">
        <v>0</v>
      </c>
      <c r="L815" t="n">
        <v>0</v>
      </c>
      <c r="M815" t="n">
        <v>0</v>
      </c>
      <c r="N815" t="n">
        <v>0</v>
      </c>
      <c r="O815" t="n">
        <v>0</v>
      </c>
      <c r="P815" t="n">
        <v>0</v>
      </c>
      <c r="Q815" t="n">
        <v>0</v>
      </c>
      <c r="R815" s="2" t="inlineStr"/>
    </row>
    <row r="816" ht="15" customHeight="1">
      <c r="A816" t="inlineStr">
        <is>
          <t>A 55794-2021</t>
        </is>
      </c>
      <c r="B816" s="1" t="n">
        <v>44476</v>
      </c>
      <c r="C816" s="1" t="n">
        <v>45640</v>
      </c>
      <c r="D816" t="inlineStr">
        <is>
          <t>VÄRMLANDS LÄN</t>
        </is>
      </c>
      <c r="E816" t="inlineStr">
        <is>
          <t>TORSBY</t>
        </is>
      </c>
      <c r="G816" t="n">
        <v>2.2</v>
      </c>
      <c r="H816" t="n">
        <v>0</v>
      </c>
      <c r="I816" t="n">
        <v>0</v>
      </c>
      <c r="J816" t="n">
        <v>0</v>
      </c>
      <c r="K816" t="n">
        <v>0</v>
      </c>
      <c r="L816" t="n">
        <v>0</v>
      </c>
      <c r="M816" t="n">
        <v>0</v>
      </c>
      <c r="N816" t="n">
        <v>0</v>
      </c>
      <c r="O816" t="n">
        <v>0</v>
      </c>
      <c r="P816" t="n">
        <v>0</v>
      </c>
      <c r="Q816" t="n">
        <v>0</v>
      </c>
      <c r="R816" s="2" t="inlineStr"/>
    </row>
    <row r="817" ht="15" customHeight="1">
      <c r="A817" t="inlineStr">
        <is>
          <t>A 55811-2021</t>
        </is>
      </c>
      <c r="B817" s="1" t="n">
        <v>44476</v>
      </c>
      <c r="C817" s="1" t="n">
        <v>45640</v>
      </c>
      <c r="D817" t="inlineStr">
        <is>
          <t>VÄRMLANDS LÄN</t>
        </is>
      </c>
      <c r="E817" t="inlineStr">
        <is>
          <t>TORSBY</t>
        </is>
      </c>
      <c r="G817" t="n">
        <v>3.7</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45640</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56037-2021</t>
        </is>
      </c>
      <c r="B819" s="1" t="n">
        <v>44477</v>
      </c>
      <c r="C819" s="1" t="n">
        <v>45640</v>
      </c>
      <c r="D819" t="inlineStr">
        <is>
          <t>VÄRMLANDS LÄN</t>
        </is>
      </c>
      <c r="E819" t="inlineStr">
        <is>
          <t>TORSBY</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56062-2021</t>
        </is>
      </c>
      <c r="B820" s="1" t="n">
        <v>44477</v>
      </c>
      <c r="C820" s="1" t="n">
        <v>45640</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56981-2021</t>
        </is>
      </c>
      <c r="B821" s="1" t="n">
        <v>44482</v>
      </c>
      <c r="C821" s="1" t="n">
        <v>45640</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57287-2021</t>
        </is>
      </c>
      <c r="B822" s="1" t="n">
        <v>44482</v>
      </c>
      <c r="C822" s="1" t="n">
        <v>45640</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58062-2021</t>
        </is>
      </c>
      <c r="B823" s="1" t="n">
        <v>44487</v>
      </c>
      <c r="C823" s="1" t="n">
        <v>45640</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58479-2021</t>
        </is>
      </c>
      <c r="B824" s="1" t="n">
        <v>44488</v>
      </c>
      <c r="C824" s="1" t="n">
        <v>45640</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58476-2021</t>
        </is>
      </c>
      <c r="B825" s="1" t="n">
        <v>44488</v>
      </c>
      <c r="C825" s="1" t="n">
        <v>45640</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58543-2021</t>
        </is>
      </c>
      <c r="B826" s="1" t="n">
        <v>44488</v>
      </c>
      <c r="C826" s="1" t="n">
        <v>45640</v>
      </c>
      <c r="D826" t="inlineStr">
        <is>
          <t>VÄRMLANDS LÄN</t>
        </is>
      </c>
      <c r="E826" t="inlineStr">
        <is>
          <t>TORSBY</t>
        </is>
      </c>
      <c r="F826" t="inlineStr">
        <is>
          <t>Bergvik skog väst AB</t>
        </is>
      </c>
      <c r="G826" t="n">
        <v>7.1</v>
      </c>
      <c r="H826" t="n">
        <v>0</v>
      </c>
      <c r="I826" t="n">
        <v>0</v>
      </c>
      <c r="J826" t="n">
        <v>0</v>
      </c>
      <c r="K826" t="n">
        <v>0</v>
      </c>
      <c r="L826" t="n">
        <v>0</v>
      </c>
      <c r="M826" t="n">
        <v>0</v>
      </c>
      <c r="N826" t="n">
        <v>0</v>
      </c>
      <c r="O826" t="n">
        <v>0</v>
      </c>
      <c r="P826" t="n">
        <v>0</v>
      </c>
      <c r="Q826" t="n">
        <v>0</v>
      </c>
      <c r="R826" s="2" t="inlineStr"/>
    </row>
    <row r="827" ht="15" customHeight="1">
      <c r="A827" t="inlineStr">
        <is>
          <t>A 58728-2021</t>
        </is>
      </c>
      <c r="B827" s="1" t="n">
        <v>44489</v>
      </c>
      <c r="C827" s="1" t="n">
        <v>45640</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59425-2021</t>
        </is>
      </c>
      <c r="B828" s="1" t="n">
        <v>44491</v>
      </c>
      <c r="C828" s="1" t="n">
        <v>45640</v>
      </c>
      <c r="D828" t="inlineStr">
        <is>
          <t>VÄRMLANDS LÄN</t>
        </is>
      </c>
      <c r="E828" t="inlineStr">
        <is>
          <t>TORSBY</t>
        </is>
      </c>
      <c r="F828" t="inlineStr">
        <is>
          <t>Bergvik skog väst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60428-2021</t>
        </is>
      </c>
      <c r="B829" s="1" t="n">
        <v>44496</v>
      </c>
      <c r="C829" s="1" t="n">
        <v>45640</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60430-2021</t>
        </is>
      </c>
      <c r="B830" s="1" t="n">
        <v>44496</v>
      </c>
      <c r="C830" s="1" t="n">
        <v>45640</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60698-2021</t>
        </is>
      </c>
      <c r="B831" s="1" t="n">
        <v>44496</v>
      </c>
      <c r="C831" s="1" t="n">
        <v>45640</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61231-2021</t>
        </is>
      </c>
      <c r="B832" s="1" t="n">
        <v>44496</v>
      </c>
      <c r="C832" s="1" t="n">
        <v>45640</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61812-2021</t>
        </is>
      </c>
      <c r="B833" s="1" t="n">
        <v>44501</v>
      </c>
      <c r="C833" s="1" t="n">
        <v>45640</v>
      </c>
      <c r="D833" t="inlineStr">
        <is>
          <t>VÄRMLANDS LÄN</t>
        </is>
      </c>
      <c r="E833" t="inlineStr">
        <is>
          <t>TORSBY</t>
        </is>
      </c>
      <c r="G833" t="n">
        <v>5.3</v>
      </c>
      <c r="H833" t="n">
        <v>0</v>
      </c>
      <c r="I833" t="n">
        <v>0</v>
      </c>
      <c r="J833" t="n">
        <v>0</v>
      </c>
      <c r="K833" t="n">
        <v>0</v>
      </c>
      <c r="L833" t="n">
        <v>0</v>
      </c>
      <c r="M833" t="n">
        <v>0</v>
      </c>
      <c r="N833" t="n">
        <v>0</v>
      </c>
      <c r="O833" t="n">
        <v>0</v>
      </c>
      <c r="P833" t="n">
        <v>0</v>
      </c>
      <c r="Q833" t="n">
        <v>0</v>
      </c>
      <c r="R833" s="2" t="inlineStr"/>
    </row>
    <row r="834" ht="15" customHeight="1">
      <c r="A834" t="inlineStr">
        <is>
          <t>A 61809-2021</t>
        </is>
      </c>
      <c r="B834" s="1" t="n">
        <v>44501</v>
      </c>
      <c r="C834" s="1" t="n">
        <v>45640</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62045-2021</t>
        </is>
      </c>
      <c r="B835" s="1" t="n">
        <v>44502</v>
      </c>
      <c r="C835" s="1" t="n">
        <v>45640</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62039-2021</t>
        </is>
      </c>
      <c r="B836" s="1" t="n">
        <v>44502</v>
      </c>
      <c r="C836" s="1" t="n">
        <v>45640</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62576-2021</t>
        </is>
      </c>
      <c r="B837" s="1" t="n">
        <v>44502</v>
      </c>
      <c r="C837" s="1" t="n">
        <v>45640</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62845-2021</t>
        </is>
      </c>
      <c r="B838" s="1" t="n">
        <v>44504</v>
      </c>
      <c r="C838" s="1" t="n">
        <v>45640</v>
      </c>
      <c r="D838" t="inlineStr">
        <is>
          <t>VÄRMLANDS LÄN</t>
        </is>
      </c>
      <c r="E838" t="inlineStr">
        <is>
          <t>TORSBY</t>
        </is>
      </c>
      <c r="G838" t="n">
        <v>4.3</v>
      </c>
      <c r="H838" t="n">
        <v>0</v>
      </c>
      <c r="I838" t="n">
        <v>0</v>
      </c>
      <c r="J838" t="n">
        <v>0</v>
      </c>
      <c r="K838" t="n">
        <v>0</v>
      </c>
      <c r="L838" t="n">
        <v>0</v>
      </c>
      <c r="M838" t="n">
        <v>0</v>
      </c>
      <c r="N838" t="n">
        <v>0</v>
      </c>
      <c r="O838" t="n">
        <v>0</v>
      </c>
      <c r="P838" t="n">
        <v>0</v>
      </c>
      <c r="Q838" t="n">
        <v>0</v>
      </c>
      <c r="R838" s="2" t="inlineStr"/>
    </row>
    <row r="839" ht="15" customHeight="1">
      <c r="A839" t="inlineStr">
        <is>
          <t>A 63251-2021</t>
        </is>
      </c>
      <c r="B839" s="1" t="n">
        <v>44508</v>
      </c>
      <c r="C839" s="1" t="n">
        <v>45640</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63527-2021</t>
        </is>
      </c>
      <c r="B840" s="1" t="n">
        <v>44508</v>
      </c>
      <c r="C840" s="1" t="n">
        <v>45640</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64780-2021</t>
        </is>
      </c>
      <c r="B841" s="1" t="n">
        <v>44512</v>
      </c>
      <c r="C841" s="1" t="n">
        <v>45640</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64902-2021</t>
        </is>
      </c>
      <c r="B842" s="1" t="n">
        <v>44512</v>
      </c>
      <c r="C842" s="1" t="n">
        <v>45640</v>
      </c>
      <c r="D842" t="inlineStr">
        <is>
          <t>VÄRMLANDS LÄN</t>
        </is>
      </c>
      <c r="E842" t="inlineStr">
        <is>
          <t>TORSBY</t>
        </is>
      </c>
      <c r="G842" t="n">
        <v>6.1</v>
      </c>
      <c r="H842" t="n">
        <v>0</v>
      </c>
      <c r="I842" t="n">
        <v>0</v>
      </c>
      <c r="J842" t="n">
        <v>0</v>
      </c>
      <c r="K842" t="n">
        <v>0</v>
      </c>
      <c r="L842" t="n">
        <v>0</v>
      </c>
      <c r="M842" t="n">
        <v>0</v>
      </c>
      <c r="N842" t="n">
        <v>0</v>
      </c>
      <c r="O842" t="n">
        <v>0</v>
      </c>
      <c r="P842" t="n">
        <v>0</v>
      </c>
      <c r="Q842" t="n">
        <v>0</v>
      </c>
      <c r="R842" s="2" t="inlineStr"/>
    </row>
    <row r="843" ht="15" customHeight="1">
      <c r="A843" t="inlineStr">
        <is>
          <t>A 65182-2021</t>
        </is>
      </c>
      <c r="B843" s="1" t="n">
        <v>44515</v>
      </c>
      <c r="C843" s="1" t="n">
        <v>45640</v>
      </c>
      <c r="D843" t="inlineStr">
        <is>
          <t>VÄRMLANDS LÄN</t>
        </is>
      </c>
      <c r="E843" t="inlineStr">
        <is>
          <t>TORSBY</t>
        </is>
      </c>
      <c r="G843" t="n">
        <v>5.9</v>
      </c>
      <c r="H843" t="n">
        <v>0</v>
      </c>
      <c r="I843" t="n">
        <v>0</v>
      </c>
      <c r="J843" t="n">
        <v>0</v>
      </c>
      <c r="K843" t="n">
        <v>0</v>
      </c>
      <c r="L843" t="n">
        <v>0</v>
      </c>
      <c r="M843" t="n">
        <v>0</v>
      </c>
      <c r="N843" t="n">
        <v>0</v>
      </c>
      <c r="O843" t="n">
        <v>0</v>
      </c>
      <c r="P843" t="n">
        <v>0</v>
      </c>
      <c r="Q843" t="n">
        <v>0</v>
      </c>
      <c r="R843" s="2" t="inlineStr"/>
    </row>
    <row r="844" ht="15" customHeight="1">
      <c r="A844" t="inlineStr">
        <is>
          <t>A 65301-2021</t>
        </is>
      </c>
      <c r="B844" s="1" t="n">
        <v>44515</v>
      </c>
      <c r="C844" s="1" t="n">
        <v>45640</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65537-2021</t>
        </is>
      </c>
      <c r="B845" s="1" t="n">
        <v>44516</v>
      </c>
      <c r="C845" s="1" t="n">
        <v>45640</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65713-2021</t>
        </is>
      </c>
      <c r="B846" s="1" t="n">
        <v>44516</v>
      </c>
      <c r="C846" s="1" t="n">
        <v>45640</v>
      </c>
      <c r="D846" t="inlineStr">
        <is>
          <t>VÄRMLANDS LÄN</t>
        </is>
      </c>
      <c r="E846" t="inlineStr">
        <is>
          <t>TORSBY</t>
        </is>
      </c>
      <c r="G846" t="n">
        <v>7</v>
      </c>
      <c r="H846" t="n">
        <v>0</v>
      </c>
      <c r="I846" t="n">
        <v>0</v>
      </c>
      <c r="J846" t="n">
        <v>0</v>
      </c>
      <c r="K846" t="n">
        <v>0</v>
      </c>
      <c r="L846" t="n">
        <v>0</v>
      </c>
      <c r="M846" t="n">
        <v>0</v>
      </c>
      <c r="N846" t="n">
        <v>0</v>
      </c>
      <c r="O846" t="n">
        <v>0</v>
      </c>
      <c r="P846" t="n">
        <v>0</v>
      </c>
      <c r="Q846" t="n">
        <v>0</v>
      </c>
      <c r="R846" s="2" t="inlineStr"/>
    </row>
    <row r="847" ht="15" customHeight="1">
      <c r="A847" t="inlineStr">
        <is>
          <t>A 65705-2021</t>
        </is>
      </c>
      <c r="B847" s="1" t="n">
        <v>44516</v>
      </c>
      <c r="C847" s="1" t="n">
        <v>45640</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65959-2021</t>
        </is>
      </c>
      <c r="B848" s="1" t="n">
        <v>44517</v>
      </c>
      <c r="C848" s="1" t="n">
        <v>45640</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65998-2021</t>
        </is>
      </c>
      <c r="B849" s="1" t="n">
        <v>44517</v>
      </c>
      <c r="C849" s="1" t="n">
        <v>45640</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66103-2021</t>
        </is>
      </c>
      <c r="B850" s="1" t="n">
        <v>44517</v>
      </c>
      <c r="C850" s="1" t="n">
        <v>45640</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66133-2021</t>
        </is>
      </c>
      <c r="B851" s="1" t="n">
        <v>44517</v>
      </c>
      <c r="C851" s="1" t="n">
        <v>45640</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66978-2021</t>
        </is>
      </c>
      <c r="B852" s="1" t="n">
        <v>44522</v>
      </c>
      <c r="C852" s="1" t="n">
        <v>45640</v>
      </c>
      <c r="D852" t="inlineStr">
        <is>
          <t>VÄRMLANDS LÄN</t>
        </is>
      </c>
      <c r="E852" t="inlineStr">
        <is>
          <t>TORSBY</t>
        </is>
      </c>
      <c r="F852" t="inlineStr">
        <is>
          <t>Kommuner</t>
        </is>
      </c>
      <c r="G852" t="n">
        <v>1</v>
      </c>
      <c r="H852" t="n">
        <v>0</v>
      </c>
      <c r="I852" t="n">
        <v>0</v>
      </c>
      <c r="J852" t="n">
        <v>0</v>
      </c>
      <c r="K852" t="n">
        <v>0</v>
      </c>
      <c r="L852" t="n">
        <v>0</v>
      </c>
      <c r="M852" t="n">
        <v>0</v>
      </c>
      <c r="N852" t="n">
        <v>0</v>
      </c>
      <c r="O852" t="n">
        <v>0</v>
      </c>
      <c r="P852" t="n">
        <v>0</v>
      </c>
      <c r="Q852" t="n">
        <v>0</v>
      </c>
      <c r="R852" s="2" t="inlineStr"/>
    </row>
    <row r="853" ht="15" customHeight="1">
      <c r="A853" t="inlineStr">
        <is>
          <t>A 67006-2021</t>
        </is>
      </c>
      <c r="B853" s="1" t="n">
        <v>44522</v>
      </c>
      <c r="C853" s="1" t="n">
        <v>45640</v>
      </c>
      <c r="D853" t="inlineStr">
        <is>
          <t>VÄRMLANDS LÄN</t>
        </is>
      </c>
      <c r="E853" t="inlineStr">
        <is>
          <t>TORSBY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67147-2021</t>
        </is>
      </c>
      <c r="B854" s="1" t="n">
        <v>44523</v>
      </c>
      <c r="C854" s="1" t="n">
        <v>45640</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67172-2021</t>
        </is>
      </c>
      <c r="B855" s="1" t="n">
        <v>44523</v>
      </c>
      <c r="C855" s="1" t="n">
        <v>45640</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67567-2021</t>
        </is>
      </c>
      <c r="B856" s="1" t="n">
        <v>44524</v>
      </c>
      <c r="C856" s="1" t="n">
        <v>45640</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67457-2021</t>
        </is>
      </c>
      <c r="B857" s="1" t="n">
        <v>44524</v>
      </c>
      <c r="C857" s="1" t="n">
        <v>45640</v>
      </c>
      <c r="D857" t="inlineStr">
        <is>
          <t>VÄRMLANDS LÄN</t>
        </is>
      </c>
      <c r="E857" t="inlineStr">
        <is>
          <t>TORSBY</t>
        </is>
      </c>
      <c r="G857" t="n">
        <v>7.6</v>
      </c>
      <c r="H857" t="n">
        <v>0</v>
      </c>
      <c r="I857" t="n">
        <v>0</v>
      </c>
      <c r="J857" t="n">
        <v>0</v>
      </c>
      <c r="K857" t="n">
        <v>0</v>
      </c>
      <c r="L857" t="n">
        <v>0</v>
      </c>
      <c r="M857" t="n">
        <v>0</v>
      </c>
      <c r="N857" t="n">
        <v>0</v>
      </c>
      <c r="O857" t="n">
        <v>0</v>
      </c>
      <c r="P857" t="n">
        <v>0</v>
      </c>
      <c r="Q857" t="n">
        <v>0</v>
      </c>
      <c r="R857" s="2" t="inlineStr"/>
    </row>
    <row r="858" ht="15" customHeight="1">
      <c r="A858" t="inlineStr">
        <is>
          <t>A 67933-2021</t>
        </is>
      </c>
      <c r="B858" s="1" t="n">
        <v>44525</v>
      </c>
      <c r="C858" s="1" t="n">
        <v>45640</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67913-2021</t>
        </is>
      </c>
      <c r="B859" s="1" t="n">
        <v>44525</v>
      </c>
      <c r="C859" s="1" t="n">
        <v>45640</v>
      </c>
      <c r="D859" t="inlineStr">
        <is>
          <t>VÄRMLANDS LÄN</t>
        </is>
      </c>
      <c r="E859" t="inlineStr">
        <is>
          <t>TORSBY</t>
        </is>
      </c>
      <c r="F859" t="inlineStr">
        <is>
          <t>Bergvik skog väst AB</t>
        </is>
      </c>
      <c r="G859" t="n">
        <v>8</v>
      </c>
      <c r="H859" t="n">
        <v>0</v>
      </c>
      <c r="I859" t="n">
        <v>0</v>
      </c>
      <c r="J859" t="n">
        <v>0</v>
      </c>
      <c r="K859" t="n">
        <v>0</v>
      </c>
      <c r="L859" t="n">
        <v>0</v>
      </c>
      <c r="M859" t="n">
        <v>0</v>
      </c>
      <c r="N859" t="n">
        <v>0</v>
      </c>
      <c r="O859" t="n">
        <v>0</v>
      </c>
      <c r="P859" t="n">
        <v>0</v>
      </c>
      <c r="Q859" t="n">
        <v>0</v>
      </c>
      <c r="R859" s="2" t="inlineStr"/>
    </row>
    <row r="860" ht="15" customHeight="1">
      <c r="A860" t="inlineStr">
        <is>
          <t>A 69279-2021</t>
        </is>
      </c>
      <c r="B860" s="1" t="n">
        <v>44526</v>
      </c>
      <c r="C860" s="1" t="n">
        <v>45640</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69265-2021</t>
        </is>
      </c>
      <c r="B861" s="1" t="n">
        <v>44526</v>
      </c>
      <c r="C861" s="1" t="n">
        <v>45640</v>
      </c>
      <c r="D861" t="inlineStr">
        <is>
          <t>VÄRMLANDS LÄN</t>
        </is>
      </c>
      <c r="E861" t="inlineStr">
        <is>
          <t>TORSBY</t>
        </is>
      </c>
      <c r="G861" t="n">
        <v>11.1</v>
      </c>
      <c r="H861" t="n">
        <v>0</v>
      </c>
      <c r="I861" t="n">
        <v>0</v>
      </c>
      <c r="J861" t="n">
        <v>0</v>
      </c>
      <c r="K861" t="n">
        <v>0</v>
      </c>
      <c r="L861" t="n">
        <v>0</v>
      </c>
      <c r="M861" t="n">
        <v>0</v>
      </c>
      <c r="N861" t="n">
        <v>0</v>
      </c>
      <c r="O861" t="n">
        <v>0</v>
      </c>
      <c r="P861" t="n">
        <v>0</v>
      </c>
      <c r="Q861" t="n">
        <v>0</v>
      </c>
      <c r="R861" s="2" t="inlineStr"/>
    </row>
    <row r="862" ht="15" customHeight="1">
      <c r="A862" t="inlineStr">
        <is>
          <t>A 69275-2021</t>
        </is>
      </c>
      <c r="B862" s="1" t="n">
        <v>44526</v>
      </c>
      <c r="C862" s="1" t="n">
        <v>45640</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68153-2021</t>
        </is>
      </c>
      <c r="B863" s="1" t="n">
        <v>44526</v>
      </c>
      <c r="C863" s="1" t="n">
        <v>45640</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69281-2021</t>
        </is>
      </c>
      <c r="B864" s="1" t="n">
        <v>44526</v>
      </c>
      <c r="C864" s="1" t="n">
        <v>45640</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68266-2021</t>
        </is>
      </c>
      <c r="B865" s="1" t="n">
        <v>44526</v>
      </c>
      <c r="C865" s="1" t="n">
        <v>45640</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68136-2021</t>
        </is>
      </c>
      <c r="B866" s="1" t="n">
        <v>44526</v>
      </c>
      <c r="C866" s="1" t="n">
        <v>45640</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68650-2021</t>
        </is>
      </c>
      <c r="B867" s="1" t="n">
        <v>44529</v>
      </c>
      <c r="C867" s="1" t="n">
        <v>45640</v>
      </c>
      <c r="D867" t="inlineStr">
        <is>
          <t>VÄRMLANDS LÄN</t>
        </is>
      </c>
      <c r="E867" t="inlineStr">
        <is>
          <t>TORSBY</t>
        </is>
      </c>
      <c r="F867" t="inlineStr">
        <is>
          <t>Bergvik skog väst AB</t>
        </is>
      </c>
      <c r="G867" t="n">
        <v>8.6</v>
      </c>
      <c r="H867" t="n">
        <v>0</v>
      </c>
      <c r="I867" t="n">
        <v>0</v>
      </c>
      <c r="J867" t="n">
        <v>0</v>
      </c>
      <c r="K867" t="n">
        <v>0</v>
      </c>
      <c r="L867" t="n">
        <v>0</v>
      </c>
      <c r="M867" t="n">
        <v>0</v>
      </c>
      <c r="N867" t="n">
        <v>0</v>
      </c>
      <c r="O867" t="n">
        <v>0</v>
      </c>
      <c r="P867" t="n">
        <v>0</v>
      </c>
      <c r="Q867" t="n">
        <v>0</v>
      </c>
      <c r="R867" s="2" t="inlineStr"/>
    </row>
    <row r="868" ht="15" customHeight="1">
      <c r="A868" t="inlineStr">
        <is>
          <t>A 68850-2021</t>
        </is>
      </c>
      <c r="B868" s="1" t="n">
        <v>44530</v>
      </c>
      <c r="C868" s="1" t="n">
        <v>45640</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68855-2021</t>
        </is>
      </c>
      <c r="B869" s="1" t="n">
        <v>44530</v>
      </c>
      <c r="C869" s="1" t="n">
        <v>45640</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69026-2021</t>
        </is>
      </c>
      <c r="B870" s="1" t="n">
        <v>44530</v>
      </c>
      <c r="C870" s="1" t="n">
        <v>45640</v>
      </c>
      <c r="D870" t="inlineStr">
        <is>
          <t>VÄRMLANDS LÄN</t>
        </is>
      </c>
      <c r="E870" t="inlineStr">
        <is>
          <t>TORSBY</t>
        </is>
      </c>
      <c r="F870" t="inlineStr">
        <is>
          <t>Bergvik skog väst AB</t>
        </is>
      </c>
      <c r="G870" t="n">
        <v>11.3</v>
      </c>
      <c r="H870" t="n">
        <v>0</v>
      </c>
      <c r="I870" t="n">
        <v>0</v>
      </c>
      <c r="J870" t="n">
        <v>0</v>
      </c>
      <c r="K870" t="n">
        <v>0</v>
      </c>
      <c r="L870" t="n">
        <v>0</v>
      </c>
      <c r="M870" t="n">
        <v>0</v>
      </c>
      <c r="N870" t="n">
        <v>0</v>
      </c>
      <c r="O870" t="n">
        <v>0</v>
      </c>
      <c r="P870" t="n">
        <v>0</v>
      </c>
      <c r="Q870" t="n">
        <v>0</v>
      </c>
      <c r="R870" s="2" t="inlineStr"/>
    </row>
    <row r="871" ht="15" customHeight="1">
      <c r="A871" t="inlineStr">
        <is>
          <t>A 69086-2021</t>
        </is>
      </c>
      <c r="B871" s="1" t="n">
        <v>44530</v>
      </c>
      <c r="C871" s="1" t="n">
        <v>45640</v>
      </c>
      <c r="D871" t="inlineStr">
        <is>
          <t>VÄRMLANDS LÄN</t>
        </is>
      </c>
      <c r="E871" t="inlineStr">
        <is>
          <t>TORSBY</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69877-2021</t>
        </is>
      </c>
      <c r="B872" s="1" t="n">
        <v>44532</v>
      </c>
      <c r="C872" s="1" t="n">
        <v>45640</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69878-2021</t>
        </is>
      </c>
      <c r="B873" s="1" t="n">
        <v>44532</v>
      </c>
      <c r="C873" s="1" t="n">
        <v>45640</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70166-2021</t>
        </is>
      </c>
      <c r="B874" s="1" t="n">
        <v>44533</v>
      </c>
      <c r="C874" s="1" t="n">
        <v>45640</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69974-2021</t>
        </is>
      </c>
      <c r="B875" s="1" t="n">
        <v>44533</v>
      </c>
      <c r="C875" s="1" t="n">
        <v>45640</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70241-2021</t>
        </is>
      </c>
      <c r="B876" s="1" t="n">
        <v>44536</v>
      </c>
      <c r="C876" s="1" t="n">
        <v>45640</v>
      </c>
      <c r="D876" t="inlineStr">
        <is>
          <t>VÄRMLANDS LÄN</t>
        </is>
      </c>
      <c r="E876" t="inlineStr">
        <is>
          <t>TORSBY</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70253-2021</t>
        </is>
      </c>
      <c r="B877" s="1" t="n">
        <v>44536</v>
      </c>
      <c r="C877" s="1" t="n">
        <v>45640</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70658-2021</t>
        </is>
      </c>
      <c r="B878" s="1" t="n">
        <v>44537</v>
      </c>
      <c r="C878" s="1" t="n">
        <v>45640</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70787-2021</t>
        </is>
      </c>
      <c r="B879" s="1" t="n">
        <v>44537</v>
      </c>
      <c r="C879" s="1" t="n">
        <v>45640</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70775-2021</t>
        </is>
      </c>
      <c r="B880" s="1" t="n">
        <v>44537</v>
      </c>
      <c r="C880" s="1" t="n">
        <v>45640</v>
      </c>
      <c r="D880" t="inlineStr">
        <is>
          <t>VÄRMLANDS LÄN</t>
        </is>
      </c>
      <c r="E880" t="inlineStr">
        <is>
          <t>TORSBY</t>
        </is>
      </c>
      <c r="G880" t="n">
        <v>0.3</v>
      </c>
      <c r="H880" t="n">
        <v>0</v>
      </c>
      <c r="I880" t="n">
        <v>0</v>
      </c>
      <c r="J880" t="n">
        <v>0</v>
      </c>
      <c r="K880" t="n">
        <v>0</v>
      </c>
      <c r="L880" t="n">
        <v>0</v>
      </c>
      <c r="M880" t="n">
        <v>0</v>
      </c>
      <c r="N880" t="n">
        <v>0</v>
      </c>
      <c r="O880" t="n">
        <v>0</v>
      </c>
      <c r="P880" t="n">
        <v>0</v>
      </c>
      <c r="Q880" t="n">
        <v>0</v>
      </c>
      <c r="R880" s="2" t="inlineStr"/>
    </row>
    <row r="881" ht="15" customHeight="1">
      <c r="A881" t="inlineStr">
        <is>
          <t>A 70785-2021</t>
        </is>
      </c>
      <c r="B881" s="1" t="n">
        <v>44537</v>
      </c>
      <c r="C881" s="1" t="n">
        <v>45640</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70978-2021</t>
        </is>
      </c>
      <c r="B882" s="1" t="n">
        <v>44537</v>
      </c>
      <c r="C882" s="1" t="n">
        <v>45640</v>
      </c>
      <c r="D882" t="inlineStr">
        <is>
          <t>VÄRMLANDS LÄN</t>
        </is>
      </c>
      <c r="E882" t="inlineStr">
        <is>
          <t>TORSBY</t>
        </is>
      </c>
      <c r="G882" t="n">
        <v>12.6</v>
      </c>
      <c r="H882" t="n">
        <v>0</v>
      </c>
      <c r="I882" t="n">
        <v>0</v>
      </c>
      <c r="J882" t="n">
        <v>0</v>
      </c>
      <c r="K882" t="n">
        <v>0</v>
      </c>
      <c r="L882" t="n">
        <v>0</v>
      </c>
      <c r="M882" t="n">
        <v>0</v>
      </c>
      <c r="N882" t="n">
        <v>0</v>
      </c>
      <c r="O882" t="n">
        <v>0</v>
      </c>
      <c r="P882" t="n">
        <v>0</v>
      </c>
      <c r="Q882" t="n">
        <v>0</v>
      </c>
      <c r="R882" s="2" t="inlineStr"/>
    </row>
    <row r="883" ht="15" customHeight="1">
      <c r="A883" t="inlineStr">
        <is>
          <t>A 70926-2021</t>
        </is>
      </c>
      <c r="B883" s="1" t="n">
        <v>44538</v>
      </c>
      <c r="C883" s="1" t="n">
        <v>45640</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70924-2021</t>
        </is>
      </c>
      <c r="B884" s="1" t="n">
        <v>44538</v>
      </c>
      <c r="C884" s="1" t="n">
        <v>45640</v>
      </c>
      <c r="D884" t="inlineStr">
        <is>
          <t>VÄRMLANDS LÄN</t>
        </is>
      </c>
      <c r="E884" t="inlineStr">
        <is>
          <t>TORSBY</t>
        </is>
      </c>
      <c r="G884" t="n">
        <v>3.8</v>
      </c>
      <c r="H884" t="n">
        <v>0</v>
      </c>
      <c r="I884" t="n">
        <v>0</v>
      </c>
      <c r="J884" t="n">
        <v>0</v>
      </c>
      <c r="K884" t="n">
        <v>0</v>
      </c>
      <c r="L884" t="n">
        <v>0</v>
      </c>
      <c r="M884" t="n">
        <v>0</v>
      </c>
      <c r="N884" t="n">
        <v>0</v>
      </c>
      <c r="O884" t="n">
        <v>0</v>
      </c>
      <c r="P884" t="n">
        <v>0</v>
      </c>
      <c r="Q884" t="n">
        <v>0</v>
      </c>
      <c r="R884" s="2" t="inlineStr"/>
    </row>
    <row r="885" ht="15" customHeight="1">
      <c r="A885" t="inlineStr">
        <is>
          <t>A 71255-2021</t>
        </is>
      </c>
      <c r="B885" s="1" t="n">
        <v>44538</v>
      </c>
      <c r="C885" s="1" t="n">
        <v>45640</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71084-2021</t>
        </is>
      </c>
      <c r="B886" s="1" t="n">
        <v>44539</v>
      </c>
      <c r="C886" s="1" t="n">
        <v>45640</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71469-2021</t>
        </is>
      </c>
      <c r="B887" s="1" t="n">
        <v>44540</v>
      </c>
      <c r="C887" s="1" t="n">
        <v>45640</v>
      </c>
      <c r="D887" t="inlineStr">
        <is>
          <t>VÄRMLANDS LÄN</t>
        </is>
      </c>
      <c r="E887" t="inlineStr">
        <is>
          <t>TORSBY</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71679-2021</t>
        </is>
      </c>
      <c r="B888" s="1" t="n">
        <v>44543</v>
      </c>
      <c r="C888" s="1" t="n">
        <v>45640</v>
      </c>
      <c r="D888" t="inlineStr">
        <is>
          <t>VÄRMLANDS LÄN</t>
        </is>
      </c>
      <c r="E888" t="inlineStr">
        <is>
          <t>TORSBY</t>
        </is>
      </c>
      <c r="G888" t="n">
        <v>2.3</v>
      </c>
      <c r="H888" t="n">
        <v>0</v>
      </c>
      <c r="I888" t="n">
        <v>0</v>
      </c>
      <c r="J888" t="n">
        <v>0</v>
      </c>
      <c r="K888" t="n">
        <v>0</v>
      </c>
      <c r="L888" t="n">
        <v>0</v>
      </c>
      <c r="M888" t="n">
        <v>0</v>
      </c>
      <c r="N888" t="n">
        <v>0</v>
      </c>
      <c r="O888" t="n">
        <v>0</v>
      </c>
      <c r="P888" t="n">
        <v>0</v>
      </c>
      <c r="Q888" t="n">
        <v>0</v>
      </c>
      <c r="R888" s="2" t="inlineStr"/>
    </row>
    <row r="889" ht="15" customHeight="1">
      <c r="A889" t="inlineStr">
        <is>
          <t>A 71990-2021</t>
        </is>
      </c>
      <c r="B889" s="1" t="n">
        <v>44544</v>
      </c>
      <c r="C889" s="1" t="n">
        <v>45640</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72200-2021</t>
        </is>
      </c>
      <c r="B890" s="1" t="n">
        <v>44544</v>
      </c>
      <c r="C890" s="1" t="n">
        <v>45640</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72250-2021</t>
        </is>
      </c>
      <c r="B891" s="1" t="n">
        <v>44544</v>
      </c>
      <c r="C891" s="1" t="n">
        <v>45640</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73055-2021</t>
        </is>
      </c>
      <c r="B892" s="1" t="n">
        <v>44550</v>
      </c>
      <c r="C892" s="1" t="n">
        <v>45640</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73324-2021</t>
        </is>
      </c>
      <c r="B893" s="1" t="n">
        <v>44550</v>
      </c>
      <c r="C893" s="1" t="n">
        <v>45640</v>
      </c>
      <c r="D893" t="inlineStr">
        <is>
          <t>VÄRMLANDS LÄN</t>
        </is>
      </c>
      <c r="E893" t="inlineStr">
        <is>
          <t>TORSBY</t>
        </is>
      </c>
      <c r="G893" t="n">
        <v>9.9</v>
      </c>
      <c r="H893" t="n">
        <v>0</v>
      </c>
      <c r="I893" t="n">
        <v>0</v>
      </c>
      <c r="J893" t="n">
        <v>0</v>
      </c>
      <c r="K893" t="n">
        <v>0</v>
      </c>
      <c r="L893" t="n">
        <v>0</v>
      </c>
      <c r="M893" t="n">
        <v>0</v>
      </c>
      <c r="N893" t="n">
        <v>0</v>
      </c>
      <c r="O893" t="n">
        <v>0</v>
      </c>
      <c r="P893" t="n">
        <v>0</v>
      </c>
      <c r="Q893" t="n">
        <v>0</v>
      </c>
      <c r="R893" s="2" t="inlineStr"/>
    </row>
    <row r="894" ht="15" customHeight="1">
      <c r="A894" t="inlineStr">
        <is>
          <t>A 73165-2021</t>
        </is>
      </c>
      <c r="B894" s="1" t="n">
        <v>44550</v>
      </c>
      <c r="C894" s="1" t="n">
        <v>45640</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73442-2021</t>
        </is>
      </c>
      <c r="B895" s="1" t="n">
        <v>44551</v>
      </c>
      <c r="C895" s="1" t="n">
        <v>45640</v>
      </c>
      <c r="D895" t="inlineStr">
        <is>
          <t>VÄRMLANDS LÄN</t>
        </is>
      </c>
      <c r="E895" t="inlineStr">
        <is>
          <t>TORSBY</t>
        </is>
      </c>
      <c r="F895" t="inlineStr">
        <is>
          <t>Bergvik skog väst AB</t>
        </is>
      </c>
      <c r="G895" t="n">
        <v>4.1</v>
      </c>
      <c r="H895" t="n">
        <v>0</v>
      </c>
      <c r="I895" t="n">
        <v>0</v>
      </c>
      <c r="J895" t="n">
        <v>0</v>
      </c>
      <c r="K895" t="n">
        <v>0</v>
      </c>
      <c r="L895" t="n">
        <v>0</v>
      </c>
      <c r="M895" t="n">
        <v>0</v>
      </c>
      <c r="N895" t="n">
        <v>0</v>
      </c>
      <c r="O895" t="n">
        <v>0</v>
      </c>
      <c r="P895" t="n">
        <v>0</v>
      </c>
      <c r="Q895" t="n">
        <v>0</v>
      </c>
      <c r="R895" s="2" t="inlineStr"/>
    </row>
    <row r="896" ht="15" customHeight="1">
      <c r="A896" t="inlineStr">
        <is>
          <t>A 73553-2021</t>
        </is>
      </c>
      <c r="B896" s="1" t="n">
        <v>44551</v>
      </c>
      <c r="C896" s="1" t="n">
        <v>45640</v>
      </c>
      <c r="D896" t="inlineStr">
        <is>
          <t>VÄRMLANDS LÄN</t>
        </is>
      </c>
      <c r="E896" t="inlineStr">
        <is>
          <t>TORSBY</t>
        </is>
      </c>
      <c r="G896" t="n">
        <v>5.1</v>
      </c>
      <c r="H896" t="n">
        <v>0</v>
      </c>
      <c r="I896" t="n">
        <v>0</v>
      </c>
      <c r="J896" t="n">
        <v>0</v>
      </c>
      <c r="K896" t="n">
        <v>0</v>
      </c>
      <c r="L896" t="n">
        <v>0</v>
      </c>
      <c r="M896" t="n">
        <v>0</v>
      </c>
      <c r="N896" t="n">
        <v>0</v>
      </c>
      <c r="O896" t="n">
        <v>0</v>
      </c>
      <c r="P896" t="n">
        <v>0</v>
      </c>
      <c r="Q896" t="n">
        <v>0</v>
      </c>
      <c r="R896" s="2" t="inlineStr"/>
    </row>
    <row r="897" ht="15" customHeight="1">
      <c r="A897" t="inlineStr">
        <is>
          <t>A 73521-2021</t>
        </is>
      </c>
      <c r="B897" s="1" t="n">
        <v>44551</v>
      </c>
      <c r="C897" s="1" t="n">
        <v>45640</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73882-2021</t>
        </is>
      </c>
      <c r="B898" s="1" t="n">
        <v>44553</v>
      </c>
      <c r="C898" s="1" t="n">
        <v>45640</v>
      </c>
      <c r="D898" t="inlineStr">
        <is>
          <t>VÄRMLANDS LÄN</t>
        </is>
      </c>
      <c r="E898" t="inlineStr">
        <is>
          <t>TORSBY</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73874-2021</t>
        </is>
      </c>
      <c r="B899" s="1" t="n">
        <v>44553</v>
      </c>
      <c r="C899" s="1" t="n">
        <v>45640</v>
      </c>
      <c r="D899" t="inlineStr">
        <is>
          <t>VÄRMLANDS LÄN</t>
        </is>
      </c>
      <c r="E899" t="inlineStr">
        <is>
          <t>TORSBY</t>
        </is>
      </c>
      <c r="G899" t="n">
        <v>6.6</v>
      </c>
      <c r="H899" t="n">
        <v>0</v>
      </c>
      <c r="I899" t="n">
        <v>0</v>
      </c>
      <c r="J899" t="n">
        <v>0</v>
      </c>
      <c r="K899" t="n">
        <v>0</v>
      </c>
      <c r="L899" t="n">
        <v>0</v>
      </c>
      <c r="M899" t="n">
        <v>0</v>
      </c>
      <c r="N899" t="n">
        <v>0</v>
      </c>
      <c r="O899" t="n">
        <v>0</v>
      </c>
      <c r="P899" t="n">
        <v>0</v>
      </c>
      <c r="Q899" t="n">
        <v>0</v>
      </c>
      <c r="R899" s="2" t="inlineStr"/>
    </row>
    <row r="900" ht="15" customHeight="1">
      <c r="A900" t="inlineStr">
        <is>
          <t>A 74012-2021</t>
        </is>
      </c>
      <c r="B900" s="1" t="n">
        <v>44553</v>
      </c>
      <c r="C900" s="1" t="n">
        <v>45640</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74079-2021</t>
        </is>
      </c>
      <c r="B901" s="1" t="n">
        <v>44557</v>
      </c>
      <c r="C901" s="1" t="n">
        <v>45640</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74375-2021</t>
        </is>
      </c>
      <c r="B902" s="1" t="n">
        <v>44559</v>
      </c>
      <c r="C902" s="1" t="n">
        <v>45640</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74374-2021</t>
        </is>
      </c>
      <c r="B903" s="1" t="n">
        <v>44559</v>
      </c>
      <c r="C903" s="1" t="n">
        <v>45640</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74351-2021</t>
        </is>
      </c>
      <c r="B904" s="1" t="n">
        <v>44559</v>
      </c>
      <c r="C904" s="1" t="n">
        <v>45640</v>
      </c>
      <c r="D904" t="inlineStr">
        <is>
          <t>VÄRMLANDS LÄN</t>
        </is>
      </c>
      <c r="E904" t="inlineStr">
        <is>
          <t>TORSBY</t>
        </is>
      </c>
      <c r="F904" t="inlineStr">
        <is>
          <t>Bergvik skog väst AB</t>
        </is>
      </c>
      <c r="G904" t="n">
        <v>9.1</v>
      </c>
      <c r="H904" t="n">
        <v>0</v>
      </c>
      <c r="I904" t="n">
        <v>0</v>
      </c>
      <c r="J904" t="n">
        <v>0</v>
      </c>
      <c r="K904" t="n">
        <v>0</v>
      </c>
      <c r="L904" t="n">
        <v>0</v>
      </c>
      <c r="M904" t="n">
        <v>0</v>
      </c>
      <c r="N904" t="n">
        <v>0</v>
      </c>
      <c r="O904" t="n">
        <v>0</v>
      </c>
      <c r="P904" t="n">
        <v>0</v>
      </c>
      <c r="Q904" t="n">
        <v>0</v>
      </c>
      <c r="R904" s="2" t="inlineStr"/>
    </row>
    <row r="905" ht="15" customHeight="1">
      <c r="A905" t="inlineStr">
        <is>
          <t>A 361-2022</t>
        </is>
      </c>
      <c r="B905" s="1" t="n">
        <v>44565</v>
      </c>
      <c r="C905" s="1" t="n">
        <v>45640</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739-2022</t>
        </is>
      </c>
      <c r="B906" s="1" t="n">
        <v>44568</v>
      </c>
      <c r="C906" s="1" t="n">
        <v>45640</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997-2022</t>
        </is>
      </c>
      <c r="B907" s="1" t="n">
        <v>44571</v>
      </c>
      <c r="C907" s="1" t="n">
        <v>45640</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1839-2022</t>
        </is>
      </c>
      <c r="B908" s="1" t="n">
        <v>44574</v>
      </c>
      <c r="C908" s="1" t="n">
        <v>45640</v>
      </c>
      <c r="D908" t="inlineStr">
        <is>
          <t>VÄRMLANDS LÄN</t>
        </is>
      </c>
      <c r="E908" t="inlineStr">
        <is>
          <t>TORSBY</t>
        </is>
      </c>
      <c r="G908" t="n">
        <v>5.3</v>
      </c>
      <c r="H908" t="n">
        <v>0</v>
      </c>
      <c r="I908" t="n">
        <v>0</v>
      </c>
      <c r="J908" t="n">
        <v>0</v>
      </c>
      <c r="K908" t="n">
        <v>0</v>
      </c>
      <c r="L908" t="n">
        <v>0</v>
      </c>
      <c r="M908" t="n">
        <v>0</v>
      </c>
      <c r="N908" t="n">
        <v>0</v>
      </c>
      <c r="O908" t="n">
        <v>0</v>
      </c>
      <c r="P908" t="n">
        <v>0</v>
      </c>
      <c r="Q908" t="n">
        <v>0</v>
      </c>
      <c r="R908" s="2" t="inlineStr"/>
    </row>
    <row r="909" ht="15" customHeight="1">
      <c r="A909" t="inlineStr">
        <is>
          <t>A 1911-2022</t>
        </is>
      </c>
      <c r="B909" s="1" t="n">
        <v>44575</v>
      </c>
      <c r="C909" s="1" t="n">
        <v>45640</v>
      </c>
      <c r="D909" t="inlineStr">
        <is>
          <t>VÄRMLANDS LÄN</t>
        </is>
      </c>
      <c r="E909" t="inlineStr">
        <is>
          <t>TORSBY</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2414-2022</t>
        </is>
      </c>
      <c r="B910" s="1" t="n">
        <v>44579</v>
      </c>
      <c r="C910" s="1" t="n">
        <v>45640</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2421-2022</t>
        </is>
      </c>
      <c r="B911" s="1" t="n">
        <v>44579</v>
      </c>
      <c r="C911" s="1" t="n">
        <v>45640</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2699-2022</t>
        </is>
      </c>
      <c r="B912" s="1" t="n">
        <v>44580</v>
      </c>
      <c r="C912" s="1" t="n">
        <v>45640</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3071-2022</t>
        </is>
      </c>
      <c r="B913" s="1" t="n">
        <v>44582</v>
      </c>
      <c r="C913" s="1" t="n">
        <v>45640</v>
      </c>
      <c r="D913" t="inlineStr">
        <is>
          <t>VÄRMLANDS LÄN</t>
        </is>
      </c>
      <c r="E913" t="inlineStr">
        <is>
          <t>TORSBY</t>
        </is>
      </c>
      <c r="G913" t="n">
        <v>7.9</v>
      </c>
      <c r="H913" t="n">
        <v>0</v>
      </c>
      <c r="I913" t="n">
        <v>0</v>
      </c>
      <c r="J913" t="n">
        <v>0</v>
      </c>
      <c r="K913" t="n">
        <v>0</v>
      </c>
      <c r="L913" t="n">
        <v>0</v>
      </c>
      <c r="M913" t="n">
        <v>0</v>
      </c>
      <c r="N913" t="n">
        <v>0</v>
      </c>
      <c r="O913" t="n">
        <v>0</v>
      </c>
      <c r="P913" t="n">
        <v>0</v>
      </c>
      <c r="Q913" t="n">
        <v>0</v>
      </c>
      <c r="R913" s="2" t="inlineStr"/>
    </row>
    <row r="914" ht="15" customHeight="1">
      <c r="A914" t="inlineStr">
        <is>
          <t>A 3369-2022</t>
        </is>
      </c>
      <c r="B914" s="1" t="n">
        <v>44585</v>
      </c>
      <c r="C914" s="1" t="n">
        <v>45640</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3385-2022</t>
        </is>
      </c>
      <c r="B915" s="1" t="n">
        <v>44585</v>
      </c>
      <c r="C915" s="1" t="n">
        <v>45640</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3397-2022</t>
        </is>
      </c>
      <c r="B916" s="1" t="n">
        <v>44585</v>
      </c>
      <c r="C916" s="1" t="n">
        <v>45640</v>
      </c>
      <c r="D916" t="inlineStr">
        <is>
          <t>VÄRMLANDS LÄN</t>
        </is>
      </c>
      <c r="E916" t="inlineStr">
        <is>
          <t>TORSBY</t>
        </is>
      </c>
      <c r="G916" t="n">
        <v>2</v>
      </c>
      <c r="H916" t="n">
        <v>0</v>
      </c>
      <c r="I916" t="n">
        <v>0</v>
      </c>
      <c r="J916" t="n">
        <v>0</v>
      </c>
      <c r="K916" t="n">
        <v>0</v>
      </c>
      <c r="L916" t="n">
        <v>0</v>
      </c>
      <c r="M916" t="n">
        <v>0</v>
      </c>
      <c r="N916" t="n">
        <v>0</v>
      </c>
      <c r="O916" t="n">
        <v>0</v>
      </c>
      <c r="P916" t="n">
        <v>0</v>
      </c>
      <c r="Q916" t="n">
        <v>0</v>
      </c>
      <c r="R916" s="2" t="inlineStr"/>
    </row>
    <row r="917" ht="15" customHeight="1">
      <c r="A917" t="inlineStr">
        <is>
          <t>A 3387-2022</t>
        </is>
      </c>
      <c r="B917" s="1" t="n">
        <v>44585</v>
      </c>
      <c r="C917" s="1" t="n">
        <v>45640</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3382-2022</t>
        </is>
      </c>
      <c r="B918" s="1" t="n">
        <v>44585</v>
      </c>
      <c r="C918" s="1" t="n">
        <v>45640</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3390-2022</t>
        </is>
      </c>
      <c r="B919" s="1" t="n">
        <v>44585</v>
      </c>
      <c r="C919" s="1" t="n">
        <v>45640</v>
      </c>
      <c r="D919" t="inlineStr">
        <is>
          <t>VÄRMLANDS LÄN</t>
        </is>
      </c>
      <c r="E919" t="inlineStr">
        <is>
          <t>TORSBY</t>
        </is>
      </c>
      <c r="G919" t="n">
        <v>4.3</v>
      </c>
      <c r="H919" t="n">
        <v>0</v>
      </c>
      <c r="I919" t="n">
        <v>0</v>
      </c>
      <c r="J919" t="n">
        <v>0</v>
      </c>
      <c r="K919" t="n">
        <v>0</v>
      </c>
      <c r="L919" t="n">
        <v>0</v>
      </c>
      <c r="M919" t="n">
        <v>0</v>
      </c>
      <c r="N919" t="n">
        <v>0</v>
      </c>
      <c r="O919" t="n">
        <v>0</v>
      </c>
      <c r="P919" t="n">
        <v>0</v>
      </c>
      <c r="Q919" t="n">
        <v>0</v>
      </c>
      <c r="R919" s="2" t="inlineStr"/>
    </row>
    <row r="920" ht="15" customHeight="1">
      <c r="A920" t="inlineStr">
        <is>
          <t>A 3393-2022</t>
        </is>
      </c>
      <c r="B920" s="1" t="n">
        <v>44585</v>
      </c>
      <c r="C920" s="1" t="n">
        <v>45640</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3749-2022</t>
        </is>
      </c>
      <c r="B921" s="1" t="n">
        <v>44586</v>
      </c>
      <c r="C921" s="1" t="n">
        <v>45640</v>
      </c>
      <c r="D921" t="inlineStr">
        <is>
          <t>VÄRMLANDS LÄN</t>
        </is>
      </c>
      <c r="E921" t="inlineStr">
        <is>
          <t>TORSBY</t>
        </is>
      </c>
      <c r="G921" t="n">
        <v>6.3</v>
      </c>
      <c r="H921" t="n">
        <v>0</v>
      </c>
      <c r="I921" t="n">
        <v>0</v>
      </c>
      <c r="J921" t="n">
        <v>0</v>
      </c>
      <c r="K921" t="n">
        <v>0</v>
      </c>
      <c r="L921" t="n">
        <v>0</v>
      </c>
      <c r="M921" t="n">
        <v>0</v>
      </c>
      <c r="N921" t="n">
        <v>0</v>
      </c>
      <c r="O921" t="n">
        <v>0</v>
      </c>
      <c r="P921" t="n">
        <v>0</v>
      </c>
      <c r="Q921" t="n">
        <v>0</v>
      </c>
      <c r="R921" s="2" t="inlineStr"/>
    </row>
    <row r="922" ht="15" customHeight="1">
      <c r="A922" t="inlineStr">
        <is>
          <t>A 3841-2022</t>
        </is>
      </c>
      <c r="B922" s="1" t="n">
        <v>44587</v>
      </c>
      <c r="C922" s="1" t="n">
        <v>45640</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3887-2022</t>
        </is>
      </c>
      <c r="B923" s="1" t="n">
        <v>44587</v>
      </c>
      <c r="C923" s="1" t="n">
        <v>45640</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4172-2022</t>
        </is>
      </c>
      <c r="B924" s="1" t="n">
        <v>44588</v>
      </c>
      <c r="C924" s="1" t="n">
        <v>45640</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4557-2022</t>
        </is>
      </c>
      <c r="B925" s="1" t="n">
        <v>44591</v>
      </c>
      <c r="C925" s="1" t="n">
        <v>45640</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4640-2022</t>
        </is>
      </c>
      <c r="B926" s="1" t="n">
        <v>44592</v>
      </c>
      <c r="C926" s="1" t="n">
        <v>45640</v>
      </c>
      <c r="D926" t="inlineStr">
        <is>
          <t>VÄRMLANDS LÄN</t>
        </is>
      </c>
      <c r="E926" t="inlineStr">
        <is>
          <t>TORSBY</t>
        </is>
      </c>
      <c r="G926" t="n">
        <v>9</v>
      </c>
      <c r="H926" t="n">
        <v>0</v>
      </c>
      <c r="I926" t="n">
        <v>0</v>
      </c>
      <c r="J926" t="n">
        <v>0</v>
      </c>
      <c r="K926" t="n">
        <v>0</v>
      </c>
      <c r="L926" t="n">
        <v>0</v>
      </c>
      <c r="M926" t="n">
        <v>0</v>
      </c>
      <c r="N926" t="n">
        <v>0</v>
      </c>
      <c r="O926" t="n">
        <v>0</v>
      </c>
      <c r="P926" t="n">
        <v>0</v>
      </c>
      <c r="Q926" t="n">
        <v>0</v>
      </c>
      <c r="R926" s="2" t="inlineStr"/>
    </row>
    <row r="927" ht="15" customHeight="1">
      <c r="A927" t="inlineStr">
        <is>
          <t>A 4967-2022</t>
        </is>
      </c>
      <c r="B927" s="1" t="n">
        <v>44593</v>
      </c>
      <c r="C927" s="1" t="n">
        <v>45640</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4960-2022</t>
        </is>
      </c>
      <c r="B928" s="1" t="n">
        <v>44593</v>
      </c>
      <c r="C928" s="1" t="n">
        <v>45640</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5040-2022</t>
        </is>
      </c>
      <c r="B929" s="1" t="n">
        <v>44593</v>
      </c>
      <c r="C929" s="1" t="n">
        <v>45640</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5015-2022</t>
        </is>
      </c>
      <c r="B930" s="1" t="n">
        <v>44593</v>
      </c>
      <c r="C930" s="1" t="n">
        <v>45640</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5289-2022</t>
        </is>
      </c>
      <c r="B931" s="1" t="n">
        <v>44594</v>
      </c>
      <c r="C931" s="1" t="n">
        <v>45640</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6438-2022</t>
        </is>
      </c>
      <c r="B932" s="1" t="n">
        <v>44601</v>
      </c>
      <c r="C932" s="1" t="n">
        <v>45640</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7091-2022</t>
        </is>
      </c>
      <c r="B933" s="1" t="n">
        <v>44603</v>
      </c>
      <c r="C933" s="1" t="n">
        <v>45640</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7069-2022</t>
        </is>
      </c>
      <c r="B934" s="1" t="n">
        <v>44603</v>
      </c>
      <c r="C934" s="1" t="n">
        <v>45640</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7544-2022</t>
        </is>
      </c>
      <c r="B935" s="1" t="n">
        <v>44607</v>
      </c>
      <c r="C935" s="1" t="n">
        <v>45640</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7543-2022</t>
        </is>
      </c>
      <c r="B936" s="1" t="n">
        <v>44607</v>
      </c>
      <c r="C936" s="1" t="n">
        <v>45640</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7921-2022</t>
        </is>
      </c>
      <c r="B937" s="1" t="n">
        <v>44608</v>
      </c>
      <c r="C937" s="1" t="n">
        <v>45640</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8048-2022</t>
        </is>
      </c>
      <c r="B938" s="1" t="n">
        <v>44609</v>
      </c>
      <c r="C938" s="1" t="n">
        <v>45640</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8054-2022</t>
        </is>
      </c>
      <c r="B939" s="1" t="n">
        <v>44609</v>
      </c>
      <c r="C939" s="1" t="n">
        <v>45640</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8033-2022</t>
        </is>
      </c>
      <c r="B940" s="1" t="n">
        <v>44609</v>
      </c>
      <c r="C940" s="1" t="n">
        <v>45640</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8739-2022</t>
        </is>
      </c>
      <c r="B941" s="1" t="n">
        <v>44615</v>
      </c>
      <c r="C941" s="1" t="n">
        <v>45640</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9057-2022</t>
        </is>
      </c>
      <c r="B942" s="1" t="n">
        <v>44615</v>
      </c>
      <c r="C942" s="1" t="n">
        <v>45640</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10608-2022</t>
        </is>
      </c>
      <c r="B943" s="1" t="n">
        <v>44624</v>
      </c>
      <c r="C943" s="1" t="n">
        <v>45640</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11050-2022</t>
        </is>
      </c>
      <c r="B944" s="1" t="n">
        <v>44628</v>
      </c>
      <c r="C944" s="1" t="n">
        <v>45640</v>
      </c>
      <c r="D944" t="inlineStr">
        <is>
          <t>VÄRMLANDS LÄN</t>
        </is>
      </c>
      <c r="E944" t="inlineStr">
        <is>
          <t>TORSBY</t>
        </is>
      </c>
      <c r="G944" t="n">
        <v>4.9</v>
      </c>
      <c r="H944" t="n">
        <v>0</v>
      </c>
      <c r="I944" t="n">
        <v>0</v>
      </c>
      <c r="J944" t="n">
        <v>0</v>
      </c>
      <c r="K944" t="n">
        <v>0</v>
      </c>
      <c r="L944" t="n">
        <v>0</v>
      </c>
      <c r="M944" t="n">
        <v>0</v>
      </c>
      <c r="N944" t="n">
        <v>0</v>
      </c>
      <c r="O944" t="n">
        <v>0</v>
      </c>
      <c r="P944" t="n">
        <v>0</v>
      </c>
      <c r="Q944" t="n">
        <v>0</v>
      </c>
      <c r="R944" s="2" t="inlineStr"/>
    </row>
    <row r="945" ht="15" customHeight="1">
      <c r="A945" t="inlineStr">
        <is>
          <t>A 11447-2022</t>
        </is>
      </c>
      <c r="B945" s="1" t="n">
        <v>44630</v>
      </c>
      <c r="C945" s="1" t="n">
        <v>45640</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11665-2022</t>
        </is>
      </c>
      <c r="B946" s="1" t="n">
        <v>44632</v>
      </c>
      <c r="C946" s="1" t="n">
        <v>45640</v>
      </c>
      <c r="D946" t="inlineStr">
        <is>
          <t>VÄRMLANDS LÄN</t>
        </is>
      </c>
      <c r="E946" t="inlineStr">
        <is>
          <t>TORSBY</t>
        </is>
      </c>
      <c r="G946" t="n">
        <v>4.1</v>
      </c>
      <c r="H946" t="n">
        <v>0</v>
      </c>
      <c r="I946" t="n">
        <v>0</v>
      </c>
      <c r="J946" t="n">
        <v>0</v>
      </c>
      <c r="K946" t="n">
        <v>0</v>
      </c>
      <c r="L946" t="n">
        <v>0</v>
      </c>
      <c r="M946" t="n">
        <v>0</v>
      </c>
      <c r="N946" t="n">
        <v>0</v>
      </c>
      <c r="O946" t="n">
        <v>0</v>
      </c>
      <c r="P946" t="n">
        <v>0</v>
      </c>
      <c r="Q946" t="n">
        <v>0</v>
      </c>
      <c r="R946" s="2" t="inlineStr"/>
    </row>
    <row r="947" ht="15" customHeight="1">
      <c r="A947" t="inlineStr">
        <is>
          <t>A 11667-2022</t>
        </is>
      </c>
      <c r="B947" s="1" t="n">
        <v>44632</v>
      </c>
      <c r="C947" s="1" t="n">
        <v>45640</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11664-2022</t>
        </is>
      </c>
      <c r="B948" s="1" t="n">
        <v>44632</v>
      </c>
      <c r="C948" s="1" t="n">
        <v>45640</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11666-2022</t>
        </is>
      </c>
      <c r="B949" s="1" t="n">
        <v>44632</v>
      </c>
      <c r="C949" s="1" t="n">
        <v>45640</v>
      </c>
      <c r="D949" t="inlineStr">
        <is>
          <t>VÄRMLANDS LÄN</t>
        </is>
      </c>
      <c r="E949" t="inlineStr">
        <is>
          <t>TORSBY</t>
        </is>
      </c>
      <c r="G949" t="n">
        <v>3.6</v>
      </c>
      <c r="H949" t="n">
        <v>0</v>
      </c>
      <c r="I949" t="n">
        <v>0</v>
      </c>
      <c r="J949" t="n">
        <v>0</v>
      </c>
      <c r="K949" t="n">
        <v>0</v>
      </c>
      <c r="L949" t="n">
        <v>0</v>
      </c>
      <c r="M949" t="n">
        <v>0</v>
      </c>
      <c r="N949" t="n">
        <v>0</v>
      </c>
      <c r="O949" t="n">
        <v>0</v>
      </c>
      <c r="P949" t="n">
        <v>0</v>
      </c>
      <c r="Q949" t="n">
        <v>0</v>
      </c>
      <c r="R949" s="2" t="inlineStr"/>
    </row>
    <row r="950" ht="15" customHeight="1">
      <c r="A950" t="inlineStr">
        <is>
          <t>A 11922-2022</t>
        </is>
      </c>
      <c r="B950" s="1" t="n">
        <v>44635</v>
      </c>
      <c r="C950" s="1" t="n">
        <v>45640</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11918-2022</t>
        </is>
      </c>
      <c r="B951" s="1" t="n">
        <v>44635</v>
      </c>
      <c r="C951" s="1" t="n">
        <v>45640</v>
      </c>
      <c r="D951" t="inlineStr">
        <is>
          <t>VÄRMLANDS LÄN</t>
        </is>
      </c>
      <c r="E951" t="inlineStr">
        <is>
          <t>TORSBY</t>
        </is>
      </c>
      <c r="G951" t="n">
        <v>6.4</v>
      </c>
      <c r="H951" t="n">
        <v>0</v>
      </c>
      <c r="I951" t="n">
        <v>0</v>
      </c>
      <c r="J951" t="n">
        <v>0</v>
      </c>
      <c r="K951" t="n">
        <v>0</v>
      </c>
      <c r="L951" t="n">
        <v>0</v>
      </c>
      <c r="M951" t="n">
        <v>0</v>
      </c>
      <c r="N951" t="n">
        <v>0</v>
      </c>
      <c r="O951" t="n">
        <v>0</v>
      </c>
      <c r="P951" t="n">
        <v>0</v>
      </c>
      <c r="Q951" t="n">
        <v>0</v>
      </c>
      <c r="R951" s="2" t="inlineStr"/>
    </row>
    <row r="952" ht="15" customHeight="1">
      <c r="A952" t="inlineStr">
        <is>
          <t>A 12310-2022</t>
        </is>
      </c>
      <c r="B952" s="1" t="n">
        <v>44636</v>
      </c>
      <c r="C952" s="1" t="n">
        <v>45640</v>
      </c>
      <c r="D952" t="inlineStr">
        <is>
          <t>VÄRMLANDS LÄN</t>
        </is>
      </c>
      <c r="E952" t="inlineStr">
        <is>
          <t>TORSBY</t>
        </is>
      </c>
      <c r="G952" t="n">
        <v>7.2</v>
      </c>
      <c r="H952" t="n">
        <v>0</v>
      </c>
      <c r="I952" t="n">
        <v>0</v>
      </c>
      <c r="J952" t="n">
        <v>0</v>
      </c>
      <c r="K952" t="n">
        <v>0</v>
      </c>
      <c r="L952" t="n">
        <v>0</v>
      </c>
      <c r="M952" t="n">
        <v>0</v>
      </c>
      <c r="N952" t="n">
        <v>0</v>
      </c>
      <c r="O952" t="n">
        <v>0</v>
      </c>
      <c r="P952" t="n">
        <v>0</v>
      </c>
      <c r="Q952" t="n">
        <v>0</v>
      </c>
      <c r="R952" s="2" t="inlineStr"/>
    </row>
    <row r="953" ht="15" customHeight="1">
      <c r="A953" t="inlineStr">
        <is>
          <t>A 12365-2022</t>
        </is>
      </c>
      <c r="B953" s="1" t="n">
        <v>44637</v>
      </c>
      <c r="C953" s="1" t="n">
        <v>45640</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13207-2022</t>
        </is>
      </c>
      <c r="B954" s="1" t="n">
        <v>44644</v>
      </c>
      <c r="C954" s="1" t="n">
        <v>45640</v>
      </c>
      <c r="D954" t="inlineStr">
        <is>
          <t>VÄRMLANDS LÄN</t>
        </is>
      </c>
      <c r="E954" t="inlineStr">
        <is>
          <t>TORSBY</t>
        </is>
      </c>
      <c r="G954" t="n">
        <v>1.3</v>
      </c>
      <c r="H954" t="n">
        <v>0</v>
      </c>
      <c r="I954" t="n">
        <v>0</v>
      </c>
      <c r="J954" t="n">
        <v>0</v>
      </c>
      <c r="K954" t="n">
        <v>0</v>
      </c>
      <c r="L954" t="n">
        <v>0</v>
      </c>
      <c r="M954" t="n">
        <v>0</v>
      </c>
      <c r="N954" t="n">
        <v>0</v>
      </c>
      <c r="O954" t="n">
        <v>0</v>
      </c>
      <c r="P954" t="n">
        <v>0</v>
      </c>
      <c r="Q954" t="n">
        <v>0</v>
      </c>
      <c r="R954" s="2" t="inlineStr"/>
    </row>
    <row r="955" ht="15" customHeight="1">
      <c r="A955" t="inlineStr">
        <is>
          <t>A 13698-2022</t>
        </is>
      </c>
      <c r="B955" s="1" t="n">
        <v>44648</v>
      </c>
      <c r="C955" s="1" t="n">
        <v>45640</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13896-2022</t>
        </is>
      </c>
      <c r="B956" s="1" t="n">
        <v>44650</v>
      </c>
      <c r="C956" s="1" t="n">
        <v>45640</v>
      </c>
      <c r="D956" t="inlineStr">
        <is>
          <t>VÄRMLANDS LÄN</t>
        </is>
      </c>
      <c r="E956" t="inlineStr">
        <is>
          <t>TORSBY</t>
        </is>
      </c>
      <c r="G956" t="n">
        <v>3.2</v>
      </c>
      <c r="H956" t="n">
        <v>0</v>
      </c>
      <c r="I956" t="n">
        <v>0</v>
      </c>
      <c r="J956" t="n">
        <v>0</v>
      </c>
      <c r="K956" t="n">
        <v>0</v>
      </c>
      <c r="L956" t="n">
        <v>0</v>
      </c>
      <c r="M956" t="n">
        <v>0</v>
      </c>
      <c r="N956" t="n">
        <v>0</v>
      </c>
      <c r="O956" t="n">
        <v>0</v>
      </c>
      <c r="P956" t="n">
        <v>0</v>
      </c>
      <c r="Q956" t="n">
        <v>0</v>
      </c>
      <c r="R956" s="2" t="inlineStr"/>
    </row>
    <row r="957" ht="15" customHeight="1">
      <c r="A957" t="inlineStr">
        <is>
          <t>A 14145-2022</t>
        </is>
      </c>
      <c r="B957" s="1" t="n">
        <v>44651</v>
      </c>
      <c r="C957" s="1" t="n">
        <v>45640</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14168-2022</t>
        </is>
      </c>
      <c r="B958" s="1" t="n">
        <v>44651</v>
      </c>
      <c r="C958" s="1" t="n">
        <v>45640</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14320-2022</t>
        </is>
      </c>
      <c r="B959" s="1" t="n">
        <v>44652</v>
      </c>
      <c r="C959" s="1" t="n">
        <v>45640</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15461-2022</t>
        </is>
      </c>
      <c r="B960" s="1" t="n">
        <v>44661</v>
      </c>
      <c r="C960" s="1" t="n">
        <v>45640</v>
      </c>
      <c r="D960" t="inlineStr">
        <is>
          <t>VÄRMLANDS LÄN</t>
        </is>
      </c>
      <c r="E960" t="inlineStr">
        <is>
          <t>TORSBY</t>
        </is>
      </c>
      <c r="G960" t="n">
        <v>13.1</v>
      </c>
      <c r="H960" t="n">
        <v>0</v>
      </c>
      <c r="I960" t="n">
        <v>0</v>
      </c>
      <c r="J960" t="n">
        <v>0</v>
      </c>
      <c r="K960" t="n">
        <v>0</v>
      </c>
      <c r="L960" t="n">
        <v>0</v>
      </c>
      <c r="M960" t="n">
        <v>0</v>
      </c>
      <c r="N960" t="n">
        <v>0</v>
      </c>
      <c r="O960" t="n">
        <v>0</v>
      </c>
      <c r="P960" t="n">
        <v>0</v>
      </c>
      <c r="Q960" t="n">
        <v>0</v>
      </c>
      <c r="R960" s="2" t="inlineStr"/>
    </row>
    <row r="961" ht="15" customHeight="1">
      <c r="A961" t="inlineStr">
        <is>
          <t>A 15460-2022</t>
        </is>
      </c>
      <c r="B961" s="1" t="n">
        <v>44661</v>
      </c>
      <c r="C961" s="1" t="n">
        <v>45640</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16080-2022</t>
        </is>
      </c>
      <c r="B962" s="1" t="n">
        <v>44665</v>
      </c>
      <c r="C962" s="1" t="n">
        <v>45640</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16010-2022</t>
        </is>
      </c>
      <c r="B963" s="1" t="n">
        <v>44665</v>
      </c>
      <c r="C963" s="1" t="n">
        <v>45640</v>
      </c>
      <c r="D963" t="inlineStr">
        <is>
          <t>VÄRMLANDS LÄN</t>
        </is>
      </c>
      <c r="E963" t="inlineStr">
        <is>
          <t>TORSBY</t>
        </is>
      </c>
      <c r="F963" t="inlineStr">
        <is>
          <t>Bergvik skog väst AB</t>
        </is>
      </c>
      <c r="G963" t="n">
        <v>18.7</v>
      </c>
      <c r="H963" t="n">
        <v>0</v>
      </c>
      <c r="I963" t="n">
        <v>0</v>
      </c>
      <c r="J963" t="n">
        <v>0</v>
      </c>
      <c r="K963" t="n">
        <v>0</v>
      </c>
      <c r="L963" t="n">
        <v>0</v>
      </c>
      <c r="M963" t="n">
        <v>0</v>
      </c>
      <c r="N963" t="n">
        <v>0</v>
      </c>
      <c r="O963" t="n">
        <v>0</v>
      </c>
      <c r="P963" t="n">
        <v>0</v>
      </c>
      <c r="Q963" t="n">
        <v>0</v>
      </c>
      <c r="R963" s="2" t="inlineStr"/>
    </row>
    <row r="964" ht="15" customHeight="1">
      <c r="A964" t="inlineStr">
        <is>
          <t>A 16425-2022</t>
        </is>
      </c>
      <c r="B964" s="1" t="n">
        <v>44671</v>
      </c>
      <c r="C964" s="1" t="n">
        <v>45640</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16498-2022</t>
        </is>
      </c>
      <c r="B965" s="1" t="n">
        <v>44671</v>
      </c>
      <c r="C965" s="1" t="n">
        <v>45640</v>
      </c>
      <c r="D965" t="inlineStr">
        <is>
          <t>VÄRMLANDS LÄN</t>
        </is>
      </c>
      <c r="E965" t="inlineStr">
        <is>
          <t>TORSBY</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17765-2022</t>
        </is>
      </c>
      <c r="B966" s="1" t="n">
        <v>44681</v>
      </c>
      <c r="C966" s="1" t="n">
        <v>45640</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18101-2022</t>
        </is>
      </c>
      <c r="B967" s="1" t="n">
        <v>44684</v>
      </c>
      <c r="C967" s="1" t="n">
        <v>45640</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18105-2022</t>
        </is>
      </c>
      <c r="B968" s="1" t="n">
        <v>44684</v>
      </c>
      <c r="C968" s="1" t="n">
        <v>45640</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18099-2022</t>
        </is>
      </c>
      <c r="B969" s="1" t="n">
        <v>44684</v>
      </c>
      <c r="C969" s="1" t="n">
        <v>45640</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18347-2022</t>
        </is>
      </c>
      <c r="B970" s="1" t="n">
        <v>44685</v>
      </c>
      <c r="C970" s="1" t="n">
        <v>45640</v>
      </c>
      <c r="D970" t="inlineStr">
        <is>
          <t>VÄRMLANDS LÄN</t>
        </is>
      </c>
      <c r="E970" t="inlineStr">
        <is>
          <t>TORSBY</t>
        </is>
      </c>
      <c r="F970" t="inlineStr">
        <is>
          <t>Bergvik skog väst AB</t>
        </is>
      </c>
      <c r="G970" t="n">
        <v>14.6</v>
      </c>
      <c r="H970" t="n">
        <v>0</v>
      </c>
      <c r="I970" t="n">
        <v>0</v>
      </c>
      <c r="J970" t="n">
        <v>0</v>
      </c>
      <c r="K970" t="n">
        <v>0</v>
      </c>
      <c r="L970" t="n">
        <v>0</v>
      </c>
      <c r="M970" t="n">
        <v>0</v>
      </c>
      <c r="N970" t="n">
        <v>0</v>
      </c>
      <c r="O970" t="n">
        <v>0</v>
      </c>
      <c r="P970" t="n">
        <v>0</v>
      </c>
      <c r="Q970" t="n">
        <v>0</v>
      </c>
      <c r="R970" s="2" t="inlineStr"/>
    </row>
    <row r="971" ht="15" customHeight="1">
      <c r="A971" t="inlineStr">
        <is>
          <t>A 18628-2022</t>
        </is>
      </c>
      <c r="B971" s="1" t="n">
        <v>44687</v>
      </c>
      <c r="C971" s="1" t="n">
        <v>45640</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18779-2022</t>
        </is>
      </c>
      <c r="B972" s="1" t="n">
        <v>44689</v>
      </c>
      <c r="C972" s="1" t="n">
        <v>45640</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18897-2022</t>
        </is>
      </c>
      <c r="B973" s="1" t="n">
        <v>44690</v>
      </c>
      <c r="C973" s="1" t="n">
        <v>45640</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18877-2022</t>
        </is>
      </c>
      <c r="B974" s="1" t="n">
        <v>44690</v>
      </c>
      <c r="C974" s="1" t="n">
        <v>45640</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18903-2022</t>
        </is>
      </c>
      <c r="B975" s="1" t="n">
        <v>44690</v>
      </c>
      <c r="C975" s="1" t="n">
        <v>45640</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19171-2022</t>
        </is>
      </c>
      <c r="B976" s="1" t="n">
        <v>44691</v>
      </c>
      <c r="C976" s="1" t="n">
        <v>45640</v>
      </c>
      <c r="D976" t="inlineStr">
        <is>
          <t>VÄRMLANDS LÄN</t>
        </is>
      </c>
      <c r="E976" t="inlineStr">
        <is>
          <t>TORSBY</t>
        </is>
      </c>
      <c r="F976" t="inlineStr">
        <is>
          <t>Bergvik skog väst AB</t>
        </is>
      </c>
      <c r="G976" t="n">
        <v>23.3</v>
      </c>
      <c r="H976" t="n">
        <v>0</v>
      </c>
      <c r="I976" t="n">
        <v>0</v>
      </c>
      <c r="J976" t="n">
        <v>0</v>
      </c>
      <c r="K976" t="n">
        <v>0</v>
      </c>
      <c r="L976" t="n">
        <v>0</v>
      </c>
      <c r="M976" t="n">
        <v>0</v>
      </c>
      <c r="N976" t="n">
        <v>0</v>
      </c>
      <c r="O976" t="n">
        <v>0</v>
      </c>
      <c r="P976" t="n">
        <v>0</v>
      </c>
      <c r="Q976" t="n">
        <v>0</v>
      </c>
      <c r="R976" s="2" t="inlineStr"/>
    </row>
    <row r="977" ht="15" customHeight="1">
      <c r="A977" t="inlineStr">
        <is>
          <t>A 19307-2022</t>
        </is>
      </c>
      <c r="B977" s="1" t="n">
        <v>44692</v>
      </c>
      <c r="C977" s="1" t="n">
        <v>45640</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19489-2022</t>
        </is>
      </c>
      <c r="B978" s="1" t="n">
        <v>44693</v>
      </c>
      <c r="C978" s="1" t="n">
        <v>45640</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19632-2022</t>
        </is>
      </c>
      <c r="B979" s="1" t="n">
        <v>44694</v>
      </c>
      <c r="C979" s="1" t="n">
        <v>45640</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19614-2022</t>
        </is>
      </c>
      <c r="B980" s="1" t="n">
        <v>44694</v>
      </c>
      <c r="C980" s="1" t="n">
        <v>45640</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20045-2022</t>
        </is>
      </c>
      <c r="B981" s="1" t="n">
        <v>44697</v>
      </c>
      <c r="C981" s="1" t="n">
        <v>45640</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20046-2022</t>
        </is>
      </c>
      <c r="B982" s="1" t="n">
        <v>44697</v>
      </c>
      <c r="C982" s="1" t="n">
        <v>45640</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20009-2022</t>
        </is>
      </c>
      <c r="B983" s="1" t="n">
        <v>44697</v>
      </c>
      <c r="C983" s="1" t="n">
        <v>45640</v>
      </c>
      <c r="D983" t="inlineStr">
        <is>
          <t>VÄRMLANDS LÄN</t>
        </is>
      </c>
      <c r="E983" t="inlineStr">
        <is>
          <t>TORSBY</t>
        </is>
      </c>
      <c r="G983" t="n">
        <v>14.4</v>
      </c>
      <c r="H983" t="n">
        <v>0</v>
      </c>
      <c r="I983" t="n">
        <v>0</v>
      </c>
      <c r="J983" t="n">
        <v>0</v>
      </c>
      <c r="K983" t="n">
        <v>0</v>
      </c>
      <c r="L983" t="n">
        <v>0</v>
      </c>
      <c r="M983" t="n">
        <v>0</v>
      </c>
      <c r="N983" t="n">
        <v>0</v>
      </c>
      <c r="O983" t="n">
        <v>0</v>
      </c>
      <c r="P983" t="n">
        <v>0</v>
      </c>
      <c r="Q983" t="n">
        <v>0</v>
      </c>
      <c r="R983" s="2" t="inlineStr"/>
    </row>
    <row r="984" ht="15" customHeight="1">
      <c r="A984" t="inlineStr">
        <is>
          <t>A 20168-2022</t>
        </is>
      </c>
      <c r="B984" s="1" t="n">
        <v>44698</v>
      </c>
      <c r="C984" s="1" t="n">
        <v>45640</v>
      </c>
      <c r="D984" t="inlineStr">
        <is>
          <t>VÄRMLANDS LÄN</t>
        </is>
      </c>
      <c r="E984" t="inlineStr">
        <is>
          <t>TORSBY</t>
        </is>
      </c>
      <c r="G984" t="n">
        <v>6.6</v>
      </c>
      <c r="H984" t="n">
        <v>0</v>
      </c>
      <c r="I984" t="n">
        <v>0</v>
      </c>
      <c r="J984" t="n">
        <v>0</v>
      </c>
      <c r="K984" t="n">
        <v>0</v>
      </c>
      <c r="L984" t="n">
        <v>0</v>
      </c>
      <c r="M984" t="n">
        <v>0</v>
      </c>
      <c r="N984" t="n">
        <v>0</v>
      </c>
      <c r="O984" t="n">
        <v>0</v>
      </c>
      <c r="P984" t="n">
        <v>0</v>
      </c>
      <c r="Q984" t="n">
        <v>0</v>
      </c>
      <c r="R984" s="2" t="inlineStr"/>
    </row>
    <row r="985" ht="15" customHeight="1">
      <c r="A985" t="inlineStr">
        <is>
          <t>A 20175-2022</t>
        </is>
      </c>
      <c r="B985" s="1" t="n">
        <v>44698</v>
      </c>
      <c r="C985" s="1" t="n">
        <v>45640</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45640</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20382-2022</t>
        </is>
      </c>
      <c r="B987" s="1" t="n">
        <v>44699</v>
      </c>
      <c r="C987" s="1" t="n">
        <v>45640</v>
      </c>
      <c r="D987" t="inlineStr">
        <is>
          <t>VÄRMLANDS LÄN</t>
        </is>
      </c>
      <c r="E987" t="inlineStr">
        <is>
          <t>TORSBY</t>
        </is>
      </c>
      <c r="G987" t="n">
        <v>14.3</v>
      </c>
      <c r="H987" t="n">
        <v>0</v>
      </c>
      <c r="I987" t="n">
        <v>0</v>
      </c>
      <c r="J987" t="n">
        <v>0</v>
      </c>
      <c r="K987" t="n">
        <v>0</v>
      </c>
      <c r="L987" t="n">
        <v>0</v>
      </c>
      <c r="M987" t="n">
        <v>0</v>
      </c>
      <c r="N987" t="n">
        <v>0</v>
      </c>
      <c r="O987" t="n">
        <v>0</v>
      </c>
      <c r="P987" t="n">
        <v>0</v>
      </c>
      <c r="Q987" t="n">
        <v>0</v>
      </c>
      <c r="R987" s="2" t="inlineStr"/>
    </row>
    <row r="988" ht="15" customHeight="1">
      <c r="A988" t="inlineStr">
        <is>
          <t>A 20819-2022</t>
        </is>
      </c>
      <c r="B988" s="1" t="n">
        <v>44699</v>
      </c>
      <c r="C988" s="1" t="n">
        <v>45640</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20881-2022</t>
        </is>
      </c>
      <c r="B989" s="1" t="n">
        <v>44701</v>
      </c>
      <c r="C989" s="1" t="n">
        <v>45640</v>
      </c>
      <c r="D989" t="inlineStr">
        <is>
          <t>VÄRMLANDS LÄN</t>
        </is>
      </c>
      <c r="E989" t="inlineStr">
        <is>
          <t>TORSBY</t>
        </is>
      </c>
      <c r="F989" t="inlineStr">
        <is>
          <t>Bergvik skog väst AB</t>
        </is>
      </c>
      <c r="G989" t="n">
        <v>17.2</v>
      </c>
      <c r="H989" t="n">
        <v>0</v>
      </c>
      <c r="I989" t="n">
        <v>0</v>
      </c>
      <c r="J989" t="n">
        <v>0</v>
      </c>
      <c r="K989" t="n">
        <v>0</v>
      </c>
      <c r="L989" t="n">
        <v>0</v>
      </c>
      <c r="M989" t="n">
        <v>0</v>
      </c>
      <c r="N989" t="n">
        <v>0</v>
      </c>
      <c r="O989" t="n">
        <v>0</v>
      </c>
      <c r="P989" t="n">
        <v>0</v>
      </c>
      <c r="Q989" t="n">
        <v>0</v>
      </c>
      <c r="R989" s="2" t="inlineStr"/>
    </row>
    <row r="990" ht="15" customHeight="1">
      <c r="A990" t="inlineStr">
        <is>
          <t>A 20907-2022</t>
        </is>
      </c>
      <c r="B990" s="1" t="n">
        <v>44701</v>
      </c>
      <c r="C990" s="1" t="n">
        <v>45640</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20899-2022</t>
        </is>
      </c>
      <c r="B991" s="1" t="n">
        <v>44701</v>
      </c>
      <c r="C991" s="1" t="n">
        <v>45640</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21094-2022</t>
        </is>
      </c>
      <c r="B992" s="1" t="n">
        <v>44704</v>
      </c>
      <c r="C992" s="1" t="n">
        <v>45640</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21070-2022</t>
        </is>
      </c>
      <c r="B993" s="1" t="n">
        <v>44704</v>
      </c>
      <c r="C993" s="1" t="n">
        <v>45640</v>
      </c>
      <c r="D993" t="inlineStr">
        <is>
          <t>VÄRMLANDS LÄN</t>
        </is>
      </c>
      <c r="E993" t="inlineStr">
        <is>
          <t>TORSBY</t>
        </is>
      </c>
      <c r="G993" t="n">
        <v>13.7</v>
      </c>
      <c r="H993" t="n">
        <v>0</v>
      </c>
      <c r="I993" t="n">
        <v>0</v>
      </c>
      <c r="J993" t="n">
        <v>0</v>
      </c>
      <c r="K993" t="n">
        <v>0</v>
      </c>
      <c r="L993" t="n">
        <v>0</v>
      </c>
      <c r="M993" t="n">
        <v>0</v>
      </c>
      <c r="N993" t="n">
        <v>0</v>
      </c>
      <c r="O993" t="n">
        <v>0</v>
      </c>
      <c r="P993" t="n">
        <v>0</v>
      </c>
      <c r="Q993" t="n">
        <v>0</v>
      </c>
      <c r="R993" s="2" t="inlineStr"/>
    </row>
    <row r="994" ht="15" customHeight="1">
      <c r="A994" t="inlineStr">
        <is>
          <t>A 21089-2022</t>
        </is>
      </c>
      <c r="B994" s="1" t="n">
        <v>44704</v>
      </c>
      <c r="C994" s="1" t="n">
        <v>45640</v>
      </c>
      <c r="D994" t="inlineStr">
        <is>
          <t>VÄRMLANDS LÄN</t>
        </is>
      </c>
      <c r="E994" t="inlineStr">
        <is>
          <t>TORSBY</t>
        </is>
      </c>
      <c r="G994" t="n">
        <v>13.4</v>
      </c>
      <c r="H994" t="n">
        <v>0</v>
      </c>
      <c r="I994" t="n">
        <v>0</v>
      </c>
      <c r="J994" t="n">
        <v>0</v>
      </c>
      <c r="K994" t="n">
        <v>0</v>
      </c>
      <c r="L994" t="n">
        <v>0</v>
      </c>
      <c r="M994" t="n">
        <v>0</v>
      </c>
      <c r="N994" t="n">
        <v>0</v>
      </c>
      <c r="O994" t="n">
        <v>0</v>
      </c>
      <c r="P994" t="n">
        <v>0</v>
      </c>
      <c r="Q994" t="n">
        <v>0</v>
      </c>
      <c r="R994" s="2" t="inlineStr"/>
    </row>
    <row r="995" ht="15" customHeight="1">
      <c r="A995" t="inlineStr">
        <is>
          <t>A 21516-2022</t>
        </is>
      </c>
      <c r="B995" s="1" t="n">
        <v>44706</v>
      </c>
      <c r="C995" s="1" t="n">
        <v>45640</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21465-2022</t>
        </is>
      </c>
      <c r="B996" s="1" t="n">
        <v>44706</v>
      </c>
      <c r="C996" s="1" t="n">
        <v>45640</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21521-2022</t>
        </is>
      </c>
      <c r="B997" s="1" t="n">
        <v>44706</v>
      </c>
      <c r="C997" s="1" t="n">
        <v>45640</v>
      </c>
      <c r="D997" t="inlineStr">
        <is>
          <t>VÄRMLANDS LÄN</t>
        </is>
      </c>
      <c r="E997" t="inlineStr">
        <is>
          <t>TORSBY</t>
        </is>
      </c>
      <c r="G997" t="n">
        <v>0.1</v>
      </c>
      <c r="H997" t="n">
        <v>0</v>
      </c>
      <c r="I997" t="n">
        <v>0</v>
      </c>
      <c r="J997" t="n">
        <v>0</v>
      </c>
      <c r="K997" t="n">
        <v>0</v>
      </c>
      <c r="L997" t="n">
        <v>0</v>
      </c>
      <c r="M997" t="n">
        <v>0</v>
      </c>
      <c r="N997" t="n">
        <v>0</v>
      </c>
      <c r="O997" t="n">
        <v>0</v>
      </c>
      <c r="P997" t="n">
        <v>0</v>
      </c>
      <c r="Q997" t="n">
        <v>0</v>
      </c>
      <c r="R997" s="2" t="inlineStr"/>
    </row>
    <row r="998" ht="15" customHeight="1">
      <c r="A998" t="inlineStr">
        <is>
          <t>A 22158-2022</t>
        </is>
      </c>
      <c r="B998" s="1" t="n">
        <v>44708</v>
      </c>
      <c r="C998" s="1" t="n">
        <v>45640</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22124-2022</t>
        </is>
      </c>
      <c r="B999" s="1" t="n">
        <v>44712</v>
      </c>
      <c r="C999" s="1" t="n">
        <v>45640</v>
      </c>
      <c r="D999" t="inlineStr">
        <is>
          <t>VÄRMLANDS LÄN</t>
        </is>
      </c>
      <c r="E999" t="inlineStr">
        <is>
          <t>TORSBY</t>
        </is>
      </c>
      <c r="G999" t="n">
        <v>1.4</v>
      </c>
      <c r="H999" t="n">
        <v>0</v>
      </c>
      <c r="I999" t="n">
        <v>0</v>
      </c>
      <c r="J999" t="n">
        <v>0</v>
      </c>
      <c r="K999" t="n">
        <v>0</v>
      </c>
      <c r="L999" t="n">
        <v>0</v>
      </c>
      <c r="M999" t="n">
        <v>0</v>
      </c>
      <c r="N999" t="n">
        <v>0</v>
      </c>
      <c r="O999" t="n">
        <v>0</v>
      </c>
      <c r="P999" t="n">
        <v>0</v>
      </c>
      <c r="Q999" t="n">
        <v>0</v>
      </c>
      <c r="R999" s="2" t="inlineStr"/>
    </row>
    <row r="1000" ht="15" customHeight="1">
      <c r="A1000" t="inlineStr">
        <is>
          <t>A 22635-2022</t>
        </is>
      </c>
      <c r="B1000" s="1" t="n">
        <v>44714</v>
      </c>
      <c r="C1000" s="1" t="n">
        <v>45640</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22662-2022</t>
        </is>
      </c>
      <c r="B1001" s="1" t="n">
        <v>44714</v>
      </c>
      <c r="C1001" s="1" t="n">
        <v>45640</v>
      </c>
      <c r="D1001" t="inlineStr">
        <is>
          <t>VÄRMLANDS LÄN</t>
        </is>
      </c>
      <c r="E1001" t="inlineStr">
        <is>
          <t>TORSBY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22826-2022</t>
        </is>
      </c>
      <c r="B1002" s="1" t="n">
        <v>44714</v>
      </c>
      <c r="C1002" s="1" t="n">
        <v>45640</v>
      </c>
      <c r="D1002" t="inlineStr">
        <is>
          <t>VÄRMLANDS LÄN</t>
        </is>
      </c>
      <c r="E1002" t="inlineStr">
        <is>
          <t>TORSBY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22823-2022</t>
        </is>
      </c>
      <c r="B1003" s="1" t="n">
        <v>44714</v>
      </c>
      <c r="C1003" s="1" t="n">
        <v>45640</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23185-2022</t>
        </is>
      </c>
      <c r="B1004" s="1" t="n">
        <v>44719</v>
      </c>
      <c r="C1004" s="1" t="n">
        <v>45640</v>
      </c>
      <c r="D1004" t="inlineStr">
        <is>
          <t>VÄRMLANDS LÄN</t>
        </is>
      </c>
      <c r="E1004" t="inlineStr">
        <is>
          <t>TORSBY</t>
        </is>
      </c>
      <c r="F1004" t="inlineStr">
        <is>
          <t>Naturvårdsverket</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23011-2022</t>
        </is>
      </c>
      <c r="B1005" s="1" t="n">
        <v>44719</v>
      </c>
      <c r="C1005" s="1" t="n">
        <v>45640</v>
      </c>
      <c r="D1005" t="inlineStr">
        <is>
          <t>VÄRMLANDS LÄN</t>
        </is>
      </c>
      <c r="E1005" t="inlineStr">
        <is>
          <t>TORSBY</t>
        </is>
      </c>
      <c r="F1005" t="inlineStr">
        <is>
          <t>Bergvik skog väst AB</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23264-2022</t>
        </is>
      </c>
      <c r="B1006" s="1" t="n">
        <v>44720</v>
      </c>
      <c r="C1006" s="1" t="n">
        <v>45640</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23343-2022</t>
        </is>
      </c>
      <c r="B1007" s="1" t="n">
        <v>44720</v>
      </c>
      <c r="C1007" s="1" t="n">
        <v>45640</v>
      </c>
      <c r="D1007" t="inlineStr">
        <is>
          <t>VÄRMLANDS LÄN</t>
        </is>
      </c>
      <c r="E1007" t="inlineStr">
        <is>
          <t>TORSBY</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23401-2022</t>
        </is>
      </c>
      <c r="B1008" s="1" t="n">
        <v>44720</v>
      </c>
      <c r="C1008" s="1" t="n">
        <v>45640</v>
      </c>
      <c r="D1008" t="inlineStr">
        <is>
          <t>VÄRMLANDS LÄN</t>
        </is>
      </c>
      <c r="E1008" t="inlineStr">
        <is>
          <t>TORSBY</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23405-2022</t>
        </is>
      </c>
      <c r="B1009" s="1" t="n">
        <v>44720</v>
      </c>
      <c r="C1009" s="1" t="n">
        <v>45640</v>
      </c>
      <c r="D1009" t="inlineStr">
        <is>
          <t>VÄRMLANDS LÄN</t>
        </is>
      </c>
      <c r="E1009" t="inlineStr">
        <is>
          <t>TORSBY</t>
        </is>
      </c>
      <c r="F1009" t="inlineStr">
        <is>
          <t>Bergvik skog väst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23803-2022</t>
        </is>
      </c>
      <c r="B1010" s="1" t="n">
        <v>44720</v>
      </c>
      <c r="C1010" s="1" t="n">
        <v>45640</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23804-2022</t>
        </is>
      </c>
      <c r="B1011" s="1" t="n">
        <v>44722</v>
      </c>
      <c r="C1011" s="1" t="n">
        <v>45640</v>
      </c>
      <c r="D1011" t="inlineStr">
        <is>
          <t>VÄRMLANDS LÄN</t>
        </is>
      </c>
      <c r="E1011" t="inlineStr">
        <is>
          <t>TORSBY</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23823-2022</t>
        </is>
      </c>
      <c r="B1012" s="1" t="n">
        <v>44722</v>
      </c>
      <c r="C1012" s="1" t="n">
        <v>45640</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23735-2022</t>
        </is>
      </c>
      <c r="B1013" s="1" t="n">
        <v>44722</v>
      </c>
      <c r="C1013" s="1" t="n">
        <v>45640</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23818-2022</t>
        </is>
      </c>
      <c r="B1014" s="1" t="n">
        <v>44722</v>
      </c>
      <c r="C1014" s="1" t="n">
        <v>45640</v>
      </c>
      <c r="D1014" t="inlineStr">
        <is>
          <t>VÄRMLANDS LÄN</t>
        </is>
      </c>
      <c r="E1014" t="inlineStr">
        <is>
          <t>TORSBY</t>
        </is>
      </c>
      <c r="G1014" t="n">
        <v>23.5</v>
      </c>
      <c r="H1014" t="n">
        <v>0</v>
      </c>
      <c r="I1014" t="n">
        <v>0</v>
      </c>
      <c r="J1014" t="n">
        <v>0</v>
      </c>
      <c r="K1014" t="n">
        <v>0</v>
      </c>
      <c r="L1014" t="n">
        <v>0</v>
      </c>
      <c r="M1014" t="n">
        <v>0</v>
      </c>
      <c r="N1014" t="n">
        <v>0</v>
      </c>
      <c r="O1014" t="n">
        <v>0</v>
      </c>
      <c r="P1014" t="n">
        <v>0</v>
      </c>
      <c r="Q1014" t="n">
        <v>0</v>
      </c>
      <c r="R1014" s="2" t="inlineStr"/>
    </row>
    <row r="1015" ht="15" customHeight="1">
      <c r="A1015" t="inlineStr">
        <is>
          <t>A 23732-2022</t>
        </is>
      </c>
      <c r="B1015" s="1" t="n">
        <v>44722</v>
      </c>
      <c r="C1015" s="1" t="n">
        <v>45640</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23746-2022</t>
        </is>
      </c>
      <c r="B1016" s="1" t="n">
        <v>44722</v>
      </c>
      <c r="C1016" s="1" t="n">
        <v>45640</v>
      </c>
      <c r="D1016" t="inlineStr">
        <is>
          <t>VÄRMLANDS LÄN</t>
        </is>
      </c>
      <c r="E1016" t="inlineStr">
        <is>
          <t>TORSBY</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23851-2022</t>
        </is>
      </c>
      <c r="B1017" s="1" t="n">
        <v>44722</v>
      </c>
      <c r="C1017" s="1" t="n">
        <v>45640</v>
      </c>
      <c r="D1017" t="inlineStr">
        <is>
          <t>VÄRMLANDS LÄN</t>
        </is>
      </c>
      <c r="E1017" t="inlineStr">
        <is>
          <t>TORSBY</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24960-2022</t>
        </is>
      </c>
      <c r="B1018" s="1" t="n">
        <v>44728</v>
      </c>
      <c r="C1018" s="1" t="n">
        <v>45640</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25537-2022</t>
        </is>
      </c>
      <c r="B1019" s="1" t="n">
        <v>44732</v>
      </c>
      <c r="C1019" s="1" t="n">
        <v>45640</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26686-2022</t>
        </is>
      </c>
      <c r="B1020" s="1" t="n">
        <v>44739</v>
      </c>
      <c r="C1020" s="1" t="n">
        <v>45640</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26842-2022</t>
        </is>
      </c>
      <c r="B1021" s="1" t="n">
        <v>44740</v>
      </c>
      <c r="C1021" s="1" t="n">
        <v>45640</v>
      </c>
      <c r="D1021" t="inlineStr">
        <is>
          <t>VÄRMLANDS LÄN</t>
        </is>
      </c>
      <c r="E1021" t="inlineStr">
        <is>
          <t>TORSBY</t>
        </is>
      </c>
      <c r="F1021" t="inlineStr">
        <is>
          <t>Bergvik skog väst AB</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26988-2022</t>
        </is>
      </c>
      <c r="B1022" s="1" t="n">
        <v>44740</v>
      </c>
      <c r="C1022" s="1" t="n">
        <v>45640</v>
      </c>
      <c r="D1022" t="inlineStr">
        <is>
          <t>VÄRMLANDS LÄN</t>
        </is>
      </c>
      <c r="E1022" t="inlineStr">
        <is>
          <t>TORSBY</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27223-2022</t>
        </is>
      </c>
      <c r="B1023" s="1" t="n">
        <v>44741</v>
      </c>
      <c r="C1023" s="1" t="n">
        <v>45640</v>
      </c>
      <c r="D1023" t="inlineStr">
        <is>
          <t>VÄRMLANDS LÄN</t>
        </is>
      </c>
      <c r="E1023" t="inlineStr">
        <is>
          <t>TORSBY</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27686-2022</t>
        </is>
      </c>
      <c r="B1024" s="1" t="n">
        <v>44743</v>
      </c>
      <c r="C1024" s="1" t="n">
        <v>45640</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28008-2022</t>
        </is>
      </c>
      <c r="B1025" s="1" t="n">
        <v>44746</v>
      </c>
      <c r="C1025" s="1" t="n">
        <v>45640</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28016-2022</t>
        </is>
      </c>
      <c r="B1026" s="1" t="n">
        <v>44746</v>
      </c>
      <c r="C1026" s="1" t="n">
        <v>45640</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28113-2022</t>
        </is>
      </c>
      <c r="B1027" s="1" t="n">
        <v>44746</v>
      </c>
      <c r="C1027" s="1" t="n">
        <v>45640</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28172-2022</t>
        </is>
      </c>
      <c r="B1028" s="1" t="n">
        <v>44746</v>
      </c>
      <c r="C1028" s="1" t="n">
        <v>45640</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28471-2022</t>
        </is>
      </c>
      <c r="B1029" s="1" t="n">
        <v>44747</v>
      </c>
      <c r="C1029" s="1" t="n">
        <v>45640</v>
      </c>
      <c r="D1029" t="inlineStr">
        <is>
          <t>VÄRMLANDS LÄN</t>
        </is>
      </c>
      <c r="E1029" t="inlineStr">
        <is>
          <t>TORSBY</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28955-2022</t>
        </is>
      </c>
      <c r="B1030" s="1" t="n">
        <v>44749</v>
      </c>
      <c r="C1030" s="1" t="n">
        <v>45640</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29142-2022</t>
        </is>
      </c>
      <c r="B1031" s="1" t="n">
        <v>44750</v>
      </c>
      <c r="C1031" s="1" t="n">
        <v>45640</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29509-2022</t>
        </is>
      </c>
      <c r="B1032" s="1" t="n">
        <v>44753</v>
      </c>
      <c r="C1032" s="1" t="n">
        <v>45640</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29596-2022</t>
        </is>
      </c>
      <c r="B1033" s="1" t="n">
        <v>44754</v>
      </c>
      <c r="C1033" s="1" t="n">
        <v>45640</v>
      </c>
      <c r="D1033" t="inlineStr">
        <is>
          <t>VÄRMLANDS LÄN</t>
        </is>
      </c>
      <c r="E1033" t="inlineStr">
        <is>
          <t>TORSBY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29717-2022</t>
        </is>
      </c>
      <c r="B1034" s="1" t="n">
        <v>44755</v>
      </c>
      <c r="C1034" s="1" t="n">
        <v>45640</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29720-2022</t>
        </is>
      </c>
      <c r="B1035" s="1" t="n">
        <v>44755</v>
      </c>
      <c r="C1035" s="1" t="n">
        <v>45640</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29721-2022</t>
        </is>
      </c>
      <c r="B1036" s="1" t="n">
        <v>44755</v>
      </c>
      <c r="C1036" s="1" t="n">
        <v>45640</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29901-2022</t>
        </is>
      </c>
      <c r="B1037" s="1" t="n">
        <v>44756</v>
      </c>
      <c r="C1037" s="1" t="n">
        <v>45640</v>
      </c>
      <c r="D1037" t="inlineStr">
        <is>
          <t>VÄRMLANDS LÄN</t>
        </is>
      </c>
      <c r="E1037" t="inlineStr">
        <is>
          <t>TORSBY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29908-2022</t>
        </is>
      </c>
      <c r="B1038" s="1" t="n">
        <v>44756</v>
      </c>
      <c r="C1038" s="1" t="n">
        <v>45640</v>
      </c>
      <c r="D1038" t="inlineStr">
        <is>
          <t>VÄRMLANDS LÄN</t>
        </is>
      </c>
      <c r="E1038" t="inlineStr">
        <is>
          <t>TORSBY</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29921-2022</t>
        </is>
      </c>
      <c r="B1039" s="1" t="n">
        <v>44756</v>
      </c>
      <c r="C1039" s="1" t="n">
        <v>45640</v>
      </c>
      <c r="D1039" t="inlineStr">
        <is>
          <t>VÄRMLANDS LÄN</t>
        </is>
      </c>
      <c r="E1039" t="inlineStr">
        <is>
          <t>TORSBY</t>
        </is>
      </c>
      <c r="F1039" t="inlineStr">
        <is>
          <t>Kommuner</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29990-2022</t>
        </is>
      </c>
      <c r="B1040" s="1" t="n">
        <v>44756</v>
      </c>
      <c r="C1040" s="1" t="n">
        <v>45640</v>
      </c>
      <c r="D1040" t="inlineStr">
        <is>
          <t>VÄRMLANDS LÄN</t>
        </is>
      </c>
      <c r="E1040" t="inlineStr">
        <is>
          <t>TORSBY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30326-2022</t>
        </is>
      </c>
      <c r="B1041" s="1" t="n">
        <v>44760</v>
      </c>
      <c r="C1041" s="1" t="n">
        <v>45640</v>
      </c>
      <c r="D1041" t="inlineStr">
        <is>
          <t>VÄRMLANDS LÄN</t>
        </is>
      </c>
      <c r="E1041" t="inlineStr">
        <is>
          <t>TORSBY</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30612-2022</t>
        </is>
      </c>
      <c r="B1042" s="1" t="n">
        <v>44763</v>
      </c>
      <c r="C1042" s="1" t="n">
        <v>45640</v>
      </c>
      <c r="D1042" t="inlineStr">
        <is>
          <t>VÄRMLANDS LÄN</t>
        </is>
      </c>
      <c r="E1042" t="inlineStr">
        <is>
          <t>TORSBY</t>
        </is>
      </c>
      <c r="F1042" t="inlineStr">
        <is>
          <t>Kommuner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32003-2022</t>
        </is>
      </c>
      <c r="B1043" s="1" t="n">
        <v>44778</v>
      </c>
      <c r="C1043" s="1" t="n">
        <v>45640</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32438-2022</t>
        </is>
      </c>
      <c r="B1044" s="1" t="n">
        <v>44782</v>
      </c>
      <c r="C1044" s="1" t="n">
        <v>45640</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32444-2022</t>
        </is>
      </c>
      <c r="B1045" s="1" t="n">
        <v>44782</v>
      </c>
      <c r="C1045" s="1" t="n">
        <v>45640</v>
      </c>
      <c r="D1045" t="inlineStr">
        <is>
          <t>VÄRMLANDS LÄN</t>
        </is>
      </c>
      <c r="E1045" t="inlineStr">
        <is>
          <t>TORSBY</t>
        </is>
      </c>
      <c r="F1045" t="inlineStr">
        <is>
          <t>Bergvik skog väst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32400-2022</t>
        </is>
      </c>
      <c r="B1046" s="1" t="n">
        <v>44782</v>
      </c>
      <c r="C1046" s="1" t="n">
        <v>45640</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32496-2022</t>
        </is>
      </c>
      <c r="B1047" s="1" t="n">
        <v>44782</v>
      </c>
      <c r="C1047" s="1" t="n">
        <v>45640</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33069-2022</t>
        </is>
      </c>
      <c r="B1048" s="1" t="n">
        <v>44785</v>
      </c>
      <c r="C1048" s="1" t="n">
        <v>45640</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33181-2022</t>
        </is>
      </c>
      <c r="B1049" s="1" t="n">
        <v>44785</v>
      </c>
      <c r="C1049" s="1" t="n">
        <v>45640</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33254-2022</t>
        </is>
      </c>
      <c r="B1050" s="1" t="n">
        <v>44787</v>
      </c>
      <c r="C1050" s="1" t="n">
        <v>45640</v>
      </c>
      <c r="D1050" t="inlineStr">
        <is>
          <t>VÄRMLANDS LÄN</t>
        </is>
      </c>
      <c r="E1050" t="inlineStr">
        <is>
          <t>TORSBY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33251-2022</t>
        </is>
      </c>
      <c r="B1051" s="1" t="n">
        <v>44787</v>
      </c>
      <c r="C1051" s="1" t="n">
        <v>45640</v>
      </c>
      <c r="D1051" t="inlineStr">
        <is>
          <t>VÄRMLANDS LÄN</t>
        </is>
      </c>
      <c r="E1051" t="inlineStr">
        <is>
          <t>TORSBY</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33579-2022</t>
        </is>
      </c>
      <c r="B1052" s="1" t="n">
        <v>44789</v>
      </c>
      <c r="C1052" s="1" t="n">
        <v>45640</v>
      </c>
      <c r="D1052" t="inlineStr">
        <is>
          <t>VÄRMLANDS LÄN</t>
        </is>
      </c>
      <c r="E1052" t="inlineStr">
        <is>
          <t>TORSBY</t>
        </is>
      </c>
      <c r="F1052" t="inlineStr">
        <is>
          <t>Bergvik skog väst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45640</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33960-2022</t>
        </is>
      </c>
      <c r="B1054" s="1" t="n">
        <v>44790</v>
      </c>
      <c r="C1054" s="1" t="n">
        <v>45640</v>
      </c>
      <c r="D1054" t="inlineStr">
        <is>
          <t>VÄRMLANDS LÄN</t>
        </is>
      </c>
      <c r="E1054" t="inlineStr">
        <is>
          <t>TORSBY</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33958-2022</t>
        </is>
      </c>
      <c r="B1055" s="1" t="n">
        <v>44790</v>
      </c>
      <c r="C1055" s="1" t="n">
        <v>45640</v>
      </c>
      <c r="D1055" t="inlineStr">
        <is>
          <t>VÄRMLANDS LÄN</t>
        </is>
      </c>
      <c r="E1055" t="inlineStr">
        <is>
          <t>TORSBY</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33943-2022</t>
        </is>
      </c>
      <c r="B1056" s="1" t="n">
        <v>44790</v>
      </c>
      <c r="C1056" s="1" t="n">
        <v>45640</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33959-2022</t>
        </is>
      </c>
      <c r="B1057" s="1" t="n">
        <v>44790</v>
      </c>
      <c r="C1057" s="1" t="n">
        <v>45640</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34371-2022</t>
        </is>
      </c>
      <c r="B1058" s="1" t="n">
        <v>44792</v>
      </c>
      <c r="C1058" s="1" t="n">
        <v>45640</v>
      </c>
      <c r="D1058" t="inlineStr">
        <is>
          <t>VÄRMLANDS LÄN</t>
        </is>
      </c>
      <c r="E1058" t="inlineStr">
        <is>
          <t>TORSBY</t>
        </is>
      </c>
      <c r="F1058" t="inlineStr">
        <is>
          <t>Bergvik skog väst AB</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34378-2022</t>
        </is>
      </c>
      <c r="B1059" s="1" t="n">
        <v>44792</v>
      </c>
      <c r="C1059" s="1" t="n">
        <v>45640</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34434-2022</t>
        </is>
      </c>
      <c r="B1060" s="1" t="n">
        <v>44792</v>
      </c>
      <c r="C1060" s="1" t="n">
        <v>45640</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34440-2022</t>
        </is>
      </c>
      <c r="B1061" s="1" t="n">
        <v>44792</v>
      </c>
      <c r="C1061" s="1" t="n">
        <v>45640</v>
      </c>
      <c r="D1061" t="inlineStr">
        <is>
          <t>VÄRMLANDS LÄN</t>
        </is>
      </c>
      <c r="E1061" t="inlineStr">
        <is>
          <t>TORSBY</t>
        </is>
      </c>
      <c r="F1061" t="inlineStr">
        <is>
          <t>Bergvik skog väst AB</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34581-2022</t>
        </is>
      </c>
      <c r="B1062" s="1" t="n">
        <v>44792</v>
      </c>
      <c r="C1062" s="1" t="n">
        <v>45640</v>
      </c>
      <c r="D1062" t="inlineStr">
        <is>
          <t>VÄRMLANDS LÄN</t>
        </is>
      </c>
      <c r="E1062" t="inlineStr">
        <is>
          <t>TORSBY</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34568-2022</t>
        </is>
      </c>
      <c r="B1063" s="1" t="n">
        <v>44795</v>
      </c>
      <c r="C1063" s="1" t="n">
        <v>45640</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34662-2022</t>
        </is>
      </c>
      <c r="B1064" s="1" t="n">
        <v>44795</v>
      </c>
      <c r="C1064" s="1" t="n">
        <v>45640</v>
      </c>
      <c r="D1064" t="inlineStr">
        <is>
          <t>VÄRMLANDS LÄN</t>
        </is>
      </c>
      <c r="E1064" t="inlineStr">
        <is>
          <t>TORSBY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34667-2022</t>
        </is>
      </c>
      <c r="B1065" s="1" t="n">
        <v>44795</v>
      </c>
      <c r="C1065" s="1" t="n">
        <v>45640</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34655-2022</t>
        </is>
      </c>
      <c r="B1066" s="1" t="n">
        <v>44795</v>
      </c>
      <c r="C1066" s="1" t="n">
        <v>45640</v>
      </c>
      <c r="D1066" t="inlineStr">
        <is>
          <t>VÄRMLANDS LÄN</t>
        </is>
      </c>
      <c r="E1066" t="inlineStr">
        <is>
          <t>TORSBY</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34908-2022</t>
        </is>
      </c>
      <c r="B1067" s="1" t="n">
        <v>44796</v>
      </c>
      <c r="C1067" s="1" t="n">
        <v>45640</v>
      </c>
      <c r="D1067" t="inlineStr">
        <is>
          <t>VÄRMLANDS LÄN</t>
        </is>
      </c>
      <c r="E1067" t="inlineStr">
        <is>
          <t>TORSBY</t>
        </is>
      </c>
      <c r="F1067" t="inlineStr">
        <is>
          <t>Bergvik skog väst AB</t>
        </is>
      </c>
      <c r="G1067" t="n">
        <v>33.4</v>
      </c>
      <c r="H1067" t="n">
        <v>0</v>
      </c>
      <c r="I1067" t="n">
        <v>0</v>
      </c>
      <c r="J1067" t="n">
        <v>0</v>
      </c>
      <c r="K1067" t="n">
        <v>0</v>
      </c>
      <c r="L1067" t="n">
        <v>0</v>
      </c>
      <c r="M1067" t="n">
        <v>0</v>
      </c>
      <c r="N1067" t="n">
        <v>0</v>
      </c>
      <c r="O1067" t="n">
        <v>0</v>
      </c>
      <c r="P1067" t="n">
        <v>0</v>
      </c>
      <c r="Q1067" t="n">
        <v>0</v>
      </c>
      <c r="R1067" s="2" t="inlineStr"/>
    </row>
    <row r="1068" ht="15" customHeight="1">
      <c r="A1068" t="inlineStr">
        <is>
          <t>A 35134-2022</t>
        </is>
      </c>
      <c r="B1068" s="1" t="n">
        <v>44797</v>
      </c>
      <c r="C1068" s="1" t="n">
        <v>45640</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35132-2022</t>
        </is>
      </c>
      <c r="B1069" s="1" t="n">
        <v>44797</v>
      </c>
      <c r="C1069" s="1" t="n">
        <v>45640</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35606-2022</t>
        </is>
      </c>
      <c r="B1070" s="1" t="n">
        <v>44799</v>
      </c>
      <c r="C1070" s="1" t="n">
        <v>45640</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35595-2022</t>
        </is>
      </c>
      <c r="B1071" s="1" t="n">
        <v>44799</v>
      </c>
      <c r="C1071" s="1" t="n">
        <v>45640</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35724-2022</t>
        </is>
      </c>
      <c r="B1072" s="1" t="n">
        <v>44799</v>
      </c>
      <c r="C1072" s="1" t="n">
        <v>45640</v>
      </c>
      <c r="D1072" t="inlineStr">
        <is>
          <t>VÄRMLANDS LÄN</t>
        </is>
      </c>
      <c r="E1072" t="inlineStr">
        <is>
          <t>TORSBY</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35711-2022</t>
        </is>
      </c>
      <c r="B1073" s="1" t="n">
        <v>44799</v>
      </c>
      <c r="C1073" s="1" t="n">
        <v>45640</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35851-2022</t>
        </is>
      </c>
      <c r="B1074" s="1" t="n">
        <v>44802</v>
      </c>
      <c r="C1074" s="1" t="n">
        <v>45640</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36290-2022</t>
        </is>
      </c>
      <c r="B1075" s="1" t="n">
        <v>44803</v>
      </c>
      <c r="C1075" s="1" t="n">
        <v>45640</v>
      </c>
      <c r="D1075" t="inlineStr">
        <is>
          <t>VÄRMLANDS LÄN</t>
        </is>
      </c>
      <c r="E1075" t="inlineStr">
        <is>
          <t>TORSBY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36318-2022</t>
        </is>
      </c>
      <c r="B1076" s="1" t="n">
        <v>44803</v>
      </c>
      <c r="C1076" s="1" t="n">
        <v>45640</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36514-2022</t>
        </is>
      </c>
      <c r="B1077" s="1" t="n">
        <v>44804</v>
      </c>
      <c r="C1077" s="1" t="n">
        <v>45640</v>
      </c>
      <c r="D1077" t="inlineStr">
        <is>
          <t>VÄRMLANDS LÄN</t>
        </is>
      </c>
      <c r="E1077" t="inlineStr">
        <is>
          <t>TORSBY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36547-2022</t>
        </is>
      </c>
      <c r="B1078" s="1" t="n">
        <v>44804</v>
      </c>
      <c r="C1078" s="1" t="n">
        <v>45640</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36545-2022</t>
        </is>
      </c>
      <c r="B1079" s="1" t="n">
        <v>44804</v>
      </c>
      <c r="C1079" s="1" t="n">
        <v>45640</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36527-2022</t>
        </is>
      </c>
      <c r="B1080" s="1" t="n">
        <v>44804</v>
      </c>
      <c r="C1080" s="1" t="n">
        <v>45640</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36537-2022</t>
        </is>
      </c>
      <c r="B1081" s="1" t="n">
        <v>44804</v>
      </c>
      <c r="C1081" s="1" t="n">
        <v>45640</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36582-2022</t>
        </is>
      </c>
      <c r="B1082" s="1" t="n">
        <v>44804</v>
      </c>
      <c r="C1082" s="1" t="n">
        <v>45640</v>
      </c>
      <c r="D1082" t="inlineStr">
        <is>
          <t>VÄRMLANDS LÄN</t>
        </is>
      </c>
      <c r="E1082" t="inlineStr">
        <is>
          <t>TORSBY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36562-2022</t>
        </is>
      </c>
      <c r="B1083" s="1" t="n">
        <v>44804</v>
      </c>
      <c r="C1083" s="1" t="n">
        <v>45640</v>
      </c>
      <c r="D1083" t="inlineStr">
        <is>
          <t>VÄRMLANDS LÄN</t>
        </is>
      </c>
      <c r="E1083" t="inlineStr">
        <is>
          <t>TORSBY</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36572-2022</t>
        </is>
      </c>
      <c r="B1084" s="1" t="n">
        <v>44804</v>
      </c>
      <c r="C1084" s="1" t="n">
        <v>45640</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36587-2022</t>
        </is>
      </c>
      <c r="B1085" s="1" t="n">
        <v>44804</v>
      </c>
      <c r="C1085" s="1" t="n">
        <v>45640</v>
      </c>
      <c r="D1085" t="inlineStr">
        <is>
          <t>VÄRMLANDS LÄN</t>
        </is>
      </c>
      <c r="E1085" t="inlineStr">
        <is>
          <t>TORSBY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37148-2022</t>
        </is>
      </c>
      <c r="B1086" s="1" t="n">
        <v>44806</v>
      </c>
      <c r="C1086" s="1" t="n">
        <v>45640</v>
      </c>
      <c r="D1086" t="inlineStr">
        <is>
          <t>VÄRMLANDS LÄN</t>
        </is>
      </c>
      <c r="E1086" t="inlineStr">
        <is>
          <t>TORSBY</t>
        </is>
      </c>
      <c r="F1086" t="inlineStr">
        <is>
          <t>Kommuner</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37279-2022</t>
        </is>
      </c>
      <c r="B1087" s="1" t="n">
        <v>44807</v>
      </c>
      <c r="C1087" s="1" t="n">
        <v>45640</v>
      </c>
      <c r="D1087" t="inlineStr">
        <is>
          <t>VÄRMLANDS LÄN</t>
        </is>
      </c>
      <c r="E1087" t="inlineStr">
        <is>
          <t>TORSBY</t>
        </is>
      </c>
      <c r="G1087" t="n">
        <v>18.2</v>
      </c>
      <c r="H1087" t="n">
        <v>0</v>
      </c>
      <c r="I1087" t="n">
        <v>0</v>
      </c>
      <c r="J1087" t="n">
        <v>0</v>
      </c>
      <c r="K1087" t="n">
        <v>0</v>
      </c>
      <c r="L1087" t="n">
        <v>0</v>
      </c>
      <c r="M1087" t="n">
        <v>0</v>
      </c>
      <c r="N1087" t="n">
        <v>0</v>
      </c>
      <c r="O1087" t="n">
        <v>0</v>
      </c>
      <c r="P1087" t="n">
        <v>0</v>
      </c>
      <c r="Q1087" t="n">
        <v>0</v>
      </c>
      <c r="R1087" s="2" t="inlineStr"/>
    </row>
    <row r="1088" ht="15" customHeight="1">
      <c r="A1088" t="inlineStr">
        <is>
          <t>A 37401-2022</t>
        </is>
      </c>
      <c r="B1088" s="1" t="n">
        <v>44809</v>
      </c>
      <c r="C1088" s="1" t="n">
        <v>45640</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37449-2022</t>
        </is>
      </c>
      <c r="B1089" s="1" t="n">
        <v>44809</v>
      </c>
      <c r="C1089" s="1" t="n">
        <v>45640</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37340-2022</t>
        </is>
      </c>
      <c r="B1090" s="1" t="n">
        <v>44809</v>
      </c>
      <c r="C1090" s="1" t="n">
        <v>45640</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37752-2022</t>
        </is>
      </c>
      <c r="B1091" s="1" t="n">
        <v>44810</v>
      </c>
      <c r="C1091" s="1" t="n">
        <v>45640</v>
      </c>
      <c r="D1091" t="inlineStr">
        <is>
          <t>VÄRMLANDS LÄN</t>
        </is>
      </c>
      <c r="E1091" t="inlineStr">
        <is>
          <t>TORSBY</t>
        </is>
      </c>
      <c r="F1091" t="inlineStr">
        <is>
          <t>Kyrkan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37814-2022</t>
        </is>
      </c>
      <c r="B1092" s="1" t="n">
        <v>44810</v>
      </c>
      <c r="C1092" s="1" t="n">
        <v>45640</v>
      </c>
      <c r="D1092" t="inlineStr">
        <is>
          <t>VÄRMLANDS LÄN</t>
        </is>
      </c>
      <c r="E1092" t="inlineStr">
        <is>
          <t>TORSBY</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37754-2022</t>
        </is>
      </c>
      <c r="B1093" s="1" t="n">
        <v>44810</v>
      </c>
      <c r="C1093" s="1" t="n">
        <v>45640</v>
      </c>
      <c r="D1093" t="inlineStr">
        <is>
          <t>VÄRMLANDS LÄN</t>
        </is>
      </c>
      <c r="E1093" t="inlineStr">
        <is>
          <t>TORSBY</t>
        </is>
      </c>
      <c r="F1093" t="inlineStr">
        <is>
          <t>Kyrkan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37913-2022</t>
        </is>
      </c>
      <c r="B1094" s="1" t="n">
        <v>44811</v>
      </c>
      <c r="C1094" s="1" t="n">
        <v>45640</v>
      </c>
      <c r="D1094" t="inlineStr">
        <is>
          <t>VÄRMLANDS LÄN</t>
        </is>
      </c>
      <c r="E1094" t="inlineStr">
        <is>
          <t>TORSBY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37929-2022</t>
        </is>
      </c>
      <c r="B1095" s="1" t="n">
        <v>44811</v>
      </c>
      <c r="C1095" s="1" t="n">
        <v>45640</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37917-2022</t>
        </is>
      </c>
      <c r="B1096" s="1" t="n">
        <v>44811</v>
      </c>
      <c r="C1096" s="1" t="n">
        <v>45640</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37937-2022</t>
        </is>
      </c>
      <c r="B1097" s="1" t="n">
        <v>44811</v>
      </c>
      <c r="C1097" s="1" t="n">
        <v>45640</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37985-2022</t>
        </is>
      </c>
      <c r="B1098" s="1" t="n">
        <v>44811</v>
      </c>
      <c r="C1098" s="1" t="n">
        <v>45640</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38033-2022</t>
        </is>
      </c>
      <c r="B1099" s="1" t="n">
        <v>44811</v>
      </c>
      <c r="C1099" s="1" t="n">
        <v>45640</v>
      </c>
      <c r="D1099" t="inlineStr">
        <is>
          <t>VÄRMLANDS LÄN</t>
        </is>
      </c>
      <c r="E1099" t="inlineStr">
        <is>
          <t>TORSBY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38200-2022</t>
        </is>
      </c>
      <c r="B1100" s="1" t="n">
        <v>44812</v>
      </c>
      <c r="C1100" s="1" t="n">
        <v>45640</v>
      </c>
      <c r="D1100" t="inlineStr">
        <is>
          <t>VÄRMLANDS LÄN</t>
        </is>
      </c>
      <c r="E1100" t="inlineStr">
        <is>
          <t>TORSBY</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38179-2022</t>
        </is>
      </c>
      <c r="B1101" s="1" t="n">
        <v>44812</v>
      </c>
      <c r="C1101" s="1" t="n">
        <v>45640</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38378-2022</t>
        </is>
      </c>
      <c r="B1102" s="1" t="n">
        <v>44812</v>
      </c>
      <c r="C1102" s="1" t="n">
        <v>45640</v>
      </c>
      <c r="D1102" t="inlineStr">
        <is>
          <t>VÄRMLANDS LÄN</t>
        </is>
      </c>
      <c r="E1102" t="inlineStr">
        <is>
          <t>TORSBY</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38486-2022</t>
        </is>
      </c>
      <c r="B1103" s="1" t="n">
        <v>44813</v>
      </c>
      <c r="C1103" s="1" t="n">
        <v>45640</v>
      </c>
      <c r="D1103" t="inlineStr">
        <is>
          <t>VÄRMLANDS LÄN</t>
        </is>
      </c>
      <c r="E1103" t="inlineStr">
        <is>
          <t>TORSBY</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38699-2022</t>
        </is>
      </c>
      <c r="B1104" s="1" t="n">
        <v>44814</v>
      </c>
      <c r="C1104" s="1" t="n">
        <v>45640</v>
      </c>
      <c r="D1104" t="inlineStr">
        <is>
          <t>VÄRMLANDS LÄN</t>
        </is>
      </c>
      <c r="E1104" t="inlineStr">
        <is>
          <t>TORSBY</t>
        </is>
      </c>
      <c r="F1104" t="inlineStr">
        <is>
          <t>Bergvik skog väst AB</t>
        </is>
      </c>
      <c r="G1104" t="n">
        <v>22.6</v>
      </c>
      <c r="H1104" t="n">
        <v>0</v>
      </c>
      <c r="I1104" t="n">
        <v>0</v>
      </c>
      <c r="J1104" t="n">
        <v>0</v>
      </c>
      <c r="K1104" t="n">
        <v>0</v>
      </c>
      <c r="L1104" t="n">
        <v>0</v>
      </c>
      <c r="M1104" t="n">
        <v>0</v>
      </c>
      <c r="N1104" t="n">
        <v>0</v>
      </c>
      <c r="O1104" t="n">
        <v>0</v>
      </c>
      <c r="P1104" t="n">
        <v>0</v>
      </c>
      <c r="Q1104" t="n">
        <v>0</v>
      </c>
      <c r="R1104" s="2" t="inlineStr"/>
    </row>
    <row r="1105" ht="15" customHeight="1">
      <c r="A1105" t="inlineStr">
        <is>
          <t>A 38882-2022</t>
        </is>
      </c>
      <c r="B1105" s="1" t="n">
        <v>44816</v>
      </c>
      <c r="C1105" s="1" t="n">
        <v>45640</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38914-2022</t>
        </is>
      </c>
      <c r="B1106" s="1" t="n">
        <v>44816</v>
      </c>
      <c r="C1106" s="1" t="n">
        <v>45640</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39069-2022</t>
        </is>
      </c>
      <c r="B1107" s="1" t="n">
        <v>44816</v>
      </c>
      <c r="C1107" s="1" t="n">
        <v>45640</v>
      </c>
      <c r="D1107" t="inlineStr">
        <is>
          <t>VÄRMLANDS LÄN</t>
        </is>
      </c>
      <c r="E1107" t="inlineStr">
        <is>
          <t>TORSBY</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39186-2022</t>
        </is>
      </c>
      <c r="B1108" s="1" t="n">
        <v>44817</v>
      </c>
      <c r="C1108" s="1" t="n">
        <v>45640</v>
      </c>
      <c r="D1108" t="inlineStr">
        <is>
          <t>VÄRMLANDS LÄN</t>
        </is>
      </c>
      <c r="E1108" t="inlineStr">
        <is>
          <t>TORSBY</t>
        </is>
      </c>
      <c r="F1108" t="inlineStr">
        <is>
          <t>Bergvik skog väst AB</t>
        </is>
      </c>
      <c r="G1108" t="n">
        <v>20.3</v>
      </c>
      <c r="H1108" t="n">
        <v>0</v>
      </c>
      <c r="I1108" t="n">
        <v>0</v>
      </c>
      <c r="J1108" t="n">
        <v>0</v>
      </c>
      <c r="K1108" t="n">
        <v>0</v>
      </c>
      <c r="L1108" t="n">
        <v>0</v>
      </c>
      <c r="M1108" t="n">
        <v>0</v>
      </c>
      <c r="N1108" t="n">
        <v>0</v>
      </c>
      <c r="O1108" t="n">
        <v>0</v>
      </c>
      <c r="P1108" t="n">
        <v>0</v>
      </c>
      <c r="Q1108" t="n">
        <v>0</v>
      </c>
      <c r="R1108" s="2" t="inlineStr"/>
    </row>
    <row r="1109" ht="15" customHeight="1">
      <c r="A1109" t="inlineStr">
        <is>
          <t>A 39216-2022</t>
        </is>
      </c>
      <c r="B1109" s="1" t="n">
        <v>44817</v>
      </c>
      <c r="C1109" s="1" t="n">
        <v>45640</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39215-2022</t>
        </is>
      </c>
      <c r="B1110" s="1" t="n">
        <v>44817</v>
      </c>
      <c r="C1110" s="1" t="n">
        <v>45640</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39221-2022</t>
        </is>
      </c>
      <c r="B1111" s="1" t="n">
        <v>44817</v>
      </c>
      <c r="C1111" s="1" t="n">
        <v>45640</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39217-2022</t>
        </is>
      </c>
      <c r="B1112" s="1" t="n">
        <v>44817</v>
      </c>
      <c r="C1112" s="1" t="n">
        <v>45640</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39781-2022</t>
        </is>
      </c>
      <c r="B1113" s="1" t="n">
        <v>44819</v>
      </c>
      <c r="C1113" s="1" t="n">
        <v>45640</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39780-2022</t>
        </is>
      </c>
      <c r="B1114" s="1" t="n">
        <v>44819</v>
      </c>
      <c r="C1114" s="1" t="n">
        <v>45640</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40009-2022</t>
        </is>
      </c>
      <c r="B1115" s="1" t="n">
        <v>44820</v>
      </c>
      <c r="C1115" s="1" t="n">
        <v>45640</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40036-2022</t>
        </is>
      </c>
      <c r="B1116" s="1" t="n">
        <v>44820</v>
      </c>
      <c r="C1116" s="1" t="n">
        <v>45640</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40221-2022</t>
        </is>
      </c>
      <c r="B1117" s="1" t="n">
        <v>44820</v>
      </c>
      <c r="C1117" s="1" t="n">
        <v>45640</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40353-2022</t>
        </is>
      </c>
      <c r="B1118" s="1" t="n">
        <v>44823</v>
      </c>
      <c r="C1118" s="1" t="n">
        <v>45640</v>
      </c>
      <c r="D1118" t="inlineStr">
        <is>
          <t>VÄRMLANDS LÄN</t>
        </is>
      </c>
      <c r="E1118" t="inlineStr">
        <is>
          <t>TORSBY</t>
        </is>
      </c>
      <c r="F1118" t="inlineStr">
        <is>
          <t>Bergvik skog väst AB</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41264-2022</t>
        </is>
      </c>
      <c r="B1119" s="1" t="n">
        <v>44823</v>
      </c>
      <c r="C1119" s="1" t="n">
        <v>45640</v>
      </c>
      <c r="D1119" t="inlineStr">
        <is>
          <t>VÄRMLANDS LÄN</t>
        </is>
      </c>
      <c r="E1119" t="inlineStr">
        <is>
          <t>TORSBY</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41295-2022</t>
        </is>
      </c>
      <c r="B1120" s="1" t="n">
        <v>44823</v>
      </c>
      <c r="C1120" s="1" t="n">
        <v>45640</v>
      </c>
      <c r="D1120" t="inlineStr">
        <is>
          <t>VÄRMLANDS LÄN</t>
        </is>
      </c>
      <c r="E1120" t="inlineStr">
        <is>
          <t>TORSBY</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40718-2022</t>
        </is>
      </c>
      <c r="B1121" s="1" t="n">
        <v>44824</v>
      </c>
      <c r="C1121" s="1" t="n">
        <v>45640</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40788-2022</t>
        </is>
      </c>
      <c r="B1122" s="1" t="n">
        <v>44824</v>
      </c>
      <c r="C1122" s="1" t="n">
        <v>45640</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40997-2022</t>
        </is>
      </c>
      <c r="B1123" s="1" t="n">
        <v>44825</v>
      </c>
      <c r="C1123" s="1" t="n">
        <v>45640</v>
      </c>
      <c r="D1123" t="inlineStr">
        <is>
          <t>VÄRMLANDS LÄN</t>
        </is>
      </c>
      <c r="E1123" t="inlineStr">
        <is>
          <t>TORSBY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41065-2022</t>
        </is>
      </c>
      <c r="B1124" s="1" t="n">
        <v>44825</v>
      </c>
      <c r="C1124" s="1" t="n">
        <v>45640</v>
      </c>
      <c r="D1124" t="inlineStr">
        <is>
          <t>VÄRMLANDS LÄN</t>
        </is>
      </c>
      <c r="E1124" t="inlineStr">
        <is>
          <t>TORSBY</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41130-2022</t>
        </is>
      </c>
      <c r="B1125" s="1" t="n">
        <v>44825</v>
      </c>
      <c r="C1125" s="1" t="n">
        <v>45640</v>
      </c>
      <c r="D1125" t="inlineStr">
        <is>
          <t>VÄRMLANDS LÄN</t>
        </is>
      </c>
      <c r="E1125" t="inlineStr">
        <is>
          <t>TORSBY</t>
        </is>
      </c>
      <c r="F1125" t="inlineStr">
        <is>
          <t>Kyrkan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41315-2022</t>
        </is>
      </c>
      <c r="B1126" s="1" t="n">
        <v>44826</v>
      </c>
      <c r="C1126" s="1" t="n">
        <v>45640</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41322-2022</t>
        </is>
      </c>
      <c r="B1127" s="1" t="n">
        <v>44826</v>
      </c>
      <c r="C1127" s="1" t="n">
        <v>45640</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41781-2022</t>
        </is>
      </c>
      <c r="B1128" s="1" t="n">
        <v>44827</v>
      </c>
      <c r="C1128" s="1" t="n">
        <v>45640</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41675-2022</t>
        </is>
      </c>
      <c r="B1129" s="1" t="n">
        <v>44827</v>
      </c>
      <c r="C1129" s="1" t="n">
        <v>45640</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41590-2022</t>
        </is>
      </c>
      <c r="B1130" s="1" t="n">
        <v>44827</v>
      </c>
      <c r="C1130" s="1" t="n">
        <v>45640</v>
      </c>
      <c r="D1130" t="inlineStr">
        <is>
          <t>VÄRMLANDS LÄN</t>
        </is>
      </c>
      <c r="E1130" t="inlineStr">
        <is>
          <t>TORSBY</t>
        </is>
      </c>
      <c r="F1130" t="inlineStr">
        <is>
          <t>Bergvik skog väst AB</t>
        </is>
      </c>
      <c r="G1130" t="n">
        <v>42.5</v>
      </c>
      <c r="H1130" t="n">
        <v>0</v>
      </c>
      <c r="I1130" t="n">
        <v>0</v>
      </c>
      <c r="J1130" t="n">
        <v>0</v>
      </c>
      <c r="K1130" t="n">
        <v>0</v>
      </c>
      <c r="L1130" t="n">
        <v>0</v>
      </c>
      <c r="M1130" t="n">
        <v>0</v>
      </c>
      <c r="N1130" t="n">
        <v>0</v>
      </c>
      <c r="O1130" t="n">
        <v>0</v>
      </c>
      <c r="P1130" t="n">
        <v>0</v>
      </c>
      <c r="Q1130" t="n">
        <v>0</v>
      </c>
      <c r="R1130" s="2" t="inlineStr"/>
    </row>
    <row r="1131" ht="15" customHeight="1">
      <c r="A1131" t="inlineStr">
        <is>
          <t>A 41995-2022</t>
        </is>
      </c>
      <c r="B1131" s="1" t="n">
        <v>44830</v>
      </c>
      <c r="C1131" s="1" t="n">
        <v>45640</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42588-2022</t>
        </is>
      </c>
      <c r="B1132" s="1" t="n">
        <v>44831</v>
      </c>
      <c r="C1132" s="1" t="n">
        <v>45640</v>
      </c>
      <c r="D1132" t="inlineStr">
        <is>
          <t>VÄRMLANDS LÄN</t>
        </is>
      </c>
      <c r="E1132" t="inlineStr">
        <is>
          <t>TORSBY</t>
        </is>
      </c>
      <c r="F1132" t="inlineStr">
        <is>
          <t>Bergvik skog väst AB</t>
        </is>
      </c>
      <c r="G1132" t="n">
        <v>41.4</v>
      </c>
      <c r="H1132" t="n">
        <v>0</v>
      </c>
      <c r="I1132" t="n">
        <v>0</v>
      </c>
      <c r="J1132" t="n">
        <v>0</v>
      </c>
      <c r="K1132" t="n">
        <v>0</v>
      </c>
      <c r="L1132" t="n">
        <v>0</v>
      </c>
      <c r="M1132" t="n">
        <v>0</v>
      </c>
      <c r="N1132" t="n">
        <v>0</v>
      </c>
      <c r="O1132" t="n">
        <v>0</v>
      </c>
      <c r="P1132" t="n">
        <v>0</v>
      </c>
      <c r="Q1132" t="n">
        <v>0</v>
      </c>
      <c r="R1132" s="2" t="inlineStr"/>
    </row>
    <row r="1133" ht="15" customHeight="1">
      <c r="A1133" t="inlineStr">
        <is>
          <t>A 42784-2022</t>
        </is>
      </c>
      <c r="B1133" s="1" t="n">
        <v>44832</v>
      </c>
      <c r="C1133" s="1" t="n">
        <v>45640</v>
      </c>
      <c r="D1133" t="inlineStr">
        <is>
          <t>VÄRMLANDS LÄN</t>
        </is>
      </c>
      <c r="E1133" t="inlineStr">
        <is>
          <t>TORSBY</t>
        </is>
      </c>
      <c r="F1133" t="inlineStr">
        <is>
          <t>Bergvik skog väst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42701-2022</t>
        </is>
      </c>
      <c r="B1134" s="1" t="n">
        <v>44832</v>
      </c>
      <c r="C1134" s="1" t="n">
        <v>45640</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43022-2022</t>
        </is>
      </c>
      <c r="B1135" s="1" t="n">
        <v>44833</v>
      </c>
      <c r="C1135" s="1" t="n">
        <v>45640</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43111-2022</t>
        </is>
      </c>
      <c r="B1136" s="1" t="n">
        <v>44833</v>
      </c>
      <c r="C1136" s="1" t="n">
        <v>45640</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43248-2022</t>
        </is>
      </c>
      <c r="B1137" s="1" t="n">
        <v>44834</v>
      </c>
      <c r="C1137" s="1" t="n">
        <v>45640</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43289-2022</t>
        </is>
      </c>
      <c r="B1138" s="1" t="n">
        <v>44834</v>
      </c>
      <c r="C1138" s="1" t="n">
        <v>45640</v>
      </c>
      <c r="D1138" t="inlineStr">
        <is>
          <t>VÄRMLANDS LÄN</t>
        </is>
      </c>
      <c r="E1138" t="inlineStr">
        <is>
          <t>TORSBY</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43465-2022</t>
        </is>
      </c>
      <c r="B1139" s="1" t="n">
        <v>44836</v>
      </c>
      <c r="C1139" s="1" t="n">
        <v>45640</v>
      </c>
      <c r="D1139" t="inlineStr">
        <is>
          <t>VÄRMLANDS LÄN</t>
        </is>
      </c>
      <c r="E1139" t="inlineStr">
        <is>
          <t>TORSBY</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43943-2022</t>
        </is>
      </c>
      <c r="B1140" s="1" t="n">
        <v>44838</v>
      </c>
      <c r="C1140" s="1" t="n">
        <v>45640</v>
      </c>
      <c r="D1140" t="inlineStr">
        <is>
          <t>VÄRMLANDS LÄN</t>
        </is>
      </c>
      <c r="E1140" t="inlineStr">
        <is>
          <t>TORSBY</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43989-2022</t>
        </is>
      </c>
      <c r="B1141" s="1" t="n">
        <v>44838</v>
      </c>
      <c r="C1141" s="1" t="n">
        <v>45640</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44214-2022</t>
        </is>
      </c>
      <c r="B1142" s="1" t="n">
        <v>44838</v>
      </c>
      <c r="C1142" s="1" t="n">
        <v>45640</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44340-2022</t>
        </is>
      </c>
      <c r="B1143" s="1" t="n">
        <v>44838</v>
      </c>
      <c r="C1143" s="1" t="n">
        <v>45640</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44170-2022</t>
        </is>
      </c>
      <c r="B1144" s="1" t="n">
        <v>44838</v>
      </c>
      <c r="C1144" s="1" t="n">
        <v>45640</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44149-2022</t>
        </is>
      </c>
      <c r="B1145" s="1" t="n">
        <v>44839</v>
      </c>
      <c r="C1145" s="1" t="n">
        <v>45640</v>
      </c>
      <c r="D1145" t="inlineStr">
        <is>
          <t>VÄRMLANDS LÄN</t>
        </is>
      </c>
      <c r="E1145" t="inlineStr">
        <is>
          <t>TORSBY</t>
        </is>
      </c>
      <c r="F1145" t="inlineStr">
        <is>
          <t>Bergvik skog väst AB</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44196-2022</t>
        </is>
      </c>
      <c r="B1146" s="1" t="n">
        <v>44839</v>
      </c>
      <c r="C1146" s="1" t="n">
        <v>45640</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44327-2022</t>
        </is>
      </c>
      <c r="B1147" s="1" t="n">
        <v>44839</v>
      </c>
      <c r="C1147" s="1" t="n">
        <v>45640</v>
      </c>
      <c r="D1147" t="inlineStr">
        <is>
          <t>VÄRMLANDS LÄN</t>
        </is>
      </c>
      <c r="E1147" t="inlineStr">
        <is>
          <t>TORSBY</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44841-2022</t>
        </is>
      </c>
      <c r="B1148" s="1" t="n">
        <v>44839</v>
      </c>
      <c r="C1148" s="1" t="n">
        <v>45640</v>
      </c>
      <c r="D1148" t="inlineStr">
        <is>
          <t>VÄRMLANDS LÄN</t>
        </is>
      </c>
      <c r="E1148" t="inlineStr">
        <is>
          <t>TORSBY</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44879-2022</t>
        </is>
      </c>
      <c r="B1149" s="1" t="n">
        <v>44839</v>
      </c>
      <c r="C1149" s="1" t="n">
        <v>45640</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44498-2022</t>
        </is>
      </c>
      <c r="B1150" s="1" t="n">
        <v>44840</v>
      </c>
      <c r="C1150" s="1" t="n">
        <v>45640</v>
      </c>
      <c r="D1150" t="inlineStr">
        <is>
          <t>VÄRMLANDS LÄN</t>
        </is>
      </c>
      <c r="E1150" t="inlineStr">
        <is>
          <t>TORSBY</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44516-2022</t>
        </is>
      </c>
      <c r="B1151" s="1" t="n">
        <v>44840</v>
      </c>
      <c r="C1151" s="1" t="n">
        <v>45640</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44517-2022</t>
        </is>
      </c>
      <c r="B1152" s="1" t="n">
        <v>44840</v>
      </c>
      <c r="C1152" s="1" t="n">
        <v>45640</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44532-2022</t>
        </is>
      </c>
      <c r="B1153" s="1" t="n">
        <v>44840</v>
      </c>
      <c r="C1153" s="1" t="n">
        <v>45640</v>
      </c>
      <c r="D1153" t="inlineStr">
        <is>
          <t>VÄRMLANDS LÄN</t>
        </is>
      </c>
      <c r="E1153" t="inlineStr">
        <is>
          <t>TORSBY</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44708-2022</t>
        </is>
      </c>
      <c r="B1154" s="1" t="n">
        <v>44840</v>
      </c>
      <c r="C1154" s="1" t="n">
        <v>45640</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45056-2022</t>
        </is>
      </c>
      <c r="B1155" s="1" t="n">
        <v>44841</v>
      </c>
      <c r="C1155" s="1" t="n">
        <v>45640</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45303-2022</t>
        </is>
      </c>
      <c r="B1156" s="1" t="n">
        <v>44844</v>
      </c>
      <c r="C1156" s="1" t="n">
        <v>45640</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45368-2022</t>
        </is>
      </c>
      <c r="B1157" s="1" t="n">
        <v>44844</v>
      </c>
      <c r="C1157" s="1" t="n">
        <v>45640</v>
      </c>
      <c r="D1157" t="inlineStr">
        <is>
          <t>VÄRMLANDS LÄN</t>
        </is>
      </c>
      <c r="E1157" t="inlineStr">
        <is>
          <t>TORSBY</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45328-2022</t>
        </is>
      </c>
      <c r="B1158" s="1" t="n">
        <v>44844</v>
      </c>
      <c r="C1158" s="1" t="n">
        <v>45640</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45325-2022</t>
        </is>
      </c>
      <c r="B1159" s="1" t="n">
        <v>44844</v>
      </c>
      <c r="C1159" s="1" t="n">
        <v>45640</v>
      </c>
      <c r="D1159" t="inlineStr">
        <is>
          <t>VÄRMLANDS LÄN</t>
        </is>
      </c>
      <c r="E1159" t="inlineStr">
        <is>
          <t>TORSBY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45369-2022</t>
        </is>
      </c>
      <c r="B1160" s="1" t="n">
        <v>44844</v>
      </c>
      <c r="C1160" s="1" t="n">
        <v>45640</v>
      </c>
      <c r="D1160" t="inlineStr">
        <is>
          <t>VÄRMLANDS LÄN</t>
        </is>
      </c>
      <c r="E1160" t="inlineStr">
        <is>
          <t>TORSBY</t>
        </is>
      </c>
      <c r="F1160" t="inlineStr">
        <is>
          <t>Bergvik skog väst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45809-2022</t>
        </is>
      </c>
      <c r="B1161" s="1" t="n">
        <v>44844</v>
      </c>
      <c r="C1161" s="1" t="n">
        <v>45640</v>
      </c>
      <c r="D1161" t="inlineStr">
        <is>
          <t>VÄRMLANDS LÄN</t>
        </is>
      </c>
      <c r="E1161" t="inlineStr">
        <is>
          <t>TORSBY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45666-2022</t>
        </is>
      </c>
      <c r="B1162" s="1" t="n">
        <v>44845</v>
      </c>
      <c r="C1162" s="1" t="n">
        <v>45640</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46551-2022</t>
        </is>
      </c>
      <c r="B1163" s="1" t="n">
        <v>44848</v>
      </c>
      <c r="C1163" s="1" t="n">
        <v>45640</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47167-2022</t>
        </is>
      </c>
      <c r="B1164" s="1" t="n">
        <v>44852</v>
      </c>
      <c r="C1164" s="1" t="n">
        <v>45640</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47141-2022</t>
        </is>
      </c>
      <c r="B1165" s="1" t="n">
        <v>44852</v>
      </c>
      <c r="C1165" s="1" t="n">
        <v>45640</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47206-2022</t>
        </is>
      </c>
      <c r="B1166" s="1" t="n">
        <v>44852</v>
      </c>
      <c r="C1166" s="1" t="n">
        <v>45640</v>
      </c>
      <c r="D1166" t="inlineStr">
        <is>
          <t>VÄRMLANDS LÄN</t>
        </is>
      </c>
      <c r="E1166" t="inlineStr">
        <is>
          <t>TORSBY</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47466-2022</t>
        </is>
      </c>
      <c r="B1167" s="1" t="n">
        <v>44852</v>
      </c>
      <c r="C1167" s="1" t="n">
        <v>45640</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48328-2022</t>
        </is>
      </c>
      <c r="B1168" s="1" t="n">
        <v>44853</v>
      </c>
      <c r="C1168" s="1" t="n">
        <v>45640</v>
      </c>
      <c r="D1168" t="inlineStr">
        <is>
          <t>VÄRMLANDS LÄN</t>
        </is>
      </c>
      <c r="E1168" t="inlineStr">
        <is>
          <t>TORSBY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48356-2022</t>
        </is>
      </c>
      <c r="B1169" s="1" t="n">
        <v>44853</v>
      </c>
      <c r="C1169" s="1" t="n">
        <v>45640</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48320-2022</t>
        </is>
      </c>
      <c r="B1170" s="1" t="n">
        <v>44853</v>
      </c>
      <c r="C1170" s="1" t="n">
        <v>45640</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47694-2022</t>
        </is>
      </c>
      <c r="B1171" s="1" t="n">
        <v>44854</v>
      </c>
      <c r="C1171" s="1" t="n">
        <v>45640</v>
      </c>
      <c r="D1171" t="inlineStr">
        <is>
          <t>VÄRMLANDS LÄN</t>
        </is>
      </c>
      <c r="E1171" t="inlineStr">
        <is>
          <t>TORSBY</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48239-2022</t>
        </is>
      </c>
      <c r="B1172" s="1" t="n">
        <v>44858</v>
      </c>
      <c r="C1172" s="1" t="n">
        <v>45640</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48712-2022</t>
        </is>
      </c>
      <c r="B1173" s="1" t="n">
        <v>44859</v>
      </c>
      <c r="C1173" s="1" t="n">
        <v>45640</v>
      </c>
      <c r="D1173" t="inlineStr">
        <is>
          <t>VÄRMLANDS LÄN</t>
        </is>
      </c>
      <c r="E1173" t="inlineStr">
        <is>
          <t>TORSBY</t>
        </is>
      </c>
      <c r="F1173" t="inlineStr">
        <is>
          <t>Bergvik skog väst AB</t>
        </is>
      </c>
      <c r="G1173" t="n">
        <v>22.7</v>
      </c>
      <c r="H1173" t="n">
        <v>0</v>
      </c>
      <c r="I1173" t="n">
        <v>0</v>
      </c>
      <c r="J1173" t="n">
        <v>0</v>
      </c>
      <c r="K1173" t="n">
        <v>0</v>
      </c>
      <c r="L1173" t="n">
        <v>0</v>
      </c>
      <c r="M1173" t="n">
        <v>0</v>
      </c>
      <c r="N1173" t="n">
        <v>0</v>
      </c>
      <c r="O1173" t="n">
        <v>0</v>
      </c>
      <c r="P1173" t="n">
        <v>0</v>
      </c>
      <c r="Q1173" t="n">
        <v>0</v>
      </c>
      <c r="R1173" s="2" t="inlineStr"/>
    </row>
    <row r="1174" ht="15" customHeight="1">
      <c r="A1174" t="inlineStr">
        <is>
          <t>A 49699-2022</t>
        </is>
      </c>
      <c r="B1174" s="1" t="n">
        <v>44859</v>
      </c>
      <c r="C1174" s="1" t="n">
        <v>45640</v>
      </c>
      <c r="D1174" t="inlineStr">
        <is>
          <t>VÄRMLANDS LÄN</t>
        </is>
      </c>
      <c r="E1174" t="inlineStr">
        <is>
          <t>TORSBY</t>
        </is>
      </c>
      <c r="F1174" t="inlineStr">
        <is>
          <t>Kyrkan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49814-2022</t>
        </is>
      </c>
      <c r="B1175" s="1" t="n">
        <v>44859</v>
      </c>
      <c r="C1175" s="1" t="n">
        <v>45640</v>
      </c>
      <c r="D1175" t="inlineStr">
        <is>
          <t>VÄRMLANDS LÄN</t>
        </is>
      </c>
      <c r="E1175" t="inlineStr">
        <is>
          <t>TORSBY</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49608-2022</t>
        </is>
      </c>
      <c r="B1176" s="1" t="n">
        <v>44859</v>
      </c>
      <c r="C1176" s="1" t="n">
        <v>45640</v>
      </c>
      <c r="D1176" t="inlineStr">
        <is>
          <t>VÄRMLANDS LÄN</t>
        </is>
      </c>
      <c r="E1176" t="inlineStr">
        <is>
          <t>TORSBY</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49073-2022</t>
        </is>
      </c>
      <c r="B1177" s="1" t="n">
        <v>44860</v>
      </c>
      <c r="C1177" s="1" t="n">
        <v>45640</v>
      </c>
      <c r="D1177" t="inlineStr">
        <is>
          <t>VÄRMLANDS LÄN</t>
        </is>
      </c>
      <c r="E1177" t="inlineStr">
        <is>
          <t>TORSBY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49206-2022</t>
        </is>
      </c>
      <c r="B1178" s="1" t="n">
        <v>44861</v>
      </c>
      <c r="C1178" s="1" t="n">
        <v>45640</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49346-2022</t>
        </is>
      </c>
      <c r="B1179" s="1" t="n">
        <v>44861</v>
      </c>
      <c r="C1179" s="1" t="n">
        <v>45640</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50390-2022</t>
        </is>
      </c>
      <c r="B1180" s="1" t="n">
        <v>44861</v>
      </c>
      <c r="C1180" s="1" t="n">
        <v>45640</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49795-2022</t>
        </is>
      </c>
      <c r="B1181" s="1" t="n">
        <v>44862</v>
      </c>
      <c r="C1181" s="1" t="n">
        <v>45640</v>
      </c>
      <c r="D1181" t="inlineStr">
        <is>
          <t>VÄRMLANDS LÄN</t>
        </is>
      </c>
      <c r="E1181" t="inlineStr">
        <is>
          <t>TORSBY</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49810-2022</t>
        </is>
      </c>
      <c r="B1182" s="1" t="n">
        <v>44862</v>
      </c>
      <c r="C1182" s="1" t="n">
        <v>45640</v>
      </c>
      <c r="D1182" t="inlineStr">
        <is>
          <t>VÄRMLANDS LÄN</t>
        </is>
      </c>
      <c r="E1182" t="inlineStr">
        <is>
          <t>TORSBY</t>
        </is>
      </c>
      <c r="F1182" t="inlineStr">
        <is>
          <t>Bergvik skog väst AB</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49957-2022</t>
        </is>
      </c>
      <c r="B1183" s="1" t="n">
        <v>44865</v>
      </c>
      <c r="C1183" s="1" t="n">
        <v>45640</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49983-2022</t>
        </is>
      </c>
      <c r="B1184" s="1" t="n">
        <v>44865</v>
      </c>
      <c r="C1184" s="1" t="n">
        <v>45640</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49970-2022</t>
        </is>
      </c>
      <c r="B1185" s="1" t="n">
        <v>44865</v>
      </c>
      <c r="C1185" s="1" t="n">
        <v>45640</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49959-2022</t>
        </is>
      </c>
      <c r="B1186" s="1" t="n">
        <v>44865</v>
      </c>
      <c r="C1186" s="1" t="n">
        <v>45640</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50280-2022</t>
        </is>
      </c>
      <c r="B1187" s="1" t="n">
        <v>44865</v>
      </c>
      <c r="C1187" s="1" t="n">
        <v>45640</v>
      </c>
      <c r="D1187" t="inlineStr">
        <is>
          <t>VÄRMLANDS LÄN</t>
        </is>
      </c>
      <c r="E1187" t="inlineStr">
        <is>
          <t>TORSBY</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50417-2022</t>
        </is>
      </c>
      <c r="B1188" s="1" t="n">
        <v>44866</v>
      </c>
      <c r="C1188" s="1" t="n">
        <v>45640</v>
      </c>
      <c r="D1188" t="inlineStr">
        <is>
          <t>VÄRMLANDS LÄN</t>
        </is>
      </c>
      <c r="E1188" t="inlineStr">
        <is>
          <t>TORSBY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50436-2022</t>
        </is>
      </c>
      <c r="B1189" s="1" t="n">
        <v>44866</v>
      </c>
      <c r="C1189" s="1" t="n">
        <v>45640</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50434-2022</t>
        </is>
      </c>
      <c r="B1190" s="1" t="n">
        <v>44866</v>
      </c>
      <c r="C1190" s="1" t="n">
        <v>45640</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50953-2022</t>
        </is>
      </c>
      <c r="B1191" s="1" t="n">
        <v>44866</v>
      </c>
      <c r="C1191" s="1" t="n">
        <v>45640</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50789-2022</t>
        </is>
      </c>
      <c r="B1192" s="1" t="n">
        <v>44867</v>
      </c>
      <c r="C1192" s="1" t="n">
        <v>45640</v>
      </c>
      <c r="D1192" t="inlineStr">
        <is>
          <t>VÄRMLANDS LÄN</t>
        </is>
      </c>
      <c r="E1192" t="inlineStr">
        <is>
          <t>TORSBY</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51124-2022</t>
        </is>
      </c>
      <c r="B1193" s="1" t="n">
        <v>44868</v>
      </c>
      <c r="C1193" s="1" t="n">
        <v>45640</v>
      </c>
      <c r="D1193" t="inlineStr">
        <is>
          <t>VÄRMLANDS LÄN</t>
        </is>
      </c>
      <c r="E1193" t="inlineStr">
        <is>
          <t>TORSBY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51439-2022</t>
        </is>
      </c>
      <c r="B1194" s="1" t="n">
        <v>44869</v>
      </c>
      <c r="C1194" s="1" t="n">
        <v>45640</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51490-2022</t>
        </is>
      </c>
      <c r="B1195" s="1" t="n">
        <v>44869</v>
      </c>
      <c r="C1195" s="1" t="n">
        <v>45640</v>
      </c>
      <c r="D1195" t="inlineStr">
        <is>
          <t>VÄRMLANDS LÄN</t>
        </is>
      </c>
      <c r="E1195" t="inlineStr">
        <is>
          <t>TORSBY</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51489-2022</t>
        </is>
      </c>
      <c r="B1196" s="1" t="n">
        <v>44869</v>
      </c>
      <c r="C1196" s="1" t="n">
        <v>45640</v>
      </c>
      <c r="D1196" t="inlineStr">
        <is>
          <t>VÄRMLANDS LÄN</t>
        </is>
      </c>
      <c r="E1196" t="inlineStr">
        <is>
          <t>TORSBY</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51847-2022</t>
        </is>
      </c>
      <c r="B1197" s="1" t="n">
        <v>44872</v>
      </c>
      <c r="C1197" s="1" t="n">
        <v>45640</v>
      </c>
      <c r="D1197" t="inlineStr">
        <is>
          <t>VÄRMLANDS LÄN</t>
        </is>
      </c>
      <c r="E1197" t="inlineStr">
        <is>
          <t>TORSBY</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51843-2022</t>
        </is>
      </c>
      <c r="B1198" s="1" t="n">
        <v>44872</v>
      </c>
      <c r="C1198" s="1" t="n">
        <v>45640</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51911-2022</t>
        </is>
      </c>
      <c r="B1199" s="1" t="n">
        <v>44872</v>
      </c>
      <c r="C1199" s="1" t="n">
        <v>45640</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52921-2022</t>
        </is>
      </c>
      <c r="B1200" s="1" t="n">
        <v>44872</v>
      </c>
      <c r="C1200" s="1" t="n">
        <v>45640</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52901-2022</t>
        </is>
      </c>
      <c r="B1201" s="1" t="n">
        <v>44872</v>
      </c>
      <c r="C1201" s="1" t="n">
        <v>45640</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52286-2022</t>
        </is>
      </c>
      <c r="B1202" s="1" t="n">
        <v>44873</v>
      </c>
      <c r="C1202" s="1" t="n">
        <v>45640</v>
      </c>
      <c r="D1202" t="inlineStr">
        <is>
          <t>VÄRMLANDS LÄN</t>
        </is>
      </c>
      <c r="E1202" t="inlineStr">
        <is>
          <t>TORSBY</t>
        </is>
      </c>
      <c r="F1202" t="inlineStr">
        <is>
          <t>Bergvik skog väst AB</t>
        </is>
      </c>
      <c r="G1202" t="n">
        <v>51.4</v>
      </c>
      <c r="H1202" t="n">
        <v>0</v>
      </c>
      <c r="I1202" t="n">
        <v>0</v>
      </c>
      <c r="J1202" t="n">
        <v>0</v>
      </c>
      <c r="K1202" t="n">
        <v>0</v>
      </c>
      <c r="L1202" t="n">
        <v>0</v>
      </c>
      <c r="M1202" t="n">
        <v>0</v>
      </c>
      <c r="N1202" t="n">
        <v>0</v>
      </c>
      <c r="O1202" t="n">
        <v>0</v>
      </c>
      <c r="P1202" t="n">
        <v>0</v>
      </c>
      <c r="Q1202" t="n">
        <v>0</v>
      </c>
      <c r="R1202" s="2" t="inlineStr"/>
    </row>
    <row r="1203" ht="15" customHeight="1">
      <c r="A1203" t="inlineStr">
        <is>
          <t>A 52393-2022</t>
        </is>
      </c>
      <c r="B1203" s="1" t="n">
        <v>44874</v>
      </c>
      <c r="C1203" s="1" t="n">
        <v>45640</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52546-2022</t>
        </is>
      </c>
      <c r="B1204" s="1" t="n">
        <v>44874</v>
      </c>
      <c r="C1204" s="1" t="n">
        <v>45640</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52386-2022</t>
        </is>
      </c>
      <c r="B1205" s="1" t="n">
        <v>44874</v>
      </c>
      <c r="C1205" s="1" t="n">
        <v>45640</v>
      </c>
      <c r="D1205" t="inlineStr">
        <is>
          <t>VÄRMLANDS LÄN</t>
        </is>
      </c>
      <c r="E1205" t="inlineStr">
        <is>
          <t>TORSBY</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52543-2022</t>
        </is>
      </c>
      <c r="B1206" s="1" t="n">
        <v>44874</v>
      </c>
      <c r="C1206" s="1" t="n">
        <v>45640</v>
      </c>
      <c r="D1206" t="inlineStr">
        <is>
          <t>VÄRMLANDS LÄN</t>
        </is>
      </c>
      <c r="E1206" t="inlineStr">
        <is>
          <t>TORSBY</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52447-2022</t>
        </is>
      </c>
      <c r="B1207" s="1" t="n">
        <v>44874</v>
      </c>
      <c r="C1207" s="1" t="n">
        <v>45640</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52483-2022</t>
        </is>
      </c>
      <c r="B1208" s="1" t="n">
        <v>44874</v>
      </c>
      <c r="C1208" s="1" t="n">
        <v>45640</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52913-2022</t>
        </is>
      </c>
      <c r="B1209" s="1" t="n">
        <v>44875</v>
      </c>
      <c r="C1209" s="1" t="n">
        <v>45640</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52919-2022</t>
        </is>
      </c>
      <c r="B1210" s="1" t="n">
        <v>44875</v>
      </c>
      <c r="C1210" s="1" t="n">
        <v>45640</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53044-2022</t>
        </is>
      </c>
      <c r="B1211" s="1" t="n">
        <v>44876</v>
      </c>
      <c r="C1211" s="1" t="n">
        <v>45640</v>
      </c>
      <c r="D1211" t="inlineStr">
        <is>
          <t>VÄRMLANDS LÄN</t>
        </is>
      </c>
      <c r="E1211" t="inlineStr">
        <is>
          <t>TORSBY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53076-2022</t>
        </is>
      </c>
      <c r="B1212" s="1" t="n">
        <v>44876</v>
      </c>
      <c r="C1212" s="1" t="n">
        <v>45640</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53988-2022</t>
        </is>
      </c>
      <c r="B1213" s="1" t="n">
        <v>44876</v>
      </c>
      <c r="C1213" s="1" t="n">
        <v>45640</v>
      </c>
      <c r="D1213" t="inlineStr">
        <is>
          <t>VÄRMLANDS LÄN</t>
        </is>
      </c>
      <c r="E1213" t="inlineStr">
        <is>
          <t>TORSBY</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53381-2022</t>
        </is>
      </c>
      <c r="B1214" s="1" t="n">
        <v>44879</v>
      </c>
      <c r="C1214" s="1" t="n">
        <v>45640</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53492-2022</t>
        </is>
      </c>
      <c r="B1215" s="1" t="n">
        <v>44879</v>
      </c>
      <c r="C1215" s="1" t="n">
        <v>45640</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53781-2022</t>
        </is>
      </c>
      <c r="B1216" s="1" t="n">
        <v>44880</v>
      </c>
      <c r="C1216" s="1" t="n">
        <v>45640</v>
      </c>
      <c r="D1216" t="inlineStr">
        <is>
          <t>VÄRMLANDS LÄN</t>
        </is>
      </c>
      <c r="E1216" t="inlineStr">
        <is>
          <t>TORSBY</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45640</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54452-2022</t>
        </is>
      </c>
      <c r="B1218" s="1" t="n">
        <v>44880</v>
      </c>
      <c r="C1218" s="1" t="n">
        <v>45640</v>
      </c>
      <c r="D1218" t="inlineStr">
        <is>
          <t>VÄRMLANDS LÄN</t>
        </is>
      </c>
      <c r="E1218" t="inlineStr">
        <is>
          <t>TORSBY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54028-2022</t>
        </is>
      </c>
      <c r="B1219" s="1" t="n">
        <v>44881</v>
      </c>
      <c r="C1219" s="1" t="n">
        <v>45640</v>
      </c>
      <c r="D1219" t="inlineStr">
        <is>
          <t>VÄRMLANDS LÄN</t>
        </is>
      </c>
      <c r="E1219" t="inlineStr">
        <is>
          <t>TORSBY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54143-2022</t>
        </is>
      </c>
      <c r="B1220" s="1" t="n">
        <v>44881</v>
      </c>
      <c r="C1220" s="1" t="n">
        <v>45640</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54160-2022</t>
        </is>
      </c>
      <c r="B1221" s="1" t="n">
        <v>44881</v>
      </c>
      <c r="C1221" s="1" t="n">
        <v>45640</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54811-2022</t>
        </is>
      </c>
      <c r="B1222" s="1" t="n">
        <v>44883</v>
      </c>
      <c r="C1222" s="1" t="n">
        <v>45640</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54865-2022</t>
        </is>
      </c>
      <c r="B1223" s="1" t="n">
        <v>44884</v>
      </c>
      <c r="C1223" s="1" t="n">
        <v>45640</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54885-2022</t>
        </is>
      </c>
      <c r="B1224" s="1" t="n">
        <v>44886</v>
      </c>
      <c r="C1224" s="1" t="n">
        <v>45640</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55068-2022</t>
        </is>
      </c>
      <c r="B1225" s="1" t="n">
        <v>44886</v>
      </c>
      <c r="C1225" s="1" t="n">
        <v>45640</v>
      </c>
      <c r="D1225" t="inlineStr">
        <is>
          <t>VÄRMLANDS LÄN</t>
        </is>
      </c>
      <c r="E1225" t="inlineStr">
        <is>
          <t>TORSBY</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55092-2022</t>
        </is>
      </c>
      <c r="B1226" s="1" t="n">
        <v>44886</v>
      </c>
      <c r="C1226" s="1" t="n">
        <v>45640</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55104-2022</t>
        </is>
      </c>
      <c r="B1227" s="1" t="n">
        <v>44886</v>
      </c>
      <c r="C1227" s="1" t="n">
        <v>45640</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55428-2022</t>
        </is>
      </c>
      <c r="B1228" s="1" t="n">
        <v>44887</v>
      </c>
      <c r="C1228" s="1" t="n">
        <v>45640</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55475-2022</t>
        </is>
      </c>
      <c r="B1229" s="1" t="n">
        <v>44887</v>
      </c>
      <c r="C1229" s="1" t="n">
        <v>45640</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55436-2022</t>
        </is>
      </c>
      <c r="B1230" s="1" t="n">
        <v>44887</v>
      </c>
      <c r="C1230" s="1" t="n">
        <v>45640</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55575-2022</t>
        </is>
      </c>
      <c r="B1231" s="1" t="n">
        <v>44888</v>
      </c>
      <c r="C1231" s="1" t="n">
        <v>45640</v>
      </c>
      <c r="D1231" t="inlineStr">
        <is>
          <t>VÄRMLANDS LÄN</t>
        </is>
      </c>
      <c r="E1231" t="inlineStr">
        <is>
          <t>TORSBY</t>
        </is>
      </c>
      <c r="F1231" t="inlineStr">
        <is>
          <t>Bergvik skog väst AB</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55981-2022</t>
        </is>
      </c>
      <c r="B1232" s="1" t="n">
        <v>44889</v>
      </c>
      <c r="C1232" s="1" t="n">
        <v>45640</v>
      </c>
      <c r="D1232" t="inlineStr">
        <is>
          <t>VÄRMLANDS LÄN</t>
        </is>
      </c>
      <c r="E1232" t="inlineStr">
        <is>
          <t>TORSBY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55939-2022</t>
        </is>
      </c>
      <c r="B1233" s="1" t="n">
        <v>44889</v>
      </c>
      <c r="C1233" s="1" t="n">
        <v>45640</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55947-2022</t>
        </is>
      </c>
      <c r="B1234" s="1" t="n">
        <v>44889</v>
      </c>
      <c r="C1234" s="1" t="n">
        <v>45640</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56281-2022</t>
        </is>
      </c>
      <c r="B1235" s="1" t="n">
        <v>44890</v>
      </c>
      <c r="C1235" s="1" t="n">
        <v>45640</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56361-2022</t>
        </is>
      </c>
      <c r="B1236" s="1" t="n">
        <v>44890</v>
      </c>
      <c r="C1236" s="1" t="n">
        <v>45640</v>
      </c>
      <c r="D1236" t="inlineStr">
        <is>
          <t>VÄRMLANDS LÄN</t>
        </is>
      </c>
      <c r="E1236" t="inlineStr">
        <is>
          <t>TORSBY</t>
        </is>
      </c>
      <c r="F1236" t="inlineStr">
        <is>
          <t>Bergvik skog väst AB</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56432-2022</t>
        </is>
      </c>
      <c r="B1237" s="1" t="n">
        <v>44891</v>
      </c>
      <c r="C1237" s="1" t="n">
        <v>45640</v>
      </c>
      <c r="D1237" t="inlineStr">
        <is>
          <t>VÄRMLANDS LÄN</t>
        </is>
      </c>
      <c r="E1237" t="inlineStr">
        <is>
          <t>TORSBY</t>
        </is>
      </c>
      <c r="F1237" t="inlineStr">
        <is>
          <t>Bergvik skog väst AB</t>
        </is>
      </c>
      <c r="G1237" t="n">
        <v>37.4</v>
      </c>
      <c r="H1237" t="n">
        <v>0</v>
      </c>
      <c r="I1237" t="n">
        <v>0</v>
      </c>
      <c r="J1237" t="n">
        <v>0</v>
      </c>
      <c r="K1237" t="n">
        <v>0</v>
      </c>
      <c r="L1237" t="n">
        <v>0</v>
      </c>
      <c r="M1237" t="n">
        <v>0</v>
      </c>
      <c r="N1237" t="n">
        <v>0</v>
      </c>
      <c r="O1237" t="n">
        <v>0</v>
      </c>
      <c r="P1237" t="n">
        <v>0</v>
      </c>
      <c r="Q1237" t="n">
        <v>0</v>
      </c>
      <c r="R1237" s="2" t="inlineStr"/>
    </row>
    <row r="1238" ht="15" customHeight="1">
      <c r="A1238" t="inlineStr">
        <is>
          <t>A 56434-2022</t>
        </is>
      </c>
      <c r="B1238" s="1" t="n">
        <v>44891</v>
      </c>
      <c r="C1238" s="1" t="n">
        <v>45640</v>
      </c>
      <c r="D1238" t="inlineStr">
        <is>
          <t>VÄRMLANDS LÄN</t>
        </is>
      </c>
      <c r="E1238" t="inlineStr">
        <is>
          <t>TORSBY</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56473-2022</t>
        </is>
      </c>
      <c r="B1239" s="1" t="n">
        <v>44893</v>
      </c>
      <c r="C1239" s="1" t="n">
        <v>45640</v>
      </c>
      <c r="D1239" t="inlineStr">
        <is>
          <t>VÄRMLANDS LÄN</t>
        </is>
      </c>
      <c r="E1239" t="inlineStr">
        <is>
          <t>TORSBY</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57072-2022</t>
        </is>
      </c>
      <c r="B1240" s="1" t="n">
        <v>44895</v>
      </c>
      <c r="C1240" s="1" t="n">
        <v>45640</v>
      </c>
      <c r="D1240" t="inlineStr">
        <is>
          <t>VÄRMLANDS LÄN</t>
        </is>
      </c>
      <c r="E1240" t="inlineStr">
        <is>
          <t>TORSBY</t>
        </is>
      </c>
      <c r="F1240" t="inlineStr">
        <is>
          <t>Övriga statliga verk och myndigheter</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57176-2022</t>
        </is>
      </c>
      <c r="B1241" s="1" t="n">
        <v>44895</v>
      </c>
      <c r="C1241" s="1" t="n">
        <v>45640</v>
      </c>
      <c r="D1241" t="inlineStr">
        <is>
          <t>VÄRMLANDS LÄN</t>
        </is>
      </c>
      <c r="E1241" t="inlineStr">
        <is>
          <t>TORSBY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57071-2022</t>
        </is>
      </c>
      <c r="B1242" s="1" t="n">
        <v>44895</v>
      </c>
      <c r="C1242" s="1" t="n">
        <v>45640</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57172-2022</t>
        </is>
      </c>
      <c r="B1243" s="1" t="n">
        <v>44895</v>
      </c>
      <c r="C1243" s="1" t="n">
        <v>45640</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57408-2022</t>
        </is>
      </c>
      <c r="B1244" s="1" t="n">
        <v>44896</v>
      </c>
      <c r="C1244" s="1" t="n">
        <v>45640</v>
      </c>
      <c r="D1244" t="inlineStr">
        <is>
          <t>VÄRMLANDS LÄN</t>
        </is>
      </c>
      <c r="E1244" t="inlineStr">
        <is>
          <t>TORSBY</t>
        </is>
      </c>
      <c r="F1244" t="inlineStr">
        <is>
          <t>Bergvik skog väst AB</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57418-2022</t>
        </is>
      </c>
      <c r="B1245" s="1" t="n">
        <v>44896</v>
      </c>
      <c r="C1245" s="1" t="n">
        <v>45640</v>
      </c>
      <c r="D1245" t="inlineStr">
        <is>
          <t>VÄRMLANDS LÄN</t>
        </is>
      </c>
      <c r="E1245" t="inlineStr">
        <is>
          <t>TORSBY</t>
        </is>
      </c>
      <c r="F1245" t="inlineStr">
        <is>
          <t>Bergvik skog väst AB</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57393-2022</t>
        </is>
      </c>
      <c r="B1246" s="1" t="n">
        <v>44896</v>
      </c>
      <c r="C1246" s="1" t="n">
        <v>45640</v>
      </c>
      <c r="D1246" t="inlineStr">
        <is>
          <t>VÄRMLANDS LÄN</t>
        </is>
      </c>
      <c r="E1246" t="inlineStr">
        <is>
          <t>TORSBY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57452-2022</t>
        </is>
      </c>
      <c r="B1247" s="1" t="n">
        <v>44896</v>
      </c>
      <c r="C1247" s="1" t="n">
        <v>45640</v>
      </c>
      <c r="D1247" t="inlineStr">
        <is>
          <t>VÄRMLANDS LÄN</t>
        </is>
      </c>
      <c r="E1247" t="inlineStr">
        <is>
          <t>TORSBY</t>
        </is>
      </c>
      <c r="F1247" t="inlineStr">
        <is>
          <t>Bergvik skog väst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57708-2022</t>
        </is>
      </c>
      <c r="B1248" s="1" t="n">
        <v>44897</v>
      </c>
      <c r="C1248" s="1" t="n">
        <v>45640</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57726-2022</t>
        </is>
      </c>
      <c r="B1249" s="1" t="n">
        <v>44897</v>
      </c>
      <c r="C1249" s="1" t="n">
        <v>45640</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57721-2022</t>
        </is>
      </c>
      <c r="B1250" s="1" t="n">
        <v>44897</v>
      </c>
      <c r="C1250" s="1" t="n">
        <v>45640</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57867-2022</t>
        </is>
      </c>
      <c r="B1251" s="1" t="n">
        <v>44899</v>
      </c>
      <c r="C1251" s="1" t="n">
        <v>45640</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57937-2022</t>
        </is>
      </c>
      <c r="B1252" s="1" t="n">
        <v>44900</v>
      </c>
      <c r="C1252" s="1" t="n">
        <v>45640</v>
      </c>
      <c r="D1252" t="inlineStr">
        <is>
          <t>VÄRMLANDS LÄN</t>
        </is>
      </c>
      <c r="E1252" t="inlineStr">
        <is>
          <t>TORSBY</t>
        </is>
      </c>
      <c r="F1252" t="inlineStr">
        <is>
          <t>Bergvik skog väst AB</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58225-2022</t>
        </is>
      </c>
      <c r="B1253" s="1" t="n">
        <v>44901</v>
      </c>
      <c r="C1253" s="1" t="n">
        <v>45640</v>
      </c>
      <c r="D1253" t="inlineStr">
        <is>
          <t>VÄRMLANDS LÄN</t>
        </is>
      </c>
      <c r="E1253" t="inlineStr">
        <is>
          <t>TORSBY</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58276-2022</t>
        </is>
      </c>
      <c r="B1254" s="1" t="n">
        <v>44901</v>
      </c>
      <c r="C1254" s="1" t="n">
        <v>45640</v>
      </c>
      <c r="D1254" t="inlineStr">
        <is>
          <t>VÄRMLANDS LÄN</t>
        </is>
      </c>
      <c r="E1254" t="inlineStr">
        <is>
          <t>TORSBY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58956-2022</t>
        </is>
      </c>
      <c r="B1255" s="1" t="n">
        <v>44903</v>
      </c>
      <c r="C1255" s="1" t="n">
        <v>45640</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58869-2022</t>
        </is>
      </c>
      <c r="B1256" s="1" t="n">
        <v>44903</v>
      </c>
      <c r="C1256" s="1" t="n">
        <v>45640</v>
      </c>
      <c r="D1256" t="inlineStr">
        <is>
          <t>VÄRMLANDS LÄN</t>
        </is>
      </c>
      <c r="E1256" t="inlineStr">
        <is>
          <t>TORSBY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58951-2022</t>
        </is>
      </c>
      <c r="B1257" s="1" t="n">
        <v>44903</v>
      </c>
      <c r="C1257" s="1" t="n">
        <v>45640</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59097-2022</t>
        </is>
      </c>
      <c r="B1258" s="1" t="n">
        <v>44904</v>
      </c>
      <c r="C1258" s="1" t="n">
        <v>45640</v>
      </c>
      <c r="D1258" t="inlineStr">
        <is>
          <t>VÄRMLANDS LÄN</t>
        </is>
      </c>
      <c r="E1258" t="inlineStr">
        <is>
          <t>TORSBY</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59096-2022</t>
        </is>
      </c>
      <c r="B1259" s="1" t="n">
        <v>44904</v>
      </c>
      <c r="C1259" s="1" t="n">
        <v>45640</v>
      </c>
      <c r="D1259" t="inlineStr">
        <is>
          <t>VÄRMLANDS LÄN</t>
        </is>
      </c>
      <c r="E1259" t="inlineStr">
        <is>
          <t>TORSBY</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59778-2022</t>
        </is>
      </c>
      <c r="B1260" s="1" t="n">
        <v>44908</v>
      </c>
      <c r="C1260" s="1" t="n">
        <v>45640</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60240-2022</t>
        </is>
      </c>
      <c r="B1261" s="1" t="n">
        <v>44910</v>
      </c>
      <c r="C1261" s="1" t="n">
        <v>45640</v>
      </c>
      <c r="D1261" t="inlineStr">
        <is>
          <t>VÄRMLANDS LÄN</t>
        </is>
      </c>
      <c r="E1261" t="inlineStr">
        <is>
          <t>TORSBY</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61432-2022</t>
        </is>
      </c>
      <c r="B1262" s="1" t="n">
        <v>44910</v>
      </c>
      <c r="C1262" s="1" t="n">
        <v>45640</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61428-2022</t>
        </is>
      </c>
      <c r="B1263" s="1" t="n">
        <v>44910</v>
      </c>
      <c r="C1263" s="1" t="n">
        <v>45640</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60737-2022</t>
        </is>
      </c>
      <c r="B1264" s="1" t="n">
        <v>44913</v>
      </c>
      <c r="C1264" s="1" t="n">
        <v>45640</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60823-2022</t>
        </is>
      </c>
      <c r="B1265" s="1" t="n">
        <v>44914</v>
      </c>
      <c r="C1265" s="1" t="n">
        <v>45640</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61128-2022</t>
        </is>
      </c>
      <c r="B1266" s="1" t="n">
        <v>44915</v>
      </c>
      <c r="C1266" s="1" t="n">
        <v>45640</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61151-2022</t>
        </is>
      </c>
      <c r="B1267" s="1" t="n">
        <v>44915</v>
      </c>
      <c r="C1267" s="1" t="n">
        <v>45640</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61286-2022</t>
        </is>
      </c>
      <c r="B1268" s="1" t="n">
        <v>44915</v>
      </c>
      <c r="C1268" s="1" t="n">
        <v>45640</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61321-2022</t>
        </is>
      </c>
      <c r="B1269" s="1" t="n">
        <v>44915</v>
      </c>
      <c r="C1269" s="1" t="n">
        <v>45640</v>
      </c>
      <c r="D1269" t="inlineStr">
        <is>
          <t>VÄRMLANDS LÄN</t>
        </is>
      </c>
      <c r="E1269" t="inlineStr">
        <is>
          <t>TORSBY</t>
        </is>
      </c>
      <c r="G1269" t="n">
        <v>13.3</v>
      </c>
      <c r="H1269" t="n">
        <v>0</v>
      </c>
      <c r="I1269" t="n">
        <v>0</v>
      </c>
      <c r="J1269" t="n">
        <v>0</v>
      </c>
      <c r="K1269" t="n">
        <v>0</v>
      </c>
      <c r="L1269" t="n">
        <v>0</v>
      </c>
      <c r="M1269" t="n">
        <v>0</v>
      </c>
      <c r="N1269" t="n">
        <v>0</v>
      </c>
      <c r="O1269" t="n">
        <v>0</v>
      </c>
      <c r="P1269" t="n">
        <v>0</v>
      </c>
      <c r="Q1269" t="n">
        <v>0</v>
      </c>
      <c r="R1269" s="2" t="inlineStr"/>
    </row>
    <row r="1270" ht="15" customHeight="1">
      <c r="A1270" t="inlineStr">
        <is>
          <t>A 61138-2022</t>
        </is>
      </c>
      <c r="B1270" s="1" t="n">
        <v>44915</v>
      </c>
      <c r="C1270" s="1" t="n">
        <v>45640</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61143-2022</t>
        </is>
      </c>
      <c r="B1271" s="1" t="n">
        <v>44915</v>
      </c>
      <c r="C1271" s="1" t="n">
        <v>45640</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61290-2022</t>
        </is>
      </c>
      <c r="B1272" s="1" t="n">
        <v>44915</v>
      </c>
      <c r="C1272" s="1" t="n">
        <v>45640</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61367-2022</t>
        </is>
      </c>
      <c r="B1273" s="1" t="n">
        <v>44915</v>
      </c>
      <c r="C1273" s="1" t="n">
        <v>45640</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61135-2022</t>
        </is>
      </c>
      <c r="B1274" s="1" t="n">
        <v>44915</v>
      </c>
      <c r="C1274" s="1" t="n">
        <v>45640</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61510-2022</t>
        </is>
      </c>
      <c r="B1275" s="1" t="n">
        <v>44916</v>
      </c>
      <c r="C1275" s="1" t="n">
        <v>45640</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62006-2022</t>
        </is>
      </c>
      <c r="B1276" s="1" t="n">
        <v>44918</v>
      </c>
      <c r="C1276" s="1" t="n">
        <v>45640</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80-2023</t>
        </is>
      </c>
      <c r="B1277" s="1" t="n">
        <v>44918</v>
      </c>
      <c r="C1277" s="1" t="n">
        <v>45640</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345-2023</t>
        </is>
      </c>
      <c r="B1278" s="1" t="n">
        <v>44923</v>
      </c>
      <c r="C1278" s="1" t="n">
        <v>45640</v>
      </c>
      <c r="D1278" t="inlineStr">
        <is>
          <t>VÄRMLANDS LÄN</t>
        </is>
      </c>
      <c r="E1278" t="inlineStr">
        <is>
          <t>TORSBY</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363-2023</t>
        </is>
      </c>
      <c r="B1279" s="1" t="n">
        <v>44923</v>
      </c>
      <c r="C1279" s="1" t="n">
        <v>45640</v>
      </c>
      <c r="D1279" t="inlineStr">
        <is>
          <t>VÄRMLANDS LÄN</t>
        </is>
      </c>
      <c r="E1279" t="inlineStr">
        <is>
          <t>TORSBY</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62574-2022</t>
        </is>
      </c>
      <c r="B1280" s="1" t="n">
        <v>44924</v>
      </c>
      <c r="C1280" s="1" t="n">
        <v>45640</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522-2023</t>
        </is>
      </c>
      <c r="B1281" s="1" t="n">
        <v>44930</v>
      </c>
      <c r="C1281" s="1" t="n">
        <v>45640</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1003-2023</t>
        </is>
      </c>
      <c r="B1282" s="1" t="n">
        <v>44935</v>
      </c>
      <c r="C1282" s="1" t="n">
        <v>45640</v>
      </c>
      <c r="D1282" t="inlineStr">
        <is>
          <t>VÄRMLANDS LÄN</t>
        </is>
      </c>
      <c r="E1282" t="inlineStr">
        <is>
          <t>TORSBY</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1120-2023</t>
        </is>
      </c>
      <c r="B1283" s="1" t="n">
        <v>44935</v>
      </c>
      <c r="C1283" s="1" t="n">
        <v>45640</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1166-2023</t>
        </is>
      </c>
      <c r="B1284" s="1" t="n">
        <v>44935</v>
      </c>
      <c r="C1284" s="1" t="n">
        <v>45640</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1123-2023</t>
        </is>
      </c>
      <c r="B1285" s="1" t="n">
        <v>44935</v>
      </c>
      <c r="C1285" s="1" t="n">
        <v>45640</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1386-2023</t>
        </is>
      </c>
      <c r="B1286" s="1" t="n">
        <v>44936</v>
      </c>
      <c r="C1286" s="1" t="n">
        <v>45640</v>
      </c>
      <c r="D1286" t="inlineStr">
        <is>
          <t>VÄRMLANDS LÄN</t>
        </is>
      </c>
      <c r="E1286" t="inlineStr">
        <is>
          <t>TORSBY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1947-2023</t>
        </is>
      </c>
      <c r="B1287" s="1" t="n">
        <v>44939</v>
      </c>
      <c r="C1287" s="1" t="n">
        <v>45640</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1979-2023</t>
        </is>
      </c>
      <c r="B1288" s="1" t="n">
        <v>44939</v>
      </c>
      <c r="C1288" s="1" t="n">
        <v>45640</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2471-2023</t>
        </is>
      </c>
      <c r="B1289" s="1" t="n">
        <v>44943</v>
      </c>
      <c r="C1289" s="1" t="n">
        <v>45640</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2512-2023</t>
        </is>
      </c>
      <c r="B1290" s="1" t="n">
        <v>44943</v>
      </c>
      <c r="C1290" s="1" t="n">
        <v>45640</v>
      </c>
      <c r="D1290" t="inlineStr">
        <is>
          <t>VÄRMLANDS LÄN</t>
        </is>
      </c>
      <c r="E1290" t="inlineStr">
        <is>
          <t>TORSBY</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v>
      </c>
      <c r="C1291" s="1" t="n">
        <v>45640</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45640</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3256-2023</t>
        </is>
      </c>
      <c r="B1293" s="1" t="n">
        <v>44948</v>
      </c>
      <c r="C1293" s="1" t="n">
        <v>45640</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3421-2023</t>
        </is>
      </c>
      <c r="B1294" s="1" t="n">
        <v>44949</v>
      </c>
      <c r="C1294" s="1" t="n">
        <v>45640</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3489-2023</t>
        </is>
      </c>
      <c r="B1295" s="1" t="n">
        <v>44949</v>
      </c>
      <c r="C1295" s="1" t="n">
        <v>45640</v>
      </c>
      <c r="D1295" t="inlineStr">
        <is>
          <t>VÄRMLANDS LÄN</t>
        </is>
      </c>
      <c r="E1295" t="inlineStr">
        <is>
          <t>TORSBY</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3491-2023</t>
        </is>
      </c>
      <c r="B1296" s="1" t="n">
        <v>44949</v>
      </c>
      <c r="C1296" s="1" t="n">
        <v>45640</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3542-2023</t>
        </is>
      </c>
      <c r="B1297" s="1" t="n">
        <v>44950</v>
      </c>
      <c r="C1297" s="1" t="n">
        <v>45640</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3666-2023</t>
        </is>
      </c>
      <c r="B1298" s="1" t="n">
        <v>44950</v>
      </c>
      <c r="C1298" s="1" t="n">
        <v>45640</v>
      </c>
      <c r="D1298" t="inlineStr">
        <is>
          <t>VÄRMLANDS LÄN</t>
        </is>
      </c>
      <c r="E1298" t="inlineStr">
        <is>
          <t>TORSBY</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3670-2023</t>
        </is>
      </c>
      <c r="B1299" s="1" t="n">
        <v>44950</v>
      </c>
      <c r="C1299" s="1" t="n">
        <v>45640</v>
      </c>
      <c r="D1299" t="inlineStr">
        <is>
          <t>VÄRMLANDS LÄN</t>
        </is>
      </c>
      <c r="E1299" t="inlineStr">
        <is>
          <t>TORSBY</t>
        </is>
      </c>
      <c r="G1299" t="n">
        <v>15.4</v>
      </c>
      <c r="H1299" t="n">
        <v>0</v>
      </c>
      <c r="I1299" t="n">
        <v>0</v>
      </c>
      <c r="J1299" t="n">
        <v>0</v>
      </c>
      <c r="K1299" t="n">
        <v>0</v>
      </c>
      <c r="L1299" t="n">
        <v>0</v>
      </c>
      <c r="M1299" t="n">
        <v>0</v>
      </c>
      <c r="N1299" t="n">
        <v>0</v>
      </c>
      <c r="O1299" t="n">
        <v>0</v>
      </c>
      <c r="P1299" t="n">
        <v>0</v>
      </c>
      <c r="Q1299" t="n">
        <v>0</v>
      </c>
      <c r="R1299" s="2" t="inlineStr"/>
    </row>
    <row r="1300" ht="15" customHeight="1">
      <c r="A1300" t="inlineStr">
        <is>
          <t>A 3667-2023</t>
        </is>
      </c>
      <c r="B1300" s="1" t="n">
        <v>44950</v>
      </c>
      <c r="C1300" s="1" t="n">
        <v>45640</v>
      </c>
      <c r="D1300" t="inlineStr">
        <is>
          <t>VÄRMLANDS LÄN</t>
        </is>
      </c>
      <c r="E1300" t="inlineStr">
        <is>
          <t>TORSBY</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3672-2023</t>
        </is>
      </c>
      <c r="B1301" s="1" t="n">
        <v>44950</v>
      </c>
      <c r="C1301" s="1" t="n">
        <v>45640</v>
      </c>
      <c r="D1301" t="inlineStr">
        <is>
          <t>VÄRMLANDS LÄN</t>
        </is>
      </c>
      <c r="E1301" t="inlineStr">
        <is>
          <t>TORSBY</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3881-2023</t>
        </is>
      </c>
      <c r="B1302" s="1" t="n">
        <v>44951</v>
      </c>
      <c r="C1302" s="1" t="n">
        <v>45640</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4250-2023</t>
        </is>
      </c>
      <c r="B1303" s="1" t="n">
        <v>44953</v>
      </c>
      <c r="C1303" s="1" t="n">
        <v>45640</v>
      </c>
      <c r="D1303" t="inlineStr">
        <is>
          <t>VÄRMLANDS LÄN</t>
        </is>
      </c>
      <c r="E1303" t="inlineStr">
        <is>
          <t>TORSBY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4236-2023</t>
        </is>
      </c>
      <c r="B1304" s="1" t="n">
        <v>44953</v>
      </c>
      <c r="C1304" s="1" t="n">
        <v>45640</v>
      </c>
      <c r="D1304" t="inlineStr">
        <is>
          <t>VÄRMLANDS LÄN</t>
        </is>
      </c>
      <c r="E1304" t="inlineStr">
        <is>
          <t>TORSBY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4433-2023</t>
        </is>
      </c>
      <c r="B1305" s="1" t="n">
        <v>44956</v>
      </c>
      <c r="C1305" s="1" t="n">
        <v>45640</v>
      </c>
      <c r="D1305" t="inlineStr">
        <is>
          <t>VÄRMLANDS LÄN</t>
        </is>
      </c>
      <c r="E1305" t="inlineStr">
        <is>
          <t>TORSBY</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4510-2023</t>
        </is>
      </c>
      <c r="B1306" s="1" t="n">
        <v>44956</v>
      </c>
      <c r="C1306" s="1" t="n">
        <v>45640</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4568-2023</t>
        </is>
      </c>
      <c r="B1307" s="1" t="n">
        <v>44956</v>
      </c>
      <c r="C1307" s="1" t="n">
        <v>45640</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4585-2023</t>
        </is>
      </c>
      <c r="B1308" s="1" t="n">
        <v>44956</v>
      </c>
      <c r="C1308" s="1" t="n">
        <v>45640</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4707-2023</t>
        </is>
      </c>
      <c r="B1309" s="1" t="n">
        <v>44957</v>
      </c>
      <c r="C1309" s="1" t="n">
        <v>45640</v>
      </c>
      <c r="D1309" t="inlineStr">
        <is>
          <t>VÄRMLANDS LÄN</t>
        </is>
      </c>
      <c r="E1309" t="inlineStr">
        <is>
          <t>TORSBY</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5216-2023</t>
        </is>
      </c>
      <c r="B1310" s="1" t="n">
        <v>44959</v>
      </c>
      <c r="C1310" s="1" t="n">
        <v>45640</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5492-2023</t>
        </is>
      </c>
      <c r="B1311" s="1" t="n">
        <v>44959</v>
      </c>
      <c r="C1311" s="1" t="n">
        <v>45640</v>
      </c>
      <c r="D1311" t="inlineStr">
        <is>
          <t>VÄRMLANDS LÄN</t>
        </is>
      </c>
      <c r="E1311" t="inlineStr">
        <is>
          <t>TORSBY</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6708-2023</t>
        </is>
      </c>
      <c r="B1312" s="1" t="n">
        <v>44960</v>
      </c>
      <c r="C1312" s="1" t="n">
        <v>45640</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6702-2023</t>
        </is>
      </c>
      <c r="B1313" s="1" t="n">
        <v>44960</v>
      </c>
      <c r="C1313" s="1" t="n">
        <v>45640</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6715-2023</t>
        </is>
      </c>
      <c r="B1314" s="1" t="n">
        <v>44960</v>
      </c>
      <c r="C1314" s="1" t="n">
        <v>45640</v>
      </c>
      <c r="D1314" t="inlineStr">
        <is>
          <t>VÄRMLANDS LÄN</t>
        </is>
      </c>
      <c r="E1314" t="inlineStr">
        <is>
          <t>TORSBY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6711-2023</t>
        </is>
      </c>
      <c r="B1315" s="1" t="n">
        <v>44960</v>
      </c>
      <c r="C1315" s="1" t="n">
        <v>45640</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6713-2023</t>
        </is>
      </c>
      <c r="B1316" s="1" t="n">
        <v>44960</v>
      </c>
      <c r="C1316" s="1" t="n">
        <v>45640</v>
      </c>
      <c r="D1316" t="inlineStr">
        <is>
          <t>VÄRMLANDS LÄN</t>
        </is>
      </c>
      <c r="E1316" t="inlineStr">
        <is>
          <t>TORSBY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5830-2023</t>
        </is>
      </c>
      <c r="B1317" s="1" t="n">
        <v>44963</v>
      </c>
      <c r="C1317" s="1" t="n">
        <v>45640</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5763-2023</t>
        </is>
      </c>
      <c r="B1318" s="1" t="n">
        <v>44963</v>
      </c>
      <c r="C1318" s="1" t="n">
        <v>45640</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6863-2023</t>
        </is>
      </c>
      <c r="B1319" s="1" t="n">
        <v>44964</v>
      </c>
      <c r="C1319" s="1" t="n">
        <v>45640</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7283-2023</t>
        </is>
      </c>
      <c r="B1320" s="1" t="n">
        <v>44970</v>
      </c>
      <c r="C1320" s="1" t="n">
        <v>45640</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7127-2023</t>
        </is>
      </c>
      <c r="B1321" s="1" t="n">
        <v>44970</v>
      </c>
      <c r="C1321" s="1" t="n">
        <v>45640</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7133-2023</t>
        </is>
      </c>
      <c r="B1322" s="1" t="n">
        <v>44970</v>
      </c>
      <c r="C1322" s="1" t="n">
        <v>45640</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7405-2023</t>
        </is>
      </c>
      <c r="B1323" s="1" t="n">
        <v>44971</v>
      </c>
      <c r="C1323" s="1" t="n">
        <v>45640</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8194-2023</t>
        </is>
      </c>
      <c r="B1324" s="1" t="n">
        <v>44971</v>
      </c>
      <c r="C1324" s="1" t="n">
        <v>45640</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8192-2023</t>
        </is>
      </c>
      <c r="B1325" s="1" t="n">
        <v>44971</v>
      </c>
      <c r="C1325" s="1" t="n">
        <v>45640</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7745-2023</t>
        </is>
      </c>
      <c r="B1326" s="1" t="n">
        <v>44973</v>
      </c>
      <c r="C1326" s="1" t="n">
        <v>45640</v>
      </c>
      <c r="D1326" t="inlineStr">
        <is>
          <t>VÄRMLANDS LÄN</t>
        </is>
      </c>
      <c r="E1326" t="inlineStr">
        <is>
          <t>TORSBY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7753-2023</t>
        </is>
      </c>
      <c r="B1327" s="1" t="n">
        <v>44973</v>
      </c>
      <c r="C1327" s="1" t="n">
        <v>45640</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8016-2023</t>
        </is>
      </c>
      <c r="B1328" s="1" t="n">
        <v>44973</v>
      </c>
      <c r="C1328" s="1" t="n">
        <v>45640</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8910-2023</t>
        </is>
      </c>
      <c r="B1329" s="1" t="n">
        <v>44973</v>
      </c>
      <c r="C1329" s="1" t="n">
        <v>45640</v>
      </c>
      <c r="D1329" t="inlineStr">
        <is>
          <t>VÄRMLANDS LÄN</t>
        </is>
      </c>
      <c r="E1329" t="inlineStr">
        <is>
          <t>TORSBY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8012-2023</t>
        </is>
      </c>
      <c r="B1330" s="1" t="n">
        <v>44973</v>
      </c>
      <c r="C1330" s="1" t="n">
        <v>45640</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8284-2023</t>
        </is>
      </c>
      <c r="B1331" s="1" t="n">
        <v>44974</v>
      </c>
      <c r="C1331" s="1" t="n">
        <v>45640</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8281-2023</t>
        </is>
      </c>
      <c r="B1332" s="1" t="n">
        <v>44974</v>
      </c>
      <c r="C1332" s="1" t="n">
        <v>45640</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8287-2023</t>
        </is>
      </c>
      <c r="B1333" s="1" t="n">
        <v>44974</v>
      </c>
      <c r="C1333" s="1" t="n">
        <v>45640</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8931-2023</t>
        </is>
      </c>
      <c r="B1334" s="1" t="n">
        <v>44974</v>
      </c>
      <c r="C1334" s="1" t="n">
        <v>45640</v>
      </c>
      <c r="D1334" t="inlineStr">
        <is>
          <t>VÄRMLANDS LÄN</t>
        </is>
      </c>
      <c r="E1334" t="inlineStr">
        <is>
          <t>TORSBY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8928-2023</t>
        </is>
      </c>
      <c r="B1335" s="1" t="n">
        <v>44974</v>
      </c>
      <c r="C1335" s="1" t="n">
        <v>45640</v>
      </c>
      <c r="D1335" t="inlineStr">
        <is>
          <t>VÄRMLANDS LÄN</t>
        </is>
      </c>
      <c r="E1335" t="inlineStr">
        <is>
          <t>TORSBY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8447-2023</t>
        </is>
      </c>
      <c r="B1336" s="1" t="n">
        <v>44977</v>
      </c>
      <c r="C1336" s="1" t="n">
        <v>45640</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9453-2023</t>
        </is>
      </c>
      <c r="B1337" s="1" t="n">
        <v>44977</v>
      </c>
      <c r="C1337" s="1" t="n">
        <v>45640</v>
      </c>
      <c r="D1337" t="inlineStr">
        <is>
          <t>VÄRMLANDS LÄN</t>
        </is>
      </c>
      <c r="E1337" t="inlineStr">
        <is>
          <t>TORSBY</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8819-2023</t>
        </is>
      </c>
      <c r="B1338" s="1" t="n">
        <v>44978</v>
      </c>
      <c r="C1338" s="1" t="n">
        <v>45640</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9067-2023</t>
        </is>
      </c>
      <c r="B1339" s="1" t="n">
        <v>44979</v>
      </c>
      <c r="C1339" s="1" t="n">
        <v>45640</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9056-2023</t>
        </is>
      </c>
      <c r="B1340" s="1" t="n">
        <v>44979</v>
      </c>
      <c r="C1340" s="1" t="n">
        <v>45640</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10027-2023</t>
        </is>
      </c>
      <c r="B1341" s="1" t="n">
        <v>44979</v>
      </c>
      <c r="C1341" s="1" t="n">
        <v>45640</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10033-2023</t>
        </is>
      </c>
      <c r="B1342" s="1" t="n">
        <v>44979</v>
      </c>
      <c r="C1342" s="1" t="n">
        <v>45640</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10024-2023</t>
        </is>
      </c>
      <c r="B1343" s="1" t="n">
        <v>44979</v>
      </c>
      <c r="C1343" s="1" t="n">
        <v>45640</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9327-2023</t>
        </is>
      </c>
      <c r="B1344" s="1" t="n">
        <v>44980</v>
      </c>
      <c r="C1344" s="1" t="n">
        <v>45640</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10479-2023</t>
        </is>
      </c>
      <c r="B1345" s="1" t="n">
        <v>44981</v>
      </c>
      <c r="C1345" s="1" t="n">
        <v>45640</v>
      </c>
      <c r="D1345" t="inlineStr">
        <is>
          <t>VÄRMLANDS LÄN</t>
        </is>
      </c>
      <c r="E1345" t="inlineStr">
        <is>
          <t>TORSBY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10473-2023</t>
        </is>
      </c>
      <c r="B1346" s="1" t="n">
        <v>44981</v>
      </c>
      <c r="C1346" s="1" t="n">
        <v>45640</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10471-2023</t>
        </is>
      </c>
      <c r="B1347" s="1" t="n">
        <v>44981</v>
      </c>
      <c r="C1347" s="1" t="n">
        <v>45640</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9575-2023</t>
        </is>
      </c>
      <c r="B1348" s="1" t="n">
        <v>44982</v>
      </c>
      <c r="C1348" s="1" t="n">
        <v>45640</v>
      </c>
      <c r="D1348" t="inlineStr">
        <is>
          <t>VÄRMLANDS LÄN</t>
        </is>
      </c>
      <c r="E1348" t="inlineStr">
        <is>
          <t>TORSBY</t>
        </is>
      </c>
      <c r="F1348" t="inlineStr">
        <is>
          <t>Övriga statliga verk och myndigheter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9574-2023</t>
        </is>
      </c>
      <c r="B1349" s="1" t="n">
        <v>44982</v>
      </c>
      <c r="C1349" s="1" t="n">
        <v>45640</v>
      </c>
      <c r="D1349" t="inlineStr">
        <is>
          <t>VÄRMLANDS LÄN</t>
        </is>
      </c>
      <c r="E1349" t="inlineStr">
        <is>
          <t>TORSBY</t>
        </is>
      </c>
      <c r="F1349" t="inlineStr">
        <is>
          <t>Övriga statliga verk och myndigheter</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9578-2023</t>
        </is>
      </c>
      <c r="B1350" s="1" t="n">
        <v>44982</v>
      </c>
      <c r="C1350" s="1" t="n">
        <v>45640</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10888-2023</t>
        </is>
      </c>
      <c r="B1351" s="1" t="n">
        <v>44985</v>
      </c>
      <c r="C1351" s="1" t="n">
        <v>45640</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10155-2023</t>
        </is>
      </c>
      <c r="B1352" s="1" t="n">
        <v>44986</v>
      </c>
      <c r="C1352" s="1" t="n">
        <v>45640</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10218-2023</t>
        </is>
      </c>
      <c r="B1353" s="1" t="n">
        <v>44986</v>
      </c>
      <c r="C1353" s="1" t="n">
        <v>45640</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10228-2023</t>
        </is>
      </c>
      <c r="B1354" s="1" t="n">
        <v>44986</v>
      </c>
      <c r="C1354" s="1" t="n">
        <v>45640</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10662-2023</t>
        </is>
      </c>
      <c r="B1355" s="1" t="n">
        <v>44988</v>
      </c>
      <c r="C1355" s="1" t="n">
        <v>45640</v>
      </c>
      <c r="D1355" t="inlineStr">
        <is>
          <t>VÄRMLANDS LÄN</t>
        </is>
      </c>
      <c r="E1355" t="inlineStr">
        <is>
          <t>TORSBY</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10583-2023</t>
        </is>
      </c>
      <c r="B1356" s="1" t="n">
        <v>44988</v>
      </c>
      <c r="C1356" s="1" t="n">
        <v>45640</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10666-2023</t>
        </is>
      </c>
      <c r="B1357" s="1" t="n">
        <v>44988</v>
      </c>
      <c r="C1357" s="1" t="n">
        <v>45640</v>
      </c>
      <c r="D1357" t="inlineStr">
        <is>
          <t>VÄRMLANDS LÄN</t>
        </is>
      </c>
      <c r="E1357" t="inlineStr">
        <is>
          <t>TORSBY</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10698-2023</t>
        </is>
      </c>
      <c r="B1358" s="1" t="n">
        <v>44988</v>
      </c>
      <c r="C1358" s="1" t="n">
        <v>45640</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11364-2023</t>
        </is>
      </c>
      <c r="B1359" s="1" t="n">
        <v>44993</v>
      </c>
      <c r="C1359" s="1" t="n">
        <v>45640</v>
      </c>
      <c r="D1359" t="inlineStr">
        <is>
          <t>VÄRMLANDS LÄN</t>
        </is>
      </c>
      <c r="E1359" t="inlineStr">
        <is>
          <t>TORSBY</t>
        </is>
      </c>
      <c r="G1359" t="n">
        <v>31.9</v>
      </c>
      <c r="H1359" t="n">
        <v>0</v>
      </c>
      <c r="I1359" t="n">
        <v>0</v>
      </c>
      <c r="J1359" t="n">
        <v>0</v>
      </c>
      <c r="K1359" t="n">
        <v>0</v>
      </c>
      <c r="L1359" t="n">
        <v>0</v>
      </c>
      <c r="M1359" t="n">
        <v>0</v>
      </c>
      <c r="N1359" t="n">
        <v>0</v>
      </c>
      <c r="O1359" t="n">
        <v>0</v>
      </c>
      <c r="P1359" t="n">
        <v>0</v>
      </c>
      <c r="Q1359" t="n">
        <v>0</v>
      </c>
      <c r="R1359" s="2" t="inlineStr"/>
    </row>
    <row r="1360" ht="15" customHeight="1">
      <c r="A1360" t="inlineStr">
        <is>
          <t>A 11366-2023</t>
        </is>
      </c>
      <c r="B1360" s="1" t="n">
        <v>44993</v>
      </c>
      <c r="C1360" s="1" t="n">
        <v>45640</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12441-2023</t>
        </is>
      </c>
      <c r="B1361" s="1" t="n">
        <v>44999</v>
      </c>
      <c r="C1361" s="1" t="n">
        <v>45640</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12453-2023</t>
        </is>
      </c>
      <c r="B1362" s="1" t="n">
        <v>44999</v>
      </c>
      <c r="C1362" s="1" t="n">
        <v>45640</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12458-2023</t>
        </is>
      </c>
      <c r="B1363" s="1" t="n">
        <v>44999</v>
      </c>
      <c r="C1363" s="1" t="n">
        <v>45640</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12467-2023</t>
        </is>
      </c>
      <c r="B1364" s="1" t="n">
        <v>44999</v>
      </c>
      <c r="C1364" s="1" t="n">
        <v>45640</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12689-2023</t>
        </is>
      </c>
      <c r="B1365" s="1" t="n">
        <v>45000</v>
      </c>
      <c r="C1365" s="1" t="n">
        <v>45640</v>
      </c>
      <c r="D1365" t="inlineStr">
        <is>
          <t>VÄRMLANDS LÄN</t>
        </is>
      </c>
      <c r="E1365" t="inlineStr">
        <is>
          <t>TORSBY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12637-2023</t>
        </is>
      </c>
      <c r="B1366" s="1" t="n">
        <v>45000</v>
      </c>
      <c r="C1366" s="1" t="n">
        <v>45640</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12670-2023</t>
        </is>
      </c>
      <c r="B1367" s="1" t="n">
        <v>45000</v>
      </c>
      <c r="C1367" s="1" t="n">
        <v>45640</v>
      </c>
      <c r="D1367" t="inlineStr">
        <is>
          <t>VÄRMLANDS LÄN</t>
        </is>
      </c>
      <c r="E1367" t="inlineStr">
        <is>
          <t>TORSBY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12933-2023</t>
        </is>
      </c>
      <c r="B1368" s="1" t="n">
        <v>45001</v>
      </c>
      <c r="C1368" s="1" t="n">
        <v>45640</v>
      </c>
      <c r="D1368" t="inlineStr">
        <is>
          <t>VÄRMLANDS LÄN</t>
        </is>
      </c>
      <c r="E1368" t="inlineStr">
        <is>
          <t>TORSBY</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13054-2023</t>
        </is>
      </c>
      <c r="B1369" s="1" t="n">
        <v>45001</v>
      </c>
      <c r="C1369" s="1" t="n">
        <v>45640</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13048-2023</t>
        </is>
      </c>
      <c r="B1370" s="1" t="n">
        <v>45001</v>
      </c>
      <c r="C1370" s="1" t="n">
        <v>45640</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12968-2023</t>
        </is>
      </c>
      <c r="B1371" s="1" t="n">
        <v>45001</v>
      </c>
      <c r="C1371" s="1" t="n">
        <v>45640</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13791-2023</t>
        </is>
      </c>
      <c r="B1372" s="1" t="n">
        <v>45005</v>
      </c>
      <c r="C1372" s="1" t="n">
        <v>45640</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13561-2023</t>
        </is>
      </c>
      <c r="B1373" s="1" t="n">
        <v>45006</v>
      </c>
      <c r="C1373" s="1" t="n">
        <v>45640</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13586-2023</t>
        </is>
      </c>
      <c r="B1374" s="1" t="n">
        <v>45006</v>
      </c>
      <c r="C1374" s="1" t="n">
        <v>45640</v>
      </c>
      <c r="D1374" t="inlineStr">
        <is>
          <t>VÄRMLANDS LÄN</t>
        </is>
      </c>
      <c r="E1374" t="inlineStr">
        <is>
          <t>TORSBY</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13785-2023</t>
        </is>
      </c>
      <c r="B1375" s="1" t="n">
        <v>45007</v>
      </c>
      <c r="C1375" s="1" t="n">
        <v>45640</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13723-2023</t>
        </is>
      </c>
      <c r="B1376" s="1" t="n">
        <v>45007</v>
      </c>
      <c r="C1376" s="1" t="n">
        <v>45640</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14293-2023</t>
        </is>
      </c>
      <c r="B1377" s="1" t="n">
        <v>45011</v>
      </c>
      <c r="C1377" s="1" t="n">
        <v>45640</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14304-2023</t>
        </is>
      </c>
      <c r="B1378" s="1" t="n">
        <v>45011</v>
      </c>
      <c r="C1378" s="1" t="n">
        <v>45640</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14303-2023</t>
        </is>
      </c>
      <c r="B1379" s="1" t="n">
        <v>45011</v>
      </c>
      <c r="C1379" s="1" t="n">
        <v>45640</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14292-2023</t>
        </is>
      </c>
      <c r="B1380" s="1" t="n">
        <v>45011</v>
      </c>
      <c r="C1380" s="1" t="n">
        <v>45640</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14592-2023</t>
        </is>
      </c>
      <c r="B1381" s="1" t="n">
        <v>45013</v>
      </c>
      <c r="C1381" s="1" t="n">
        <v>45640</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14581-2023</t>
        </is>
      </c>
      <c r="B1382" s="1" t="n">
        <v>45013</v>
      </c>
      <c r="C1382" s="1" t="n">
        <v>45640</v>
      </c>
      <c r="D1382" t="inlineStr">
        <is>
          <t>VÄRMLANDS LÄN</t>
        </is>
      </c>
      <c r="E1382" t="inlineStr">
        <is>
          <t>TORSBY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14624-2023</t>
        </is>
      </c>
      <c r="B1383" s="1" t="n">
        <v>45013</v>
      </c>
      <c r="C1383" s="1" t="n">
        <v>45640</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14709-2023</t>
        </is>
      </c>
      <c r="B1384" s="1" t="n">
        <v>45014</v>
      </c>
      <c r="C1384" s="1" t="n">
        <v>45640</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14945-2023</t>
        </is>
      </c>
      <c r="B1385" s="1" t="n">
        <v>45014</v>
      </c>
      <c r="C1385" s="1" t="n">
        <v>45640</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14917-2023</t>
        </is>
      </c>
      <c r="B1386" s="1" t="n">
        <v>45015</v>
      </c>
      <c r="C1386" s="1" t="n">
        <v>45640</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15085-2023</t>
        </is>
      </c>
      <c r="B1387" s="1" t="n">
        <v>45016</v>
      </c>
      <c r="C1387" s="1" t="n">
        <v>45640</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15087-2023</t>
        </is>
      </c>
      <c r="B1388" s="1" t="n">
        <v>45016</v>
      </c>
      <c r="C1388" s="1" t="n">
        <v>45640</v>
      </c>
      <c r="D1388" t="inlineStr">
        <is>
          <t>VÄRMLANDS LÄN</t>
        </is>
      </c>
      <c r="E1388" t="inlineStr">
        <is>
          <t>TORSBY</t>
        </is>
      </c>
      <c r="F1388" t="inlineStr">
        <is>
          <t>Bergvik skog väst AB</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15413-2023</t>
        </is>
      </c>
      <c r="B1389" s="1" t="n">
        <v>45019</v>
      </c>
      <c r="C1389" s="1" t="n">
        <v>45640</v>
      </c>
      <c r="D1389" t="inlineStr">
        <is>
          <t>VÄRMLANDS LÄN</t>
        </is>
      </c>
      <c r="E1389" t="inlineStr">
        <is>
          <t>TORSBY</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15450-2023</t>
        </is>
      </c>
      <c r="B1390" s="1" t="n">
        <v>45020</v>
      </c>
      <c r="C1390" s="1" t="n">
        <v>45640</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15488-2023</t>
        </is>
      </c>
      <c r="B1391" s="1" t="n">
        <v>45020</v>
      </c>
      <c r="C1391" s="1" t="n">
        <v>45640</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15773-2023</t>
        </is>
      </c>
      <c r="B1392" s="1" t="n">
        <v>45021</v>
      </c>
      <c r="C1392" s="1" t="n">
        <v>45640</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16093-2023</t>
        </is>
      </c>
      <c r="B1393" s="1" t="n">
        <v>45021</v>
      </c>
      <c r="C1393" s="1" t="n">
        <v>45640</v>
      </c>
      <c r="D1393" t="inlineStr">
        <is>
          <t>VÄRMLANDS LÄN</t>
        </is>
      </c>
      <c r="E1393" t="inlineStr">
        <is>
          <t>TORSBY</t>
        </is>
      </c>
      <c r="F1393" t="inlineStr">
        <is>
          <t>Övriga statliga verk och myndigheter</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16121-2023</t>
        </is>
      </c>
      <c r="B1394" s="1" t="n">
        <v>45022</v>
      </c>
      <c r="C1394" s="1" t="n">
        <v>45640</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16416-2023</t>
        </is>
      </c>
      <c r="B1395" s="1" t="n">
        <v>45022</v>
      </c>
      <c r="C1395" s="1" t="n">
        <v>45640</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16433-2023</t>
        </is>
      </c>
      <c r="B1396" s="1" t="n">
        <v>45022</v>
      </c>
      <c r="C1396" s="1" t="n">
        <v>45640</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16427-2023</t>
        </is>
      </c>
      <c r="B1397" s="1" t="n">
        <v>45022</v>
      </c>
      <c r="C1397" s="1" t="n">
        <v>45640</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15992-2023</t>
        </is>
      </c>
      <c r="B1398" s="1" t="n">
        <v>45023</v>
      </c>
      <c r="C1398" s="1" t="n">
        <v>45640</v>
      </c>
      <c r="D1398" t="inlineStr">
        <is>
          <t>VÄRMLANDS LÄN</t>
        </is>
      </c>
      <c r="E1398" t="inlineStr">
        <is>
          <t>TORSBY</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16044-2023</t>
        </is>
      </c>
      <c r="B1399" s="1" t="n">
        <v>45027</v>
      </c>
      <c r="C1399" s="1" t="n">
        <v>45640</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16309-2023</t>
        </is>
      </c>
      <c r="B1400" s="1" t="n">
        <v>45028</v>
      </c>
      <c r="C1400" s="1" t="n">
        <v>45640</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16313-2023</t>
        </is>
      </c>
      <c r="B1401" s="1" t="n">
        <v>45028</v>
      </c>
      <c r="C1401" s="1" t="n">
        <v>45640</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16317-2023</t>
        </is>
      </c>
      <c r="B1402" s="1" t="n">
        <v>45028</v>
      </c>
      <c r="C1402" s="1" t="n">
        <v>45640</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16919-2023</t>
        </is>
      </c>
      <c r="B1403" s="1" t="n">
        <v>45033</v>
      </c>
      <c r="C1403" s="1" t="n">
        <v>45640</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16945-2023</t>
        </is>
      </c>
      <c r="B1404" s="1" t="n">
        <v>45033</v>
      </c>
      <c r="C1404" s="1" t="n">
        <v>45640</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16943-2023</t>
        </is>
      </c>
      <c r="B1405" s="1" t="n">
        <v>45033</v>
      </c>
      <c r="C1405" s="1" t="n">
        <v>45640</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17184-2023</t>
        </is>
      </c>
      <c r="B1406" s="1" t="n">
        <v>45034</v>
      </c>
      <c r="C1406" s="1" t="n">
        <v>45640</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17188-2023</t>
        </is>
      </c>
      <c r="B1407" s="1" t="n">
        <v>45034</v>
      </c>
      <c r="C1407" s="1" t="n">
        <v>45640</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17554-2023</t>
        </is>
      </c>
      <c r="B1408" s="1" t="n">
        <v>45034</v>
      </c>
      <c r="C1408" s="1" t="n">
        <v>45640</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17300-2023</t>
        </is>
      </c>
      <c r="B1409" s="1" t="n">
        <v>45035</v>
      </c>
      <c r="C1409" s="1" t="n">
        <v>45640</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17322-2023</t>
        </is>
      </c>
      <c r="B1410" s="1" t="n">
        <v>45035</v>
      </c>
      <c r="C1410" s="1" t="n">
        <v>45640</v>
      </c>
      <c r="D1410" t="inlineStr">
        <is>
          <t>VÄRMLANDS LÄN</t>
        </is>
      </c>
      <c r="E1410" t="inlineStr">
        <is>
          <t>TORSBY</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17328-2023</t>
        </is>
      </c>
      <c r="B1411" s="1" t="n">
        <v>45035</v>
      </c>
      <c r="C1411" s="1" t="n">
        <v>45640</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17548-2023</t>
        </is>
      </c>
      <c r="B1412" s="1" t="n">
        <v>45036</v>
      </c>
      <c r="C1412" s="1" t="n">
        <v>45640</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17488-2023</t>
        </is>
      </c>
      <c r="B1413" s="1" t="n">
        <v>45036</v>
      </c>
      <c r="C1413" s="1" t="n">
        <v>45640</v>
      </c>
      <c r="D1413" t="inlineStr">
        <is>
          <t>VÄRMLANDS LÄN</t>
        </is>
      </c>
      <c r="E1413" t="inlineStr">
        <is>
          <t>TORSBY</t>
        </is>
      </c>
      <c r="G1413" t="n">
        <v>15.6</v>
      </c>
      <c r="H1413" t="n">
        <v>0</v>
      </c>
      <c r="I1413" t="n">
        <v>0</v>
      </c>
      <c r="J1413" t="n">
        <v>0</v>
      </c>
      <c r="K1413" t="n">
        <v>0</v>
      </c>
      <c r="L1413" t="n">
        <v>0</v>
      </c>
      <c r="M1413" t="n">
        <v>0</v>
      </c>
      <c r="N1413" t="n">
        <v>0</v>
      </c>
      <c r="O1413" t="n">
        <v>0</v>
      </c>
      <c r="P1413" t="n">
        <v>0</v>
      </c>
      <c r="Q1413" t="n">
        <v>0</v>
      </c>
      <c r="R1413" s="2" t="inlineStr"/>
    </row>
    <row r="1414" ht="15" customHeight="1">
      <c r="A1414" t="inlineStr">
        <is>
          <t>A 17546-2023</t>
        </is>
      </c>
      <c r="B1414" s="1" t="n">
        <v>45036</v>
      </c>
      <c r="C1414" s="1" t="n">
        <v>45640</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17898-2023</t>
        </is>
      </c>
      <c r="B1415" s="1" t="n">
        <v>45039</v>
      </c>
      <c r="C1415" s="1" t="n">
        <v>45640</v>
      </c>
      <c r="D1415" t="inlineStr">
        <is>
          <t>VÄRMLANDS LÄN</t>
        </is>
      </c>
      <c r="E1415" t="inlineStr">
        <is>
          <t>TORSBY</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17897-2023</t>
        </is>
      </c>
      <c r="B1416" s="1" t="n">
        <v>45039</v>
      </c>
      <c r="C1416" s="1" t="n">
        <v>45640</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18244-2023</t>
        </is>
      </c>
      <c r="B1417" s="1" t="n">
        <v>45041</v>
      </c>
      <c r="C1417" s="1" t="n">
        <v>45640</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18338-2023</t>
        </is>
      </c>
      <c r="B1418" s="1" t="n">
        <v>45041</v>
      </c>
      <c r="C1418" s="1" t="n">
        <v>45640</v>
      </c>
      <c r="D1418" t="inlineStr">
        <is>
          <t>VÄRMLANDS LÄN</t>
        </is>
      </c>
      <c r="E1418" t="inlineStr">
        <is>
          <t>TORSBY</t>
        </is>
      </c>
      <c r="F1418" t="inlineStr">
        <is>
          <t>Bergvik skog väst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18544-2023</t>
        </is>
      </c>
      <c r="B1419" s="1" t="n">
        <v>45041</v>
      </c>
      <c r="C1419" s="1" t="n">
        <v>45640</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18411-2023</t>
        </is>
      </c>
      <c r="B1420" s="1" t="n">
        <v>45042</v>
      </c>
      <c r="C1420" s="1" t="n">
        <v>45640</v>
      </c>
      <c r="D1420" t="inlineStr">
        <is>
          <t>VÄRMLANDS LÄN</t>
        </is>
      </c>
      <c r="E1420" t="inlineStr">
        <is>
          <t>TORSBY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18621-2023</t>
        </is>
      </c>
      <c r="B1421" s="1" t="n">
        <v>45043</v>
      </c>
      <c r="C1421" s="1" t="n">
        <v>45640</v>
      </c>
      <c r="D1421" t="inlineStr">
        <is>
          <t>VÄRMLANDS LÄN</t>
        </is>
      </c>
      <c r="E1421" t="inlineStr">
        <is>
          <t>TORSBY</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18675-2023</t>
        </is>
      </c>
      <c r="B1422" s="1" t="n">
        <v>45043</v>
      </c>
      <c r="C1422" s="1" t="n">
        <v>45640</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18876-2023</t>
        </is>
      </c>
      <c r="B1423" s="1" t="n">
        <v>45044</v>
      </c>
      <c r="C1423" s="1" t="n">
        <v>45640</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19042-2023</t>
        </is>
      </c>
      <c r="B1424" s="1" t="n">
        <v>45047</v>
      </c>
      <c r="C1424" s="1" t="n">
        <v>45640</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19527-2023</t>
        </is>
      </c>
      <c r="B1425" s="1" t="n">
        <v>45050</v>
      </c>
      <c r="C1425" s="1" t="n">
        <v>45640</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19675-2023</t>
        </is>
      </c>
      <c r="B1426" s="1" t="n">
        <v>45051</v>
      </c>
      <c r="C1426" s="1" t="n">
        <v>45640</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19714-2023</t>
        </is>
      </c>
      <c r="B1427" s="1" t="n">
        <v>45051</v>
      </c>
      <c r="C1427" s="1" t="n">
        <v>45640</v>
      </c>
      <c r="D1427" t="inlineStr">
        <is>
          <t>VÄRMLANDS LÄN</t>
        </is>
      </c>
      <c r="E1427" t="inlineStr">
        <is>
          <t>TORSBY</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19998-2023</t>
        </is>
      </c>
      <c r="B1428" s="1" t="n">
        <v>45054</v>
      </c>
      <c r="C1428" s="1" t="n">
        <v>45640</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20130-2023</t>
        </is>
      </c>
      <c r="B1429" s="1" t="n">
        <v>45055</v>
      </c>
      <c r="C1429" s="1" t="n">
        <v>45640</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20107-2023</t>
        </is>
      </c>
      <c r="B1430" s="1" t="n">
        <v>45055</v>
      </c>
      <c r="C1430" s="1" t="n">
        <v>45640</v>
      </c>
      <c r="D1430" t="inlineStr">
        <is>
          <t>VÄRMLANDS LÄN</t>
        </is>
      </c>
      <c r="E1430" t="inlineStr">
        <is>
          <t>TORSBY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20120-2023</t>
        </is>
      </c>
      <c r="B1431" s="1" t="n">
        <v>45055</v>
      </c>
      <c r="C1431" s="1" t="n">
        <v>45640</v>
      </c>
      <c r="D1431" t="inlineStr">
        <is>
          <t>VÄRMLANDS LÄN</t>
        </is>
      </c>
      <c r="E1431" t="inlineStr">
        <is>
          <t>TORSBY</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20127-2023</t>
        </is>
      </c>
      <c r="B1432" s="1" t="n">
        <v>45055</v>
      </c>
      <c r="C1432" s="1" t="n">
        <v>45640</v>
      </c>
      <c r="D1432" t="inlineStr">
        <is>
          <t>VÄRMLANDS LÄN</t>
        </is>
      </c>
      <c r="E1432" t="inlineStr">
        <is>
          <t>TORSBY</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20805-2023</t>
        </is>
      </c>
      <c r="B1433" s="1" t="n">
        <v>45055</v>
      </c>
      <c r="C1433" s="1" t="n">
        <v>45640</v>
      </c>
      <c r="D1433" t="inlineStr">
        <is>
          <t>VÄRMLANDS LÄN</t>
        </is>
      </c>
      <c r="E1433" t="inlineStr">
        <is>
          <t>TORSBY</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20293-2023</t>
        </is>
      </c>
      <c r="B1434" s="1" t="n">
        <v>45056</v>
      </c>
      <c r="C1434" s="1" t="n">
        <v>45640</v>
      </c>
      <c r="D1434" t="inlineStr">
        <is>
          <t>VÄRMLANDS LÄN</t>
        </is>
      </c>
      <c r="E1434" t="inlineStr">
        <is>
          <t>TORSBY</t>
        </is>
      </c>
      <c r="F1434" t="inlineStr">
        <is>
          <t>Kyrkan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20321-2023</t>
        </is>
      </c>
      <c r="B1435" s="1" t="n">
        <v>45056</v>
      </c>
      <c r="C1435" s="1" t="n">
        <v>45640</v>
      </c>
      <c r="D1435" t="inlineStr">
        <is>
          <t>VÄRMLANDS LÄN</t>
        </is>
      </c>
      <c r="E1435" t="inlineStr">
        <is>
          <t>TORSBY</t>
        </is>
      </c>
      <c r="F1435" t="inlineStr">
        <is>
          <t>Kyrkan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20393-2023</t>
        </is>
      </c>
      <c r="B1436" s="1" t="n">
        <v>45056</v>
      </c>
      <c r="C1436" s="1" t="n">
        <v>45640</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45640</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20847-2023</t>
        </is>
      </c>
      <c r="B1438" s="1" t="n">
        <v>45056</v>
      </c>
      <c r="C1438" s="1" t="n">
        <v>45640</v>
      </c>
      <c r="D1438" t="inlineStr">
        <is>
          <t>VÄRMLANDS LÄN</t>
        </is>
      </c>
      <c r="E1438" t="inlineStr">
        <is>
          <t>TORSBY</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20528-2023</t>
        </is>
      </c>
      <c r="B1439" s="1" t="n">
        <v>45057</v>
      </c>
      <c r="C1439" s="1" t="n">
        <v>45640</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20757-2023</t>
        </is>
      </c>
      <c r="B1440" s="1" t="n">
        <v>45058</v>
      </c>
      <c r="C1440" s="1" t="n">
        <v>45640</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20831-2023</t>
        </is>
      </c>
      <c r="B1441" s="1" t="n">
        <v>45058</v>
      </c>
      <c r="C1441" s="1" t="n">
        <v>45640</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20648-2023</t>
        </is>
      </c>
      <c r="B1442" s="1" t="n">
        <v>45058</v>
      </c>
      <c r="C1442" s="1" t="n">
        <v>45640</v>
      </c>
      <c r="D1442" t="inlineStr">
        <is>
          <t>VÄRMLANDS LÄN</t>
        </is>
      </c>
      <c r="E1442" t="inlineStr">
        <is>
          <t>TORSBY</t>
        </is>
      </c>
      <c r="F1442" t="inlineStr">
        <is>
          <t>Kyrkan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20740-2023</t>
        </is>
      </c>
      <c r="B1443" s="1" t="n">
        <v>45058</v>
      </c>
      <c r="C1443" s="1" t="n">
        <v>45640</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20737-2023</t>
        </is>
      </c>
      <c r="B1444" s="1" t="n">
        <v>45058</v>
      </c>
      <c r="C1444" s="1" t="n">
        <v>45640</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20829-2023</t>
        </is>
      </c>
      <c r="B1445" s="1" t="n">
        <v>45058</v>
      </c>
      <c r="C1445" s="1" t="n">
        <v>45640</v>
      </c>
      <c r="D1445" t="inlineStr">
        <is>
          <t>VÄRMLANDS LÄN</t>
        </is>
      </c>
      <c r="E1445" t="inlineStr">
        <is>
          <t>TORSBY</t>
        </is>
      </c>
      <c r="F1445" t="inlineStr">
        <is>
          <t>Bergvik skog väst AB</t>
        </is>
      </c>
      <c r="G1445" t="n">
        <v>12.2</v>
      </c>
      <c r="H1445" t="n">
        <v>0</v>
      </c>
      <c r="I1445" t="n">
        <v>0</v>
      </c>
      <c r="J1445" t="n">
        <v>0</v>
      </c>
      <c r="K1445" t="n">
        <v>0</v>
      </c>
      <c r="L1445" t="n">
        <v>0</v>
      </c>
      <c r="M1445" t="n">
        <v>0</v>
      </c>
      <c r="N1445" t="n">
        <v>0</v>
      </c>
      <c r="O1445" t="n">
        <v>0</v>
      </c>
      <c r="P1445" t="n">
        <v>0</v>
      </c>
      <c r="Q1445" t="n">
        <v>0</v>
      </c>
      <c r="R1445" s="2" t="inlineStr"/>
    </row>
    <row r="1446" ht="15" customHeight="1">
      <c r="A1446" t="inlineStr">
        <is>
          <t>A 20830-2023</t>
        </is>
      </c>
      <c r="B1446" s="1" t="n">
        <v>45058</v>
      </c>
      <c r="C1446" s="1" t="n">
        <v>45640</v>
      </c>
      <c r="D1446" t="inlineStr">
        <is>
          <t>VÄRMLANDS LÄN</t>
        </is>
      </c>
      <c r="E1446" t="inlineStr">
        <is>
          <t>TORSBY</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20679-2023</t>
        </is>
      </c>
      <c r="B1447" s="1" t="n">
        <v>45058</v>
      </c>
      <c r="C1447" s="1" t="n">
        <v>45640</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20721-2023</t>
        </is>
      </c>
      <c r="B1448" s="1" t="n">
        <v>45058</v>
      </c>
      <c r="C1448" s="1" t="n">
        <v>45640</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20733-2023</t>
        </is>
      </c>
      <c r="B1449" s="1" t="n">
        <v>45058</v>
      </c>
      <c r="C1449" s="1" t="n">
        <v>45640</v>
      </c>
      <c r="D1449" t="inlineStr">
        <is>
          <t>VÄRMLANDS LÄN</t>
        </is>
      </c>
      <c r="E1449" t="inlineStr">
        <is>
          <t>TORSBY</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20745-2023</t>
        </is>
      </c>
      <c r="B1450" s="1" t="n">
        <v>45058</v>
      </c>
      <c r="C1450" s="1" t="n">
        <v>45640</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21258-2023</t>
        </is>
      </c>
      <c r="B1451" s="1" t="n">
        <v>45058</v>
      </c>
      <c r="C1451" s="1" t="n">
        <v>45640</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21255-2023</t>
        </is>
      </c>
      <c r="B1452" s="1" t="n">
        <v>45058</v>
      </c>
      <c r="C1452" s="1" t="n">
        <v>45640</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20898-2023</t>
        </is>
      </c>
      <c r="B1453" s="1" t="n">
        <v>45059</v>
      </c>
      <c r="C1453" s="1" t="n">
        <v>45640</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21076-2023</t>
        </is>
      </c>
      <c r="B1454" s="1" t="n">
        <v>45061</v>
      </c>
      <c r="C1454" s="1" t="n">
        <v>45640</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21033-2023</t>
        </is>
      </c>
      <c r="B1455" s="1" t="n">
        <v>45061</v>
      </c>
      <c r="C1455" s="1" t="n">
        <v>45640</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21078-2023</t>
        </is>
      </c>
      <c r="B1456" s="1" t="n">
        <v>45061</v>
      </c>
      <c r="C1456" s="1" t="n">
        <v>45640</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21158-2023</t>
        </is>
      </c>
      <c r="B1457" s="1" t="n">
        <v>45062</v>
      </c>
      <c r="C1457" s="1" t="n">
        <v>45640</v>
      </c>
      <c r="D1457" t="inlineStr">
        <is>
          <t>VÄRMLANDS LÄN</t>
        </is>
      </c>
      <c r="E1457" t="inlineStr">
        <is>
          <t>TORSBY</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21189-2023</t>
        </is>
      </c>
      <c r="B1458" s="1" t="n">
        <v>45062</v>
      </c>
      <c r="C1458" s="1" t="n">
        <v>45640</v>
      </c>
      <c r="D1458" t="inlineStr">
        <is>
          <t>VÄRMLANDS LÄN</t>
        </is>
      </c>
      <c r="E1458" t="inlineStr">
        <is>
          <t>TORSBY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21154-2023</t>
        </is>
      </c>
      <c r="B1459" s="1" t="n">
        <v>45062</v>
      </c>
      <c r="C1459" s="1" t="n">
        <v>45640</v>
      </c>
      <c r="D1459" t="inlineStr">
        <is>
          <t>VÄRMLANDS LÄN</t>
        </is>
      </c>
      <c r="E1459" t="inlineStr">
        <is>
          <t>TORSBY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21409-2023</t>
        </is>
      </c>
      <c r="B1460" s="1" t="n">
        <v>45063</v>
      </c>
      <c r="C1460" s="1" t="n">
        <v>45640</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21365-2023</t>
        </is>
      </c>
      <c r="B1461" s="1" t="n">
        <v>45063</v>
      </c>
      <c r="C1461" s="1" t="n">
        <v>45640</v>
      </c>
      <c r="D1461" t="inlineStr">
        <is>
          <t>VÄRMLANDS LÄN</t>
        </is>
      </c>
      <c r="E1461" t="inlineStr">
        <is>
          <t>TORSBY</t>
        </is>
      </c>
      <c r="F1461" t="inlineStr">
        <is>
          <t>Kyrkan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21390-2023</t>
        </is>
      </c>
      <c r="B1462" s="1" t="n">
        <v>45063</v>
      </c>
      <c r="C1462" s="1" t="n">
        <v>45640</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21411-2023</t>
        </is>
      </c>
      <c r="B1463" s="1" t="n">
        <v>45063</v>
      </c>
      <c r="C1463" s="1" t="n">
        <v>45640</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21786-2023</t>
        </is>
      </c>
      <c r="B1464" s="1" t="n">
        <v>45066</v>
      </c>
      <c r="C1464" s="1" t="n">
        <v>45640</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21790-2023</t>
        </is>
      </c>
      <c r="B1465" s="1" t="n">
        <v>45067</v>
      </c>
      <c r="C1465" s="1" t="n">
        <v>45640</v>
      </c>
      <c r="D1465" t="inlineStr">
        <is>
          <t>VÄRMLANDS LÄN</t>
        </is>
      </c>
      <c r="E1465" t="inlineStr">
        <is>
          <t>TORSBY</t>
        </is>
      </c>
      <c r="F1465" t="inlineStr">
        <is>
          <t>Övriga statliga verk och myndigheter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21839-2023</t>
        </is>
      </c>
      <c r="B1466" s="1" t="n">
        <v>45068</v>
      </c>
      <c r="C1466" s="1" t="n">
        <v>45640</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21847-2023</t>
        </is>
      </c>
      <c r="B1467" s="1" t="n">
        <v>45068</v>
      </c>
      <c r="C1467" s="1" t="n">
        <v>45640</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21988-2023</t>
        </is>
      </c>
      <c r="B1468" s="1" t="n">
        <v>45068</v>
      </c>
      <c r="C1468" s="1" t="n">
        <v>45640</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21912-2023</t>
        </is>
      </c>
      <c r="B1469" s="1" t="n">
        <v>45068</v>
      </c>
      <c r="C1469" s="1" t="n">
        <v>45640</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22089-2023</t>
        </is>
      </c>
      <c r="B1470" s="1" t="n">
        <v>45069</v>
      </c>
      <c r="C1470" s="1" t="n">
        <v>45640</v>
      </c>
      <c r="D1470" t="inlineStr">
        <is>
          <t>VÄRMLANDS LÄN</t>
        </is>
      </c>
      <c r="E1470" t="inlineStr">
        <is>
          <t>TORSBY</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22030-2023</t>
        </is>
      </c>
      <c r="B1471" s="1" t="n">
        <v>45069</v>
      </c>
      <c r="C1471" s="1" t="n">
        <v>45640</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22038-2023</t>
        </is>
      </c>
      <c r="B1472" s="1" t="n">
        <v>45069</v>
      </c>
      <c r="C1472" s="1" t="n">
        <v>45640</v>
      </c>
      <c r="D1472" t="inlineStr">
        <is>
          <t>VÄRMLANDS LÄN</t>
        </is>
      </c>
      <c r="E1472" t="inlineStr">
        <is>
          <t>TORSBY</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22033-2023</t>
        </is>
      </c>
      <c r="B1473" s="1" t="n">
        <v>45069</v>
      </c>
      <c r="C1473" s="1" t="n">
        <v>45640</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22386-2023</t>
        </is>
      </c>
      <c r="B1474" s="1" t="n">
        <v>45070</v>
      </c>
      <c r="C1474" s="1" t="n">
        <v>45640</v>
      </c>
      <c r="D1474" t="inlineStr">
        <is>
          <t>VÄRMLANDS LÄN</t>
        </is>
      </c>
      <c r="E1474" t="inlineStr">
        <is>
          <t>TORSBY</t>
        </is>
      </c>
      <c r="F1474" t="inlineStr">
        <is>
          <t>Bergvik skog väst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22301-2023</t>
        </is>
      </c>
      <c r="B1475" s="1" t="n">
        <v>45070</v>
      </c>
      <c r="C1475" s="1" t="n">
        <v>45640</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23073-2023</t>
        </is>
      </c>
      <c r="B1476" s="1" t="n">
        <v>45070</v>
      </c>
      <c r="C1476" s="1" t="n">
        <v>45640</v>
      </c>
      <c r="D1476" t="inlineStr">
        <is>
          <t>VÄRMLANDS LÄN</t>
        </is>
      </c>
      <c r="E1476" t="inlineStr">
        <is>
          <t>TORSBY</t>
        </is>
      </c>
      <c r="G1476" t="n">
        <v>15.1</v>
      </c>
      <c r="H1476" t="n">
        <v>0</v>
      </c>
      <c r="I1476" t="n">
        <v>0</v>
      </c>
      <c r="J1476" t="n">
        <v>0</v>
      </c>
      <c r="K1476" t="n">
        <v>0</v>
      </c>
      <c r="L1476" t="n">
        <v>0</v>
      </c>
      <c r="M1476" t="n">
        <v>0</v>
      </c>
      <c r="N1476" t="n">
        <v>0</v>
      </c>
      <c r="O1476" t="n">
        <v>0</v>
      </c>
      <c r="P1476" t="n">
        <v>0</v>
      </c>
      <c r="Q1476" t="n">
        <v>0</v>
      </c>
      <c r="R1476" s="2" t="inlineStr"/>
    </row>
    <row r="1477" ht="15" customHeight="1">
      <c r="A1477" t="inlineStr">
        <is>
          <t>A 22920-2023</t>
        </is>
      </c>
      <c r="B1477" s="1" t="n">
        <v>45070</v>
      </c>
      <c r="C1477" s="1" t="n">
        <v>45640</v>
      </c>
      <c r="D1477" t="inlineStr">
        <is>
          <t>VÄRMLANDS LÄN</t>
        </is>
      </c>
      <c r="E1477" t="inlineStr">
        <is>
          <t>TORSBY</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22494-2023</t>
        </is>
      </c>
      <c r="B1478" s="1" t="n">
        <v>45071</v>
      </c>
      <c r="C1478" s="1" t="n">
        <v>45640</v>
      </c>
      <c r="D1478" t="inlineStr">
        <is>
          <t>VÄRMLANDS LÄN</t>
        </is>
      </c>
      <c r="E1478" t="inlineStr">
        <is>
          <t>TORSBY</t>
        </is>
      </c>
      <c r="F1478" t="inlineStr">
        <is>
          <t>Bergvik skog väst AB</t>
        </is>
      </c>
      <c r="G1478" t="n">
        <v>25.7</v>
      </c>
      <c r="H1478" t="n">
        <v>0</v>
      </c>
      <c r="I1478" t="n">
        <v>0</v>
      </c>
      <c r="J1478" t="n">
        <v>0</v>
      </c>
      <c r="K1478" t="n">
        <v>0</v>
      </c>
      <c r="L1478" t="n">
        <v>0</v>
      </c>
      <c r="M1478" t="n">
        <v>0</v>
      </c>
      <c r="N1478" t="n">
        <v>0</v>
      </c>
      <c r="O1478" t="n">
        <v>0</v>
      </c>
      <c r="P1478" t="n">
        <v>0</v>
      </c>
      <c r="Q1478" t="n">
        <v>0</v>
      </c>
      <c r="R1478" s="2" t="inlineStr"/>
    </row>
    <row r="1479" ht="15" customHeight="1">
      <c r="A1479" t="inlineStr">
        <is>
          <t>A 22524-2023</t>
        </is>
      </c>
      <c r="B1479" s="1" t="n">
        <v>45071</v>
      </c>
      <c r="C1479" s="1" t="n">
        <v>45640</v>
      </c>
      <c r="D1479" t="inlineStr">
        <is>
          <t>VÄRMLANDS LÄN</t>
        </is>
      </c>
      <c r="E1479" t="inlineStr">
        <is>
          <t>TORSBY</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22587-2023</t>
        </is>
      </c>
      <c r="B1480" s="1" t="n">
        <v>45071</v>
      </c>
      <c r="C1480" s="1" t="n">
        <v>45640</v>
      </c>
      <c r="D1480" t="inlineStr">
        <is>
          <t>VÄRMLANDS LÄN</t>
        </is>
      </c>
      <c r="E1480" t="inlineStr">
        <is>
          <t>TORSBY</t>
        </is>
      </c>
      <c r="F1480" t="inlineStr">
        <is>
          <t>Bergvik skog väst AB</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22618-2023</t>
        </is>
      </c>
      <c r="B1481" s="1" t="n">
        <v>45071</v>
      </c>
      <c r="C1481" s="1" t="n">
        <v>45640</v>
      </c>
      <c r="D1481" t="inlineStr">
        <is>
          <t>VÄRMLANDS LÄN</t>
        </is>
      </c>
      <c r="E1481" t="inlineStr">
        <is>
          <t>TORSBY</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22655-2023</t>
        </is>
      </c>
      <c r="B1482" s="1" t="n">
        <v>45071</v>
      </c>
      <c r="C1482" s="1" t="n">
        <v>45640</v>
      </c>
      <c r="D1482" t="inlineStr">
        <is>
          <t>VÄRMLANDS LÄN</t>
        </is>
      </c>
      <c r="E1482" t="inlineStr">
        <is>
          <t>TORSBY</t>
        </is>
      </c>
      <c r="F1482" t="inlineStr">
        <is>
          <t>Bergvik skog väst AB</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22705-2023</t>
        </is>
      </c>
      <c r="B1483" s="1" t="n">
        <v>45071</v>
      </c>
      <c r="C1483" s="1" t="n">
        <v>45640</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22687-2023</t>
        </is>
      </c>
      <c r="B1484" s="1" t="n">
        <v>45071</v>
      </c>
      <c r="C1484" s="1" t="n">
        <v>45640</v>
      </c>
      <c r="D1484" t="inlineStr">
        <is>
          <t>VÄRMLANDS LÄN</t>
        </is>
      </c>
      <c r="E1484" t="inlineStr">
        <is>
          <t>TORSBY</t>
        </is>
      </c>
      <c r="F1484" t="inlineStr">
        <is>
          <t>Bergvik skog väst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22634-2023</t>
        </is>
      </c>
      <c r="B1485" s="1" t="n">
        <v>45071</v>
      </c>
      <c r="C1485" s="1" t="n">
        <v>45640</v>
      </c>
      <c r="D1485" t="inlineStr">
        <is>
          <t>VÄRMLANDS LÄN</t>
        </is>
      </c>
      <c r="E1485" t="inlineStr">
        <is>
          <t>TORSBY</t>
        </is>
      </c>
      <c r="F1485" t="inlineStr">
        <is>
          <t>Bergvik skog väst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22675-2023</t>
        </is>
      </c>
      <c r="B1486" s="1" t="n">
        <v>45071</v>
      </c>
      <c r="C1486" s="1" t="n">
        <v>45640</v>
      </c>
      <c r="D1486" t="inlineStr">
        <is>
          <t>VÄRMLANDS LÄN</t>
        </is>
      </c>
      <c r="E1486" t="inlineStr">
        <is>
          <t>TORSBY</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22702-2023</t>
        </is>
      </c>
      <c r="B1487" s="1" t="n">
        <v>45071</v>
      </c>
      <c r="C1487" s="1" t="n">
        <v>45640</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22939-2023</t>
        </is>
      </c>
      <c r="B1488" s="1" t="n">
        <v>45072</v>
      </c>
      <c r="C1488" s="1" t="n">
        <v>45640</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22943-2023</t>
        </is>
      </c>
      <c r="B1489" s="1" t="n">
        <v>45072</v>
      </c>
      <c r="C1489" s="1" t="n">
        <v>45640</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45640</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23624-2023</t>
        </is>
      </c>
      <c r="B1491" s="1" t="n">
        <v>45077</v>
      </c>
      <c r="C1491" s="1" t="n">
        <v>45640</v>
      </c>
      <c r="D1491" t="inlineStr">
        <is>
          <t>VÄRMLANDS LÄN</t>
        </is>
      </c>
      <c r="E1491" t="inlineStr">
        <is>
          <t>TORSBY</t>
        </is>
      </c>
      <c r="F1491" t="inlineStr">
        <is>
          <t>Bergvik skog väst AB</t>
        </is>
      </c>
      <c r="G1491" t="n">
        <v>27.9</v>
      </c>
      <c r="H1491" t="n">
        <v>0</v>
      </c>
      <c r="I1491" t="n">
        <v>0</v>
      </c>
      <c r="J1491" t="n">
        <v>0</v>
      </c>
      <c r="K1491" t="n">
        <v>0</v>
      </c>
      <c r="L1491" t="n">
        <v>0</v>
      </c>
      <c r="M1491" t="n">
        <v>0</v>
      </c>
      <c r="N1491" t="n">
        <v>0</v>
      </c>
      <c r="O1491" t="n">
        <v>0</v>
      </c>
      <c r="P1491" t="n">
        <v>0</v>
      </c>
      <c r="Q1491" t="n">
        <v>0</v>
      </c>
      <c r="R1491" s="2" t="inlineStr"/>
    </row>
    <row r="1492" ht="15" customHeight="1">
      <c r="A1492" t="inlineStr">
        <is>
          <t>A 23894-2023</t>
        </is>
      </c>
      <c r="B1492" s="1" t="n">
        <v>45078</v>
      </c>
      <c r="C1492" s="1" t="n">
        <v>45640</v>
      </c>
      <c r="D1492" t="inlineStr">
        <is>
          <t>VÄRMLANDS LÄN</t>
        </is>
      </c>
      <c r="E1492" t="inlineStr">
        <is>
          <t>TORSBY</t>
        </is>
      </c>
      <c r="F1492" t="inlineStr">
        <is>
          <t>Bergvik skog väst AB</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23912-2023</t>
        </is>
      </c>
      <c r="B1493" s="1" t="n">
        <v>45078</v>
      </c>
      <c r="C1493" s="1" t="n">
        <v>45640</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24244-2023</t>
        </is>
      </c>
      <c r="B1494" s="1" t="n">
        <v>45079</v>
      </c>
      <c r="C1494" s="1" t="n">
        <v>45640</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24170-2023</t>
        </is>
      </c>
      <c r="B1495" s="1" t="n">
        <v>45079</v>
      </c>
      <c r="C1495" s="1" t="n">
        <v>45640</v>
      </c>
      <c r="D1495" t="inlineStr">
        <is>
          <t>VÄRMLANDS LÄN</t>
        </is>
      </c>
      <c r="E1495" t="inlineStr">
        <is>
          <t>TORSBY</t>
        </is>
      </c>
      <c r="F1495" t="inlineStr">
        <is>
          <t>Bergvik skog väst AB</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24101-2023</t>
        </is>
      </c>
      <c r="B1496" s="1" t="n">
        <v>45079</v>
      </c>
      <c r="C1496" s="1" t="n">
        <v>45640</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24196-2023</t>
        </is>
      </c>
      <c r="B1497" s="1" t="n">
        <v>45079</v>
      </c>
      <c r="C1497" s="1" t="n">
        <v>45640</v>
      </c>
      <c r="D1497" t="inlineStr">
        <is>
          <t>VÄRMLANDS LÄN</t>
        </is>
      </c>
      <c r="E1497" t="inlineStr">
        <is>
          <t>TORSBY</t>
        </is>
      </c>
      <c r="F1497" t="inlineStr">
        <is>
          <t>Bergvik skog väst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24518-2023</t>
        </is>
      </c>
      <c r="B1498" s="1" t="n">
        <v>45082</v>
      </c>
      <c r="C1498" s="1" t="n">
        <v>45640</v>
      </c>
      <c r="D1498" t="inlineStr">
        <is>
          <t>VÄRMLANDS LÄN</t>
        </is>
      </c>
      <c r="E1498" t="inlineStr">
        <is>
          <t>TORSBY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24696-2023</t>
        </is>
      </c>
      <c r="B1499" s="1" t="n">
        <v>45084</v>
      </c>
      <c r="C1499" s="1" t="n">
        <v>45640</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24639-2023</t>
        </is>
      </c>
      <c r="B1500" s="1" t="n">
        <v>45084</v>
      </c>
      <c r="C1500" s="1" t="n">
        <v>45640</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24643-2023</t>
        </is>
      </c>
      <c r="B1501" s="1" t="n">
        <v>45084</v>
      </c>
      <c r="C1501" s="1" t="n">
        <v>45640</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24703-2023</t>
        </is>
      </c>
      <c r="B1502" s="1" t="n">
        <v>45084</v>
      </c>
      <c r="C1502" s="1" t="n">
        <v>45640</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24849-2023</t>
        </is>
      </c>
      <c r="B1503" s="1" t="n">
        <v>45085</v>
      </c>
      <c r="C1503" s="1" t="n">
        <v>45640</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24896-2023</t>
        </is>
      </c>
      <c r="B1504" s="1" t="n">
        <v>45085</v>
      </c>
      <c r="C1504" s="1" t="n">
        <v>45640</v>
      </c>
      <c r="D1504" t="inlineStr">
        <is>
          <t>VÄRMLANDS LÄN</t>
        </is>
      </c>
      <c r="E1504" t="inlineStr">
        <is>
          <t>TORSBY</t>
        </is>
      </c>
      <c r="F1504" t="inlineStr">
        <is>
          <t>Bergvik skog väst AB</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24876-2023</t>
        </is>
      </c>
      <c r="B1505" s="1" t="n">
        <v>45085</v>
      </c>
      <c r="C1505" s="1" t="n">
        <v>45640</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24909-2023</t>
        </is>
      </c>
      <c r="B1506" s="1" t="n">
        <v>45085</v>
      </c>
      <c r="C1506" s="1" t="n">
        <v>45640</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24897-2023</t>
        </is>
      </c>
      <c r="B1507" s="1" t="n">
        <v>45085</v>
      </c>
      <c r="C1507" s="1" t="n">
        <v>45640</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24847-2023</t>
        </is>
      </c>
      <c r="B1508" s="1" t="n">
        <v>45085</v>
      </c>
      <c r="C1508" s="1" t="n">
        <v>45640</v>
      </c>
      <c r="D1508" t="inlineStr">
        <is>
          <t>VÄRMLANDS LÄN</t>
        </is>
      </c>
      <c r="E1508" t="inlineStr">
        <is>
          <t>TORSBY</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24965-2023</t>
        </is>
      </c>
      <c r="B1509" s="1" t="n">
        <v>45085</v>
      </c>
      <c r="C1509" s="1" t="n">
        <v>45640</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24969-2023</t>
        </is>
      </c>
      <c r="B1510" s="1" t="n">
        <v>45085</v>
      </c>
      <c r="C1510" s="1" t="n">
        <v>45640</v>
      </c>
      <c r="D1510" t="inlineStr">
        <is>
          <t>VÄRMLANDS LÄN</t>
        </is>
      </c>
      <c r="E1510" t="inlineStr">
        <is>
          <t>TORSBY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25001-2023</t>
        </is>
      </c>
      <c r="B1511" s="1" t="n">
        <v>45085</v>
      </c>
      <c r="C1511" s="1" t="n">
        <v>45640</v>
      </c>
      <c r="D1511" t="inlineStr">
        <is>
          <t>VÄRMLANDS LÄN</t>
        </is>
      </c>
      <c r="E1511" t="inlineStr">
        <is>
          <t>TORSBY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25068-2023</t>
        </is>
      </c>
      <c r="B1512" s="1" t="n">
        <v>45085</v>
      </c>
      <c r="C1512" s="1" t="n">
        <v>45640</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25163-2023</t>
        </is>
      </c>
      <c r="B1513" s="1" t="n">
        <v>45086</v>
      </c>
      <c r="C1513" s="1" t="n">
        <v>45640</v>
      </c>
      <c r="D1513" t="inlineStr">
        <is>
          <t>VÄRMLANDS LÄN</t>
        </is>
      </c>
      <c r="E1513" t="inlineStr">
        <is>
          <t>TORSBY</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25088-2023</t>
        </is>
      </c>
      <c r="B1514" s="1" t="n">
        <v>45086</v>
      </c>
      <c r="C1514" s="1" t="n">
        <v>45640</v>
      </c>
      <c r="D1514" t="inlineStr">
        <is>
          <t>VÄRMLANDS LÄN</t>
        </is>
      </c>
      <c r="E1514" t="inlineStr">
        <is>
          <t>TORSBY</t>
        </is>
      </c>
      <c r="F1514" t="inlineStr">
        <is>
          <t>Bergvik skog väst AB</t>
        </is>
      </c>
      <c r="G1514" t="n">
        <v>13.9</v>
      </c>
      <c r="H1514" t="n">
        <v>0</v>
      </c>
      <c r="I1514" t="n">
        <v>0</v>
      </c>
      <c r="J1514" t="n">
        <v>0</v>
      </c>
      <c r="K1514" t="n">
        <v>0</v>
      </c>
      <c r="L1514" t="n">
        <v>0</v>
      </c>
      <c r="M1514" t="n">
        <v>0</v>
      </c>
      <c r="N1514" t="n">
        <v>0</v>
      </c>
      <c r="O1514" t="n">
        <v>0</v>
      </c>
      <c r="P1514" t="n">
        <v>0</v>
      </c>
      <c r="Q1514" t="n">
        <v>0</v>
      </c>
      <c r="R1514" s="2" t="inlineStr"/>
    </row>
    <row r="1515" ht="15" customHeight="1">
      <c r="A1515" t="inlineStr">
        <is>
          <t>A 25090-2023</t>
        </is>
      </c>
      <c r="B1515" s="1" t="n">
        <v>45086</v>
      </c>
      <c r="C1515" s="1" t="n">
        <v>45640</v>
      </c>
      <c r="D1515" t="inlineStr">
        <is>
          <t>VÄRMLANDS LÄN</t>
        </is>
      </c>
      <c r="E1515" t="inlineStr">
        <is>
          <t>TORSBY</t>
        </is>
      </c>
      <c r="F1515" t="inlineStr">
        <is>
          <t>Bergvik skog väst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25261-2023</t>
        </is>
      </c>
      <c r="B1516" s="1" t="n">
        <v>45086</v>
      </c>
      <c r="C1516" s="1" t="n">
        <v>45640</v>
      </c>
      <c r="D1516" t="inlineStr">
        <is>
          <t>VÄRMLANDS LÄN</t>
        </is>
      </c>
      <c r="E1516" t="inlineStr">
        <is>
          <t>TORSBY</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25344-2023</t>
        </is>
      </c>
      <c r="B1517" s="1" t="n">
        <v>45087</v>
      </c>
      <c r="C1517" s="1" t="n">
        <v>45640</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25579-2023</t>
        </is>
      </c>
      <c r="B1518" s="1" t="n">
        <v>45089</v>
      </c>
      <c r="C1518" s="1" t="n">
        <v>45640</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26466-2023</t>
        </is>
      </c>
      <c r="B1519" s="1" t="n">
        <v>45089</v>
      </c>
      <c r="C1519" s="1" t="n">
        <v>45640</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26340-2023</t>
        </is>
      </c>
      <c r="B1520" s="1" t="n">
        <v>45091</v>
      </c>
      <c r="C1520" s="1" t="n">
        <v>45640</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26343-2023</t>
        </is>
      </c>
      <c r="B1521" s="1" t="n">
        <v>45091</v>
      </c>
      <c r="C1521" s="1" t="n">
        <v>45640</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26327-2023</t>
        </is>
      </c>
      <c r="B1522" s="1" t="n">
        <v>45091</v>
      </c>
      <c r="C1522" s="1" t="n">
        <v>45640</v>
      </c>
      <c r="D1522" t="inlineStr">
        <is>
          <t>VÄRMLANDS LÄN</t>
        </is>
      </c>
      <c r="E1522" t="inlineStr">
        <is>
          <t>TORSBY</t>
        </is>
      </c>
      <c r="F1522" t="inlineStr">
        <is>
          <t>Bergvik skog väst AB</t>
        </is>
      </c>
      <c r="G1522" t="n">
        <v>33.4</v>
      </c>
      <c r="H1522" t="n">
        <v>0</v>
      </c>
      <c r="I1522" t="n">
        <v>0</v>
      </c>
      <c r="J1522" t="n">
        <v>0</v>
      </c>
      <c r="K1522" t="n">
        <v>0</v>
      </c>
      <c r="L1522" t="n">
        <v>0</v>
      </c>
      <c r="M1522" t="n">
        <v>0</v>
      </c>
      <c r="N1522" t="n">
        <v>0</v>
      </c>
      <c r="O1522" t="n">
        <v>0</v>
      </c>
      <c r="P1522" t="n">
        <v>0</v>
      </c>
      <c r="Q1522" t="n">
        <v>0</v>
      </c>
      <c r="R1522" s="2" t="inlineStr"/>
    </row>
    <row r="1523" ht="15" customHeight="1">
      <c r="A1523" t="inlineStr">
        <is>
          <t>A 26080-2023</t>
        </is>
      </c>
      <c r="B1523" s="1" t="n">
        <v>45091</v>
      </c>
      <c r="C1523" s="1" t="n">
        <v>45640</v>
      </c>
      <c r="D1523" t="inlineStr">
        <is>
          <t>VÄRMLANDS LÄN</t>
        </is>
      </c>
      <c r="E1523" t="inlineStr">
        <is>
          <t>TORSBY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26092-2023</t>
        </is>
      </c>
      <c r="B1524" s="1" t="n">
        <v>45091</v>
      </c>
      <c r="C1524" s="1" t="n">
        <v>45640</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26979-2023</t>
        </is>
      </c>
      <c r="B1525" s="1" t="n">
        <v>45091</v>
      </c>
      <c r="C1525" s="1" t="n">
        <v>45640</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26376-2023</t>
        </is>
      </c>
      <c r="B1526" s="1" t="n">
        <v>45092</v>
      </c>
      <c r="C1526" s="1" t="n">
        <v>45640</v>
      </c>
      <c r="D1526" t="inlineStr">
        <is>
          <t>VÄRMLANDS LÄN</t>
        </is>
      </c>
      <c r="E1526" t="inlineStr">
        <is>
          <t>TORSBY</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26616-2023</t>
        </is>
      </c>
      <c r="B1527" s="1" t="n">
        <v>45092</v>
      </c>
      <c r="C1527" s="1" t="n">
        <v>45640</v>
      </c>
      <c r="D1527" t="inlineStr">
        <is>
          <t>VÄRMLANDS LÄN</t>
        </is>
      </c>
      <c r="E1527" t="inlineStr">
        <is>
          <t>TORSBY</t>
        </is>
      </c>
      <c r="F1527" t="inlineStr">
        <is>
          <t>Bergvik skog väst AB</t>
        </is>
      </c>
      <c r="G1527" t="n">
        <v>30.3</v>
      </c>
      <c r="H1527" t="n">
        <v>0</v>
      </c>
      <c r="I1527" t="n">
        <v>0</v>
      </c>
      <c r="J1527" t="n">
        <v>0</v>
      </c>
      <c r="K1527" t="n">
        <v>0</v>
      </c>
      <c r="L1527" t="n">
        <v>0</v>
      </c>
      <c r="M1527" t="n">
        <v>0</v>
      </c>
      <c r="N1527" t="n">
        <v>0</v>
      </c>
      <c r="O1527" t="n">
        <v>0</v>
      </c>
      <c r="P1527" t="n">
        <v>0</v>
      </c>
      <c r="Q1527" t="n">
        <v>0</v>
      </c>
      <c r="R1527" s="2" t="inlineStr"/>
    </row>
    <row r="1528" ht="15" customHeight="1">
      <c r="A1528" t="inlineStr">
        <is>
          <t>A 26814-2023</t>
        </is>
      </c>
      <c r="B1528" s="1" t="n">
        <v>45093</v>
      </c>
      <c r="C1528" s="1" t="n">
        <v>45640</v>
      </c>
      <c r="D1528" t="inlineStr">
        <is>
          <t>VÄRMLANDS LÄN</t>
        </is>
      </c>
      <c r="E1528" t="inlineStr">
        <is>
          <t>TORSBY</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26753-2023</t>
        </is>
      </c>
      <c r="B1529" s="1" t="n">
        <v>45093</v>
      </c>
      <c r="C1529" s="1" t="n">
        <v>45640</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26855-2023</t>
        </is>
      </c>
      <c r="B1530" s="1" t="n">
        <v>45093</v>
      </c>
      <c r="C1530" s="1" t="n">
        <v>45640</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27195-2023</t>
        </is>
      </c>
      <c r="B1531" s="1" t="n">
        <v>45096</v>
      </c>
      <c r="C1531" s="1" t="n">
        <v>45640</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27332-2023</t>
        </is>
      </c>
      <c r="B1532" s="1" t="n">
        <v>45096</v>
      </c>
      <c r="C1532" s="1" t="n">
        <v>45640</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27472-2023</t>
        </is>
      </c>
      <c r="B1533" s="1" t="n">
        <v>45097</v>
      </c>
      <c r="C1533" s="1" t="n">
        <v>45640</v>
      </c>
      <c r="D1533" t="inlineStr">
        <is>
          <t>VÄRMLANDS LÄN</t>
        </is>
      </c>
      <c r="E1533" t="inlineStr">
        <is>
          <t>TORSBY</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27594-2023</t>
        </is>
      </c>
      <c r="B1534" s="1" t="n">
        <v>45097</v>
      </c>
      <c r="C1534" s="1" t="n">
        <v>45640</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27458-2023</t>
        </is>
      </c>
      <c r="B1535" s="1" t="n">
        <v>45097</v>
      </c>
      <c r="C1535" s="1" t="n">
        <v>45640</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27787-2023</t>
        </is>
      </c>
      <c r="B1536" s="1" t="n">
        <v>45098</v>
      </c>
      <c r="C1536" s="1" t="n">
        <v>45640</v>
      </c>
      <c r="D1536" t="inlineStr">
        <is>
          <t>VÄRMLANDS LÄN</t>
        </is>
      </c>
      <c r="E1536" t="inlineStr">
        <is>
          <t>TORSBY</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27837-2023</t>
        </is>
      </c>
      <c r="B1537" s="1" t="n">
        <v>45098</v>
      </c>
      <c r="C1537" s="1" t="n">
        <v>45640</v>
      </c>
      <c r="D1537" t="inlineStr">
        <is>
          <t>VÄRMLANDS LÄN</t>
        </is>
      </c>
      <c r="E1537" t="inlineStr">
        <is>
          <t>TORSBY</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27851-2023</t>
        </is>
      </c>
      <c r="B1538" s="1" t="n">
        <v>45098</v>
      </c>
      <c r="C1538" s="1" t="n">
        <v>45640</v>
      </c>
      <c r="D1538" t="inlineStr">
        <is>
          <t>VÄRMLANDS LÄN</t>
        </is>
      </c>
      <c r="E1538" t="inlineStr">
        <is>
          <t>TORSBY</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27920-2023</t>
        </is>
      </c>
      <c r="B1539" s="1" t="n">
        <v>45098</v>
      </c>
      <c r="C1539" s="1" t="n">
        <v>45640</v>
      </c>
      <c r="D1539" t="inlineStr">
        <is>
          <t>VÄRMLANDS LÄN</t>
        </is>
      </c>
      <c r="E1539" t="inlineStr">
        <is>
          <t>TORSBY</t>
        </is>
      </c>
      <c r="F1539" t="inlineStr">
        <is>
          <t>Kyrkan</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28045-2023</t>
        </is>
      </c>
      <c r="B1540" s="1" t="n">
        <v>45099</v>
      </c>
      <c r="C1540" s="1" t="n">
        <v>45640</v>
      </c>
      <c r="D1540" t="inlineStr">
        <is>
          <t>VÄRMLANDS LÄN</t>
        </is>
      </c>
      <c r="E1540" t="inlineStr">
        <is>
          <t>TORSBY</t>
        </is>
      </c>
      <c r="F1540" t="inlineStr">
        <is>
          <t>Bergvik skog väst AB</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28074-2023</t>
        </is>
      </c>
      <c r="B1541" s="1" t="n">
        <v>45099</v>
      </c>
      <c r="C1541" s="1" t="n">
        <v>45640</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28092-2023</t>
        </is>
      </c>
      <c r="B1542" s="1" t="n">
        <v>45099</v>
      </c>
      <c r="C1542" s="1" t="n">
        <v>45640</v>
      </c>
      <c r="D1542" t="inlineStr">
        <is>
          <t>VÄRMLANDS LÄN</t>
        </is>
      </c>
      <c r="E1542" t="inlineStr">
        <is>
          <t>TORSBY</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28251-2023</t>
        </is>
      </c>
      <c r="B1543" s="1" t="n">
        <v>45099</v>
      </c>
      <c r="C1543" s="1" t="n">
        <v>45640</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30142-2023</t>
        </is>
      </c>
      <c r="B1544" s="1" t="n">
        <v>45099</v>
      </c>
      <c r="C1544" s="1" t="n">
        <v>45640</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30148-2023</t>
        </is>
      </c>
      <c r="B1545" s="1" t="n">
        <v>45099</v>
      </c>
      <c r="C1545" s="1" t="n">
        <v>45640</v>
      </c>
      <c r="D1545" t="inlineStr">
        <is>
          <t>VÄRMLANDS LÄN</t>
        </is>
      </c>
      <c r="E1545" t="inlineStr">
        <is>
          <t>TORSBY</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30151-2023</t>
        </is>
      </c>
      <c r="B1546" s="1" t="n">
        <v>45099</v>
      </c>
      <c r="C1546" s="1" t="n">
        <v>45640</v>
      </c>
      <c r="D1546" t="inlineStr">
        <is>
          <t>VÄRMLANDS LÄN</t>
        </is>
      </c>
      <c r="E1546" t="inlineStr">
        <is>
          <t>TORSBY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28598-2023</t>
        </is>
      </c>
      <c r="B1547" s="1" t="n">
        <v>45103</v>
      </c>
      <c r="C1547" s="1" t="n">
        <v>45640</v>
      </c>
      <c r="D1547" t="inlineStr">
        <is>
          <t>VÄRMLANDS LÄN</t>
        </is>
      </c>
      <c r="E1547" t="inlineStr">
        <is>
          <t>TORSBY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28652-2023</t>
        </is>
      </c>
      <c r="B1548" s="1" t="n">
        <v>45103</v>
      </c>
      <c r="C1548" s="1" t="n">
        <v>45640</v>
      </c>
      <c r="D1548" t="inlineStr">
        <is>
          <t>VÄRMLANDS LÄN</t>
        </is>
      </c>
      <c r="E1548" t="inlineStr">
        <is>
          <t>TORSBY</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28818-2023</t>
        </is>
      </c>
      <c r="B1549" s="1" t="n">
        <v>45104</v>
      </c>
      <c r="C1549" s="1" t="n">
        <v>45640</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28869-2023</t>
        </is>
      </c>
      <c r="B1550" s="1" t="n">
        <v>45104</v>
      </c>
      <c r="C1550" s="1" t="n">
        <v>45640</v>
      </c>
      <c r="D1550" t="inlineStr">
        <is>
          <t>VÄRMLANDS LÄN</t>
        </is>
      </c>
      <c r="E1550" t="inlineStr">
        <is>
          <t>TORSBY</t>
        </is>
      </c>
      <c r="F1550" t="inlineStr">
        <is>
          <t>Bergvik skog väst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28948-2023</t>
        </is>
      </c>
      <c r="B1551" s="1" t="n">
        <v>45104</v>
      </c>
      <c r="C1551" s="1" t="n">
        <v>45640</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28814-2023</t>
        </is>
      </c>
      <c r="B1552" s="1" t="n">
        <v>45104</v>
      </c>
      <c r="C1552" s="1" t="n">
        <v>45640</v>
      </c>
      <c r="D1552" t="inlineStr">
        <is>
          <t>VÄRMLANDS LÄN</t>
        </is>
      </c>
      <c r="E1552" t="inlineStr">
        <is>
          <t>TORSBY</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29043-2023</t>
        </is>
      </c>
      <c r="B1553" s="1" t="n">
        <v>45104</v>
      </c>
      <c r="C1553" s="1" t="n">
        <v>45640</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29042-2023</t>
        </is>
      </c>
      <c r="B1554" s="1" t="n">
        <v>45104</v>
      </c>
      <c r="C1554" s="1" t="n">
        <v>45640</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29137-2023</t>
        </is>
      </c>
      <c r="B1555" s="1" t="n">
        <v>45105</v>
      </c>
      <c r="C1555" s="1" t="n">
        <v>45640</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29256-2023</t>
        </is>
      </c>
      <c r="B1556" s="1" t="n">
        <v>45105</v>
      </c>
      <c r="C1556" s="1" t="n">
        <v>45640</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29506-2023</t>
        </is>
      </c>
      <c r="B1557" s="1" t="n">
        <v>45106</v>
      </c>
      <c r="C1557" s="1" t="n">
        <v>45640</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29581-2023</t>
        </is>
      </c>
      <c r="B1558" s="1" t="n">
        <v>45106</v>
      </c>
      <c r="C1558" s="1" t="n">
        <v>45640</v>
      </c>
      <c r="D1558" t="inlineStr">
        <is>
          <t>VÄRMLANDS LÄN</t>
        </is>
      </c>
      <c r="E1558" t="inlineStr">
        <is>
          <t>TORSBY</t>
        </is>
      </c>
      <c r="F1558" t="inlineStr">
        <is>
          <t>Bergvik skog väst AB</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29594-2023</t>
        </is>
      </c>
      <c r="B1559" s="1" t="n">
        <v>45107</v>
      </c>
      <c r="C1559" s="1" t="n">
        <v>45640</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29545-2023</t>
        </is>
      </c>
      <c r="B1560" s="1" t="n">
        <v>45106</v>
      </c>
      <c r="C1560" s="1" t="n">
        <v>45640</v>
      </c>
      <c r="D1560" t="inlineStr">
        <is>
          <t>VÄRMLANDS LÄN</t>
        </is>
      </c>
      <c r="E1560" t="inlineStr">
        <is>
          <t>TORSBY</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31858-2023</t>
        </is>
      </c>
      <c r="B1561" s="1" t="n">
        <v>45106</v>
      </c>
      <c r="C1561" s="1" t="n">
        <v>45640</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29792-2023</t>
        </is>
      </c>
      <c r="B1562" s="1" t="n">
        <v>45107</v>
      </c>
      <c r="C1562" s="1" t="n">
        <v>45640</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29796-2023</t>
        </is>
      </c>
      <c r="B1563" s="1" t="n">
        <v>45107</v>
      </c>
      <c r="C1563" s="1" t="n">
        <v>45640</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29795-2023</t>
        </is>
      </c>
      <c r="B1564" s="1" t="n">
        <v>45107</v>
      </c>
      <c r="C1564" s="1" t="n">
        <v>45640</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31936-2023</t>
        </is>
      </c>
      <c r="B1565" s="1" t="n">
        <v>45107</v>
      </c>
      <c r="C1565" s="1" t="n">
        <v>45640</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30208-2023</t>
        </is>
      </c>
      <c r="B1566" s="1" t="n">
        <v>45110</v>
      </c>
      <c r="C1566" s="1" t="n">
        <v>45640</v>
      </c>
      <c r="D1566" t="inlineStr">
        <is>
          <t>VÄRMLANDS LÄN</t>
        </is>
      </c>
      <c r="E1566" t="inlineStr">
        <is>
          <t>TORSBY</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30213-2023</t>
        </is>
      </c>
      <c r="B1567" s="1" t="n">
        <v>45110</v>
      </c>
      <c r="C1567" s="1" t="n">
        <v>45640</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30267-2023</t>
        </is>
      </c>
      <c r="B1568" s="1" t="n">
        <v>45110</v>
      </c>
      <c r="C1568" s="1" t="n">
        <v>45640</v>
      </c>
      <c r="D1568" t="inlineStr">
        <is>
          <t>VÄRMLANDS LÄN</t>
        </is>
      </c>
      <c r="E1568" t="inlineStr">
        <is>
          <t>TORSBY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30104-2023</t>
        </is>
      </c>
      <c r="B1569" s="1" t="n">
        <v>45110</v>
      </c>
      <c r="C1569" s="1" t="n">
        <v>45640</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32332-2023</t>
        </is>
      </c>
      <c r="B1570" s="1" t="n">
        <v>45110</v>
      </c>
      <c r="C1570" s="1" t="n">
        <v>45640</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30160-2023</t>
        </is>
      </c>
      <c r="B1571" s="1" t="n">
        <v>45110</v>
      </c>
      <c r="C1571" s="1" t="n">
        <v>45640</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30269-2023</t>
        </is>
      </c>
      <c r="B1572" s="1" t="n">
        <v>45110</v>
      </c>
      <c r="C1572" s="1" t="n">
        <v>45640</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30110-2023</t>
        </is>
      </c>
      <c r="B1573" s="1" t="n">
        <v>45110</v>
      </c>
      <c r="C1573" s="1" t="n">
        <v>45640</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30530-2023</t>
        </is>
      </c>
      <c r="B1574" s="1" t="n">
        <v>45111</v>
      </c>
      <c r="C1574" s="1" t="n">
        <v>45640</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30455-2023</t>
        </is>
      </c>
      <c r="B1575" s="1" t="n">
        <v>45111</v>
      </c>
      <c r="C1575" s="1" t="n">
        <v>45640</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30370-2023</t>
        </is>
      </c>
      <c r="B1576" s="1" t="n">
        <v>45111</v>
      </c>
      <c r="C1576" s="1" t="n">
        <v>45640</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30531-2023</t>
        </is>
      </c>
      <c r="B1577" s="1" t="n">
        <v>45111</v>
      </c>
      <c r="C1577" s="1" t="n">
        <v>45640</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30344-2023</t>
        </is>
      </c>
      <c r="B1578" s="1" t="n">
        <v>45111</v>
      </c>
      <c r="C1578" s="1" t="n">
        <v>45640</v>
      </c>
      <c r="D1578" t="inlineStr">
        <is>
          <t>VÄRMLANDS LÄN</t>
        </is>
      </c>
      <c r="E1578" t="inlineStr">
        <is>
          <t>TORSBY</t>
        </is>
      </c>
      <c r="F1578" t="inlineStr">
        <is>
          <t>Bergvik skog väst AB</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30670-2023</t>
        </is>
      </c>
      <c r="B1579" s="1" t="n">
        <v>45112</v>
      </c>
      <c r="C1579" s="1" t="n">
        <v>45640</v>
      </c>
      <c r="D1579" t="inlineStr">
        <is>
          <t>VÄRMLANDS LÄN</t>
        </is>
      </c>
      <c r="E1579" t="inlineStr">
        <is>
          <t>TORSBY</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30624-2023</t>
        </is>
      </c>
      <c r="B1580" s="1" t="n">
        <v>45112</v>
      </c>
      <c r="C1580" s="1" t="n">
        <v>45640</v>
      </c>
      <c r="D1580" t="inlineStr">
        <is>
          <t>VÄRMLANDS LÄN</t>
        </is>
      </c>
      <c r="E1580" t="inlineStr">
        <is>
          <t>TORSBY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30741-2023</t>
        </is>
      </c>
      <c r="B1581" s="1" t="n">
        <v>45112</v>
      </c>
      <c r="C1581" s="1" t="n">
        <v>45640</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31052-2023</t>
        </is>
      </c>
      <c r="B1582" s="1" t="n">
        <v>45113</v>
      </c>
      <c r="C1582" s="1" t="n">
        <v>45640</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31112-2023</t>
        </is>
      </c>
      <c r="B1583" s="1" t="n">
        <v>45113</v>
      </c>
      <c r="C1583" s="1" t="n">
        <v>45640</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31465-2023</t>
        </is>
      </c>
      <c r="B1584" s="1" t="n">
        <v>45114</v>
      </c>
      <c r="C1584" s="1" t="n">
        <v>45640</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31547-2023</t>
        </is>
      </c>
      <c r="B1585" s="1" t="n">
        <v>45117</v>
      </c>
      <c r="C1585" s="1" t="n">
        <v>45640</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31548-2023</t>
        </is>
      </c>
      <c r="B1586" s="1" t="n">
        <v>45117</v>
      </c>
      <c r="C1586" s="1" t="n">
        <v>45640</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33741-2023</t>
        </is>
      </c>
      <c r="B1587" s="1" t="n">
        <v>45119</v>
      </c>
      <c r="C1587" s="1" t="n">
        <v>45640</v>
      </c>
      <c r="D1587" t="inlineStr">
        <is>
          <t>VÄRMLANDS LÄN</t>
        </is>
      </c>
      <c r="E1587" t="inlineStr">
        <is>
          <t>TORSBY</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33738-2023</t>
        </is>
      </c>
      <c r="B1588" s="1" t="n">
        <v>45119</v>
      </c>
      <c r="C1588" s="1" t="n">
        <v>45640</v>
      </c>
      <c r="D1588" t="inlineStr">
        <is>
          <t>VÄRMLANDS LÄN</t>
        </is>
      </c>
      <c r="E1588" t="inlineStr">
        <is>
          <t>TORSBY</t>
        </is>
      </c>
      <c r="F1588" t="inlineStr">
        <is>
          <t>Övriga Aktiebolag</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33740-2023</t>
        </is>
      </c>
      <c r="B1589" s="1" t="n">
        <v>45119</v>
      </c>
      <c r="C1589" s="1" t="n">
        <v>45640</v>
      </c>
      <c r="D1589" t="inlineStr">
        <is>
          <t>VÄRMLANDS LÄN</t>
        </is>
      </c>
      <c r="E1589" t="inlineStr">
        <is>
          <t>TORSBY</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33782-2023</t>
        </is>
      </c>
      <c r="B1590" s="1" t="n">
        <v>45120</v>
      </c>
      <c r="C1590" s="1" t="n">
        <v>45640</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32576-2023</t>
        </is>
      </c>
      <c r="B1591" s="1" t="n">
        <v>45121</v>
      </c>
      <c r="C1591" s="1" t="n">
        <v>45640</v>
      </c>
      <c r="D1591" t="inlineStr">
        <is>
          <t>VÄRMLANDS LÄN</t>
        </is>
      </c>
      <c r="E1591" t="inlineStr">
        <is>
          <t>TORSBY</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32584-2023</t>
        </is>
      </c>
      <c r="B1592" s="1" t="n">
        <v>45121</v>
      </c>
      <c r="C1592" s="1" t="n">
        <v>45640</v>
      </c>
      <c r="D1592" t="inlineStr">
        <is>
          <t>VÄRMLANDS LÄN</t>
        </is>
      </c>
      <c r="E1592" t="inlineStr">
        <is>
          <t>TORSBY</t>
        </is>
      </c>
      <c r="F1592" t="inlineStr">
        <is>
          <t>Bergvik skog väst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32805-2023</t>
        </is>
      </c>
      <c r="B1593" s="1" t="n">
        <v>45124</v>
      </c>
      <c r="C1593" s="1" t="n">
        <v>45640</v>
      </c>
      <c r="D1593" t="inlineStr">
        <is>
          <t>VÄRMLANDS LÄN</t>
        </is>
      </c>
      <c r="E1593" t="inlineStr">
        <is>
          <t>TORSBY</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32819-2023</t>
        </is>
      </c>
      <c r="B1594" s="1" t="n">
        <v>45124</v>
      </c>
      <c r="C1594" s="1" t="n">
        <v>45640</v>
      </c>
      <c r="D1594" t="inlineStr">
        <is>
          <t>VÄRMLANDS LÄN</t>
        </is>
      </c>
      <c r="E1594" t="inlineStr">
        <is>
          <t>TORSBY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32787-2023</t>
        </is>
      </c>
      <c r="B1595" s="1" t="n">
        <v>45124</v>
      </c>
      <c r="C1595" s="1" t="n">
        <v>45640</v>
      </c>
      <c r="D1595" t="inlineStr">
        <is>
          <t>VÄRMLANDS LÄN</t>
        </is>
      </c>
      <c r="E1595" t="inlineStr">
        <is>
          <t>TORSBY</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32815-2023</t>
        </is>
      </c>
      <c r="B1596" s="1" t="n">
        <v>45124</v>
      </c>
      <c r="C1596" s="1" t="n">
        <v>45640</v>
      </c>
      <c r="D1596" t="inlineStr">
        <is>
          <t>VÄRMLANDS LÄN</t>
        </is>
      </c>
      <c r="E1596" t="inlineStr">
        <is>
          <t>TORSBY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33758-2023</t>
        </is>
      </c>
      <c r="B1597" s="1" t="n">
        <v>45125</v>
      </c>
      <c r="C1597" s="1" t="n">
        <v>45640</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33072-2023</t>
        </is>
      </c>
      <c r="B1598" s="1" t="n">
        <v>45126</v>
      </c>
      <c r="C1598" s="1" t="n">
        <v>45640</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34097-2023</t>
        </is>
      </c>
      <c r="B1599" s="1" t="n">
        <v>45126</v>
      </c>
      <c r="C1599" s="1" t="n">
        <v>45640</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34104-2023</t>
        </is>
      </c>
      <c r="B1600" s="1" t="n">
        <v>45126</v>
      </c>
      <c r="C1600" s="1" t="n">
        <v>45640</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34105-2023</t>
        </is>
      </c>
      <c r="B1601" s="1" t="n">
        <v>45126</v>
      </c>
      <c r="C1601" s="1" t="n">
        <v>45640</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33263-2023</t>
        </is>
      </c>
      <c r="B1602" s="1" t="n">
        <v>45127</v>
      </c>
      <c r="C1602" s="1" t="n">
        <v>45640</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33249-2023</t>
        </is>
      </c>
      <c r="B1603" s="1" t="n">
        <v>45127</v>
      </c>
      <c r="C1603" s="1" t="n">
        <v>45640</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33253-2023</t>
        </is>
      </c>
      <c r="B1604" s="1" t="n">
        <v>45127</v>
      </c>
      <c r="C1604" s="1" t="n">
        <v>45640</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33264-2023</t>
        </is>
      </c>
      <c r="B1605" s="1" t="n">
        <v>45127</v>
      </c>
      <c r="C1605" s="1" t="n">
        <v>45640</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33268-2023</t>
        </is>
      </c>
      <c r="B1606" s="1" t="n">
        <v>45127</v>
      </c>
      <c r="C1606" s="1" t="n">
        <v>45640</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33574-2023</t>
        </is>
      </c>
      <c r="B1607" s="1" t="n">
        <v>45131</v>
      </c>
      <c r="C1607" s="1" t="n">
        <v>45640</v>
      </c>
      <c r="D1607" t="inlineStr">
        <is>
          <t>VÄRMLANDS LÄN</t>
        </is>
      </c>
      <c r="E1607" t="inlineStr">
        <is>
          <t>TORSBY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33645-2023</t>
        </is>
      </c>
      <c r="B1608" s="1" t="n">
        <v>45132</v>
      </c>
      <c r="C1608" s="1" t="n">
        <v>45640</v>
      </c>
      <c r="D1608" t="inlineStr">
        <is>
          <t>VÄRMLANDS LÄN</t>
        </is>
      </c>
      <c r="E1608" t="inlineStr">
        <is>
          <t>TORSBY</t>
        </is>
      </c>
      <c r="F1608" t="inlineStr">
        <is>
          <t>Bergvik skog väst AB</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33656-2023</t>
        </is>
      </c>
      <c r="B1609" s="1" t="n">
        <v>45132</v>
      </c>
      <c r="C1609" s="1" t="n">
        <v>45640</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33813-2023</t>
        </is>
      </c>
      <c r="B1610" s="1" t="n">
        <v>45133</v>
      </c>
      <c r="C1610" s="1" t="n">
        <v>45640</v>
      </c>
      <c r="D1610" t="inlineStr">
        <is>
          <t>VÄRMLANDS LÄN</t>
        </is>
      </c>
      <c r="E1610" t="inlineStr">
        <is>
          <t>TORSBY</t>
        </is>
      </c>
      <c r="F1610" t="inlineStr">
        <is>
          <t>Bergvik skog väst AB</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33839-2023</t>
        </is>
      </c>
      <c r="B1611" s="1" t="n">
        <v>45133</v>
      </c>
      <c r="C1611" s="1" t="n">
        <v>45640</v>
      </c>
      <c r="D1611" t="inlineStr">
        <is>
          <t>VÄRMLANDS LÄN</t>
        </is>
      </c>
      <c r="E1611" t="inlineStr">
        <is>
          <t>TORSBY</t>
        </is>
      </c>
      <c r="F1611" t="inlineStr">
        <is>
          <t>Bergvik skog väst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33848-2023</t>
        </is>
      </c>
      <c r="B1612" s="1" t="n">
        <v>45133</v>
      </c>
      <c r="C1612" s="1" t="n">
        <v>45640</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34405-2023</t>
        </is>
      </c>
      <c r="B1613" s="1" t="n">
        <v>45139</v>
      </c>
      <c r="C1613" s="1" t="n">
        <v>45640</v>
      </c>
      <c r="D1613" t="inlineStr">
        <is>
          <t>VÄRMLANDS LÄN</t>
        </is>
      </c>
      <c r="E1613" t="inlineStr">
        <is>
          <t>TORSBY</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34427-2023</t>
        </is>
      </c>
      <c r="B1614" s="1" t="n">
        <v>45139</v>
      </c>
      <c r="C1614" s="1" t="n">
        <v>45640</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34469-2023</t>
        </is>
      </c>
      <c r="B1615" s="1" t="n">
        <v>45139</v>
      </c>
      <c r="C1615" s="1" t="n">
        <v>45640</v>
      </c>
      <c r="D1615" t="inlineStr">
        <is>
          <t>VÄRMLANDS LÄN</t>
        </is>
      </c>
      <c r="E1615" t="inlineStr">
        <is>
          <t>TORSBY</t>
        </is>
      </c>
      <c r="F1615" t="inlineStr">
        <is>
          <t>Bergvik skog väst AB</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34430-2023</t>
        </is>
      </c>
      <c r="B1616" s="1" t="n">
        <v>45139</v>
      </c>
      <c r="C1616" s="1" t="n">
        <v>45640</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34658-2023</t>
        </is>
      </c>
      <c r="B1617" s="1" t="n">
        <v>45140</v>
      </c>
      <c r="C1617" s="1" t="n">
        <v>45640</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34955-2023</t>
        </is>
      </c>
      <c r="B1618" s="1" t="n">
        <v>45142</v>
      </c>
      <c r="C1618" s="1" t="n">
        <v>45640</v>
      </c>
      <c r="D1618" t="inlineStr">
        <is>
          <t>VÄRMLANDS LÄN</t>
        </is>
      </c>
      <c r="E1618" t="inlineStr">
        <is>
          <t>TORSBY</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35055-2023</t>
        </is>
      </c>
      <c r="B1619" s="1" t="n">
        <v>45145</v>
      </c>
      <c r="C1619" s="1" t="n">
        <v>45640</v>
      </c>
      <c r="D1619" t="inlineStr">
        <is>
          <t>VÄRMLANDS LÄN</t>
        </is>
      </c>
      <c r="E1619" t="inlineStr">
        <is>
          <t>TORSBY</t>
        </is>
      </c>
      <c r="F1619" t="inlineStr">
        <is>
          <t>Bergvik skog väst AB</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35057-2023</t>
        </is>
      </c>
      <c r="B1620" s="1" t="n">
        <v>45145</v>
      </c>
      <c r="C1620" s="1" t="n">
        <v>45640</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35186-2023</t>
        </is>
      </c>
      <c r="B1621" s="1" t="n">
        <v>45145</v>
      </c>
      <c r="C1621" s="1" t="n">
        <v>45640</v>
      </c>
      <c r="D1621" t="inlineStr">
        <is>
          <t>VÄRMLANDS LÄN</t>
        </is>
      </c>
      <c r="E1621" t="inlineStr">
        <is>
          <t>TORSBY</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35115-2023</t>
        </is>
      </c>
      <c r="B1622" s="1" t="n">
        <v>45145</v>
      </c>
      <c r="C1622" s="1" t="n">
        <v>45640</v>
      </c>
      <c r="D1622" t="inlineStr">
        <is>
          <t>VÄRMLANDS LÄN</t>
        </is>
      </c>
      <c r="E1622" t="inlineStr">
        <is>
          <t>TORSBY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35120-2023</t>
        </is>
      </c>
      <c r="B1623" s="1" t="n">
        <v>45145</v>
      </c>
      <c r="C1623" s="1" t="n">
        <v>45640</v>
      </c>
      <c r="D1623" t="inlineStr">
        <is>
          <t>VÄRMLANDS LÄN</t>
        </is>
      </c>
      <c r="E1623" t="inlineStr">
        <is>
          <t>TORSBY</t>
        </is>
      </c>
      <c r="G1623" t="n">
        <v>16.9</v>
      </c>
      <c r="H1623" t="n">
        <v>0</v>
      </c>
      <c r="I1623" t="n">
        <v>0</v>
      </c>
      <c r="J1623" t="n">
        <v>0</v>
      </c>
      <c r="K1623" t="n">
        <v>0</v>
      </c>
      <c r="L1623" t="n">
        <v>0</v>
      </c>
      <c r="M1623" t="n">
        <v>0</v>
      </c>
      <c r="N1623" t="n">
        <v>0</v>
      </c>
      <c r="O1623" t="n">
        <v>0</v>
      </c>
      <c r="P1623" t="n">
        <v>0</v>
      </c>
      <c r="Q1623" t="n">
        <v>0</v>
      </c>
      <c r="R1623" s="2" t="inlineStr"/>
    </row>
    <row r="1624" ht="15" customHeight="1">
      <c r="A1624" t="inlineStr">
        <is>
          <t>A 35415-2023</t>
        </is>
      </c>
      <c r="B1624" s="1" t="n">
        <v>45146</v>
      </c>
      <c r="C1624" s="1" t="n">
        <v>45640</v>
      </c>
      <c r="D1624" t="inlineStr">
        <is>
          <t>VÄRMLANDS LÄN</t>
        </is>
      </c>
      <c r="E1624" t="inlineStr">
        <is>
          <t>TORSBY</t>
        </is>
      </c>
      <c r="F1624" t="inlineStr">
        <is>
          <t>Bergvik skog väst AB</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35629-2023</t>
        </is>
      </c>
      <c r="B1625" s="1" t="n">
        <v>45147</v>
      </c>
      <c r="C1625" s="1" t="n">
        <v>45640</v>
      </c>
      <c r="D1625" t="inlineStr">
        <is>
          <t>VÄRMLANDS LÄN</t>
        </is>
      </c>
      <c r="E1625" t="inlineStr">
        <is>
          <t>TORSBY</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35674-2023</t>
        </is>
      </c>
      <c r="B1626" s="1" t="n">
        <v>45147</v>
      </c>
      <c r="C1626" s="1" t="n">
        <v>45640</v>
      </c>
      <c r="D1626" t="inlineStr">
        <is>
          <t>VÄRMLANDS LÄN</t>
        </is>
      </c>
      <c r="E1626" t="inlineStr">
        <is>
          <t>TORSBY</t>
        </is>
      </c>
      <c r="G1626" t="n">
        <v>25.4</v>
      </c>
      <c r="H1626" t="n">
        <v>0</v>
      </c>
      <c r="I1626" t="n">
        <v>0</v>
      </c>
      <c r="J1626" t="n">
        <v>0</v>
      </c>
      <c r="K1626" t="n">
        <v>0</v>
      </c>
      <c r="L1626" t="n">
        <v>0</v>
      </c>
      <c r="M1626" t="n">
        <v>0</v>
      </c>
      <c r="N1626" t="n">
        <v>0</v>
      </c>
      <c r="O1626" t="n">
        <v>0</v>
      </c>
      <c r="P1626" t="n">
        <v>0</v>
      </c>
      <c r="Q1626" t="n">
        <v>0</v>
      </c>
      <c r="R1626" s="2" t="inlineStr"/>
    </row>
    <row r="1627" ht="15" customHeight="1">
      <c r="A1627" t="inlineStr">
        <is>
          <t>A 35553-2023</t>
        </is>
      </c>
      <c r="B1627" s="1" t="n">
        <v>45147</v>
      </c>
      <c r="C1627" s="1" t="n">
        <v>45640</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35934-2023</t>
        </is>
      </c>
      <c r="B1628" s="1" t="n">
        <v>45148</v>
      </c>
      <c r="C1628" s="1" t="n">
        <v>45640</v>
      </c>
      <c r="D1628" t="inlineStr">
        <is>
          <t>VÄRMLANDS LÄN</t>
        </is>
      </c>
      <c r="E1628" t="inlineStr">
        <is>
          <t>TORSBY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35938-2023</t>
        </is>
      </c>
      <c r="B1629" s="1" t="n">
        <v>45148</v>
      </c>
      <c r="C1629" s="1" t="n">
        <v>45640</v>
      </c>
      <c r="D1629" t="inlineStr">
        <is>
          <t>VÄRMLANDS LÄN</t>
        </is>
      </c>
      <c r="E1629" t="inlineStr">
        <is>
          <t>TORSBY</t>
        </is>
      </c>
      <c r="F1629" t="inlineStr">
        <is>
          <t>Bergvik skog väst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36043-2023</t>
        </is>
      </c>
      <c r="B1630" s="1" t="n">
        <v>45148</v>
      </c>
      <c r="C1630" s="1" t="n">
        <v>45640</v>
      </c>
      <c r="D1630" t="inlineStr">
        <is>
          <t>VÄRMLANDS LÄN</t>
        </is>
      </c>
      <c r="E1630" t="inlineStr">
        <is>
          <t>TORSBY</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36050-2023</t>
        </is>
      </c>
      <c r="B1631" s="1" t="n">
        <v>45149</v>
      </c>
      <c r="C1631" s="1" t="n">
        <v>45640</v>
      </c>
      <c r="D1631" t="inlineStr">
        <is>
          <t>VÄRMLANDS LÄN</t>
        </is>
      </c>
      <c r="E1631" t="inlineStr">
        <is>
          <t>TORSBY</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36062-2023</t>
        </is>
      </c>
      <c r="B1632" s="1" t="n">
        <v>45149</v>
      </c>
      <c r="C1632" s="1" t="n">
        <v>45640</v>
      </c>
      <c r="D1632" t="inlineStr">
        <is>
          <t>VÄRMLANDS LÄN</t>
        </is>
      </c>
      <c r="E1632" t="inlineStr">
        <is>
          <t>TORSBY</t>
        </is>
      </c>
      <c r="F1632" t="inlineStr">
        <is>
          <t>Bergvik skog väst AB</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36239-2023</t>
        </is>
      </c>
      <c r="B1633" s="1" t="n">
        <v>45150</v>
      </c>
      <c r="C1633" s="1" t="n">
        <v>45640</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36462-2023</t>
        </is>
      </c>
      <c r="B1634" s="1" t="n">
        <v>45152</v>
      </c>
      <c r="C1634" s="1" t="n">
        <v>45640</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36582-2023</t>
        </is>
      </c>
      <c r="B1635" s="1" t="n">
        <v>45153</v>
      </c>
      <c r="C1635" s="1" t="n">
        <v>45640</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36598-2023</t>
        </is>
      </c>
      <c r="B1636" s="1" t="n">
        <v>45153</v>
      </c>
      <c r="C1636" s="1" t="n">
        <v>45640</v>
      </c>
      <c r="D1636" t="inlineStr">
        <is>
          <t>VÄRMLANDS LÄN</t>
        </is>
      </c>
      <c r="E1636" t="inlineStr">
        <is>
          <t>TORSBY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36552-2023</t>
        </is>
      </c>
      <c r="B1637" s="1" t="n">
        <v>45153</v>
      </c>
      <c r="C1637" s="1" t="n">
        <v>45640</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36674-2023</t>
        </is>
      </c>
      <c r="B1638" s="1" t="n">
        <v>45153</v>
      </c>
      <c r="C1638" s="1" t="n">
        <v>45640</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36736-2023</t>
        </is>
      </c>
      <c r="B1639" s="1" t="n">
        <v>45153</v>
      </c>
      <c r="C1639" s="1" t="n">
        <v>45640</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36729-2023</t>
        </is>
      </c>
      <c r="B1640" s="1" t="n">
        <v>45153</v>
      </c>
      <c r="C1640" s="1" t="n">
        <v>45640</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36827-2023</t>
        </is>
      </c>
      <c r="B1641" s="1" t="n">
        <v>45154</v>
      </c>
      <c r="C1641" s="1" t="n">
        <v>45640</v>
      </c>
      <c r="D1641" t="inlineStr">
        <is>
          <t>VÄRMLANDS LÄN</t>
        </is>
      </c>
      <c r="E1641" t="inlineStr">
        <is>
          <t>TORSBY</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36897-2023</t>
        </is>
      </c>
      <c r="B1642" s="1" t="n">
        <v>45154</v>
      </c>
      <c r="C1642" s="1" t="n">
        <v>45640</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36947-2023</t>
        </is>
      </c>
      <c r="B1643" s="1" t="n">
        <v>45154</v>
      </c>
      <c r="C1643" s="1" t="n">
        <v>45640</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37081-2023</t>
        </is>
      </c>
      <c r="B1644" s="1" t="n">
        <v>45155</v>
      </c>
      <c r="C1644" s="1" t="n">
        <v>45640</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37188-2023</t>
        </is>
      </c>
      <c r="B1645" s="1" t="n">
        <v>45155</v>
      </c>
      <c r="C1645" s="1" t="n">
        <v>45640</v>
      </c>
      <c r="D1645" t="inlineStr">
        <is>
          <t>VÄRMLANDS LÄN</t>
        </is>
      </c>
      <c r="E1645" t="inlineStr">
        <is>
          <t>TORSBY</t>
        </is>
      </c>
      <c r="F1645" t="inlineStr">
        <is>
          <t>Bergvik skog väst AB</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37346-2023</t>
        </is>
      </c>
      <c r="B1646" s="1" t="n">
        <v>45156</v>
      </c>
      <c r="C1646" s="1" t="n">
        <v>45640</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37357-2023</t>
        </is>
      </c>
      <c r="B1647" s="1" t="n">
        <v>45156</v>
      </c>
      <c r="C1647" s="1" t="n">
        <v>45640</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37305-2023</t>
        </is>
      </c>
      <c r="B1648" s="1" t="n">
        <v>45156</v>
      </c>
      <c r="C1648" s="1" t="n">
        <v>45640</v>
      </c>
      <c r="D1648" t="inlineStr">
        <is>
          <t>VÄRMLANDS LÄN</t>
        </is>
      </c>
      <c r="E1648" t="inlineStr">
        <is>
          <t>TORSBY</t>
        </is>
      </c>
      <c r="F1648" t="inlineStr">
        <is>
          <t>Bergvik skog väst AB</t>
        </is>
      </c>
      <c r="G1648" t="n">
        <v>28.8</v>
      </c>
      <c r="H1648" t="n">
        <v>0</v>
      </c>
      <c r="I1648" t="n">
        <v>0</v>
      </c>
      <c r="J1648" t="n">
        <v>0</v>
      </c>
      <c r="K1648" t="n">
        <v>0</v>
      </c>
      <c r="L1648" t="n">
        <v>0</v>
      </c>
      <c r="M1648" t="n">
        <v>0</v>
      </c>
      <c r="N1648" t="n">
        <v>0</v>
      </c>
      <c r="O1648" t="n">
        <v>0</v>
      </c>
      <c r="P1648" t="n">
        <v>0</v>
      </c>
      <c r="Q1648" t="n">
        <v>0</v>
      </c>
      <c r="R1648" s="2" t="inlineStr"/>
    </row>
    <row r="1649" ht="15" customHeight="1">
      <c r="A1649" t="inlineStr">
        <is>
          <t>A 37314-2023</t>
        </is>
      </c>
      <c r="B1649" s="1" t="n">
        <v>45156</v>
      </c>
      <c r="C1649" s="1" t="n">
        <v>45640</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37359-2023</t>
        </is>
      </c>
      <c r="B1650" s="1" t="n">
        <v>45156</v>
      </c>
      <c r="C1650" s="1" t="n">
        <v>45640</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37705-2023</t>
        </is>
      </c>
      <c r="B1651" s="1" t="n">
        <v>45159</v>
      </c>
      <c r="C1651" s="1" t="n">
        <v>45640</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37604-2023</t>
        </is>
      </c>
      <c r="B1652" s="1" t="n">
        <v>45159</v>
      </c>
      <c r="C1652" s="1" t="n">
        <v>45640</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37623-2023</t>
        </is>
      </c>
      <c r="B1653" s="1" t="n">
        <v>45159</v>
      </c>
      <c r="C1653" s="1" t="n">
        <v>45640</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v>
      </c>
      <c r="C1654" s="1" t="n">
        <v>45640</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38085-2023</t>
        </is>
      </c>
      <c r="B1655" s="1" t="n">
        <v>45160</v>
      </c>
      <c r="C1655" s="1" t="n">
        <v>45640</v>
      </c>
      <c r="D1655" t="inlineStr">
        <is>
          <t>VÄRMLANDS LÄN</t>
        </is>
      </c>
      <c r="E1655" t="inlineStr">
        <is>
          <t>TORSBY</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37936-2023</t>
        </is>
      </c>
      <c r="B1656" s="1" t="n">
        <v>45160</v>
      </c>
      <c r="C1656" s="1" t="n">
        <v>45640</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38084-2023</t>
        </is>
      </c>
      <c r="B1657" s="1" t="n">
        <v>45160</v>
      </c>
      <c r="C1657" s="1" t="n">
        <v>45640</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38044-2023</t>
        </is>
      </c>
      <c r="B1658" s="1" t="n">
        <v>45160</v>
      </c>
      <c r="C1658" s="1" t="n">
        <v>45640</v>
      </c>
      <c r="D1658" t="inlineStr">
        <is>
          <t>VÄRMLANDS LÄN</t>
        </is>
      </c>
      <c r="E1658" t="inlineStr">
        <is>
          <t>TORSBY</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38086-2023</t>
        </is>
      </c>
      <c r="B1659" s="1" t="n">
        <v>45160</v>
      </c>
      <c r="C1659" s="1" t="n">
        <v>45640</v>
      </c>
      <c r="D1659" t="inlineStr">
        <is>
          <t>VÄRMLANDS LÄN</t>
        </is>
      </c>
      <c r="E1659" t="inlineStr">
        <is>
          <t>TORSBY</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38252-2023</t>
        </is>
      </c>
      <c r="B1660" s="1" t="n">
        <v>45161</v>
      </c>
      <c r="C1660" s="1" t="n">
        <v>45640</v>
      </c>
      <c r="D1660" t="inlineStr">
        <is>
          <t>VÄRMLANDS LÄN</t>
        </is>
      </c>
      <c r="E1660" t="inlineStr">
        <is>
          <t>TORSBY</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38232-2023</t>
        </is>
      </c>
      <c r="B1661" s="1" t="n">
        <v>45161</v>
      </c>
      <c r="C1661" s="1" t="n">
        <v>45640</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38257-2023</t>
        </is>
      </c>
      <c r="B1662" s="1" t="n">
        <v>45161</v>
      </c>
      <c r="C1662" s="1" t="n">
        <v>45640</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38263-2023</t>
        </is>
      </c>
      <c r="B1663" s="1" t="n">
        <v>45161</v>
      </c>
      <c r="C1663" s="1" t="n">
        <v>45640</v>
      </c>
      <c r="D1663" t="inlineStr">
        <is>
          <t>VÄRMLANDS LÄN</t>
        </is>
      </c>
      <c r="E1663" t="inlineStr">
        <is>
          <t>TORSBY</t>
        </is>
      </c>
      <c r="F1663" t="inlineStr">
        <is>
          <t>Kyrkan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38286-2023</t>
        </is>
      </c>
      <c r="B1664" s="1" t="n">
        <v>45161</v>
      </c>
      <c r="C1664" s="1" t="n">
        <v>45640</v>
      </c>
      <c r="D1664" t="inlineStr">
        <is>
          <t>VÄRMLANDS LÄN</t>
        </is>
      </c>
      <c r="E1664" t="inlineStr">
        <is>
          <t>TORSBY</t>
        </is>
      </c>
      <c r="F1664" t="inlineStr">
        <is>
          <t>Kyrkan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38541-2023</t>
        </is>
      </c>
      <c r="B1665" s="1" t="n">
        <v>45162</v>
      </c>
      <c r="C1665" s="1" t="n">
        <v>45640</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38641-2023</t>
        </is>
      </c>
      <c r="B1666" s="1" t="n">
        <v>45162</v>
      </c>
      <c r="C1666" s="1" t="n">
        <v>45640</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38637-2023</t>
        </is>
      </c>
      <c r="B1667" s="1" t="n">
        <v>45162</v>
      </c>
      <c r="C1667" s="1" t="n">
        <v>45640</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38668-2023</t>
        </is>
      </c>
      <c r="B1668" s="1" t="n">
        <v>45162</v>
      </c>
      <c r="C1668" s="1" t="n">
        <v>45640</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39408-2023</t>
        </is>
      </c>
      <c r="B1669" s="1" t="n">
        <v>45163</v>
      </c>
      <c r="C1669" s="1" t="n">
        <v>45640</v>
      </c>
      <c r="D1669" t="inlineStr">
        <is>
          <t>VÄRMLANDS LÄN</t>
        </is>
      </c>
      <c r="E1669" t="inlineStr">
        <is>
          <t>TORSBY</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38991-2023</t>
        </is>
      </c>
      <c r="B1670" s="1" t="n">
        <v>45163</v>
      </c>
      <c r="C1670" s="1" t="n">
        <v>45640</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38722-2023</t>
        </is>
      </c>
      <c r="B1671" s="1" t="n">
        <v>45163</v>
      </c>
      <c r="C1671" s="1" t="n">
        <v>45640</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38979-2023</t>
        </is>
      </c>
      <c r="B1672" s="1" t="n">
        <v>45163</v>
      </c>
      <c r="C1672" s="1" t="n">
        <v>45640</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39131-2023</t>
        </is>
      </c>
      <c r="B1673" s="1" t="n">
        <v>45165</v>
      </c>
      <c r="C1673" s="1" t="n">
        <v>45640</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39134-2023</t>
        </is>
      </c>
      <c r="B1674" s="1" t="n">
        <v>45165</v>
      </c>
      <c r="C1674" s="1" t="n">
        <v>45640</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39390-2023</t>
        </is>
      </c>
      <c r="B1675" s="1" t="n">
        <v>45166</v>
      </c>
      <c r="C1675" s="1" t="n">
        <v>45640</v>
      </c>
      <c r="D1675" t="inlineStr">
        <is>
          <t>VÄRMLANDS LÄN</t>
        </is>
      </c>
      <c r="E1675" t="inlineStr">
        <is>
          <t>TORSBY</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39339-2023</t>
        </is>
      </c>
      <c r="B1676" s="1" t="n">
        <v>45166</v>
      </c>
      <c r="C1676" s="1" t="n">
        <v>45640</v>
      </c>
      <c r="D1676" t="inlineStr">
        <is>
          <t>VÄRMLANDS LÄN</t>
        </is>
      </c>
      <c r="E1676" t="inlineStr">
        <is>
          <t>TORSBY</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39374-2023</t>
        </is>
      </c>
      <c r="B1677" s="1" t="n">
        <v>45166</v>
      </c>
      <c r="C1677" s="1" t="n">
        <v>45640</v>
      </c>
      <c r="D1677" t="inlineStr">
        <is>
          <t>VÄRMLANDS LÄN</t>
        </is>
      </c>
      <c r="E1677" t="inlineStr">
        <is>
          <t>TORSBY</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39677-2023</t>
        </is>
      </c>
      <c r="B1678" s="1" t="n">
        <v>45166</v>
      </c>
      <c r="C1678" s="1" t="n">
        <v>45640</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39648-2023</t>
        </is>
      </c>
      <c r="B1679" s="1" t="n">
        <v>45167</v>
      </c>
      <c r="C1679" s="1" t="n">
        <v>45640</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39732-2023</t>
        </is>
      </c>
      <c r="B1680" s="1" t="n">
        <v>45167</v>
      </c>
      <c r="C1680" s="1" t="n">
        <v>45640</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39921-2023</t>
        </is>
      </c>
      <c r="B1681" s="1" t="n">
        <v>45168</v>
      </c>
      <c r="C1681" s="1" t="n">
        <v>45640</v>
      </c>
      <c r="D1681" t="inlineStr">
        <is>
          <t>VÄRMLANDS LÄN</t>
        </is>
      </c>
      <c r="E1681" t="inlineStr">
        <is>
          <t>TORSBY</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39910-2023</t>
        </is>
      </c>
      <c r="B1682" s="1" t="n">
        <v>45168</v>
      </c>
      <c r="C1682" s="1" t="n">
        <v>45640</v>
      </c>
      <c r="D1682" t="inlineStr">
        <is>
          <t>VÄRMLANDS LÄN</t>
        </is>
      </c>
      <c r="E1682" t="inlineStr">
        <is>
          <t>TORSBY</t>
        </is>
      </c>
      <c r="F1682" t="inlineStr">
        <is>
          <t>Kyrkan</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40007-2023</t>
        </is>
      </c>
      <c r="B1683" s="1" t="n">
        <v>45168</v>
      </c>
      <c r="C1683" s="1" t="n">
        <v>45640</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39969-2023</t>
        </is>
      </c>
      <c r="B1684" s="1" t="n">
        <v>45168</v>
      </c>
      <c r="C1684" s="1" t="n">
        <v>45640</v>
      </c>
      <c r="D1684" t="inlineStr">
        <is>
          <t>VÄRMLANDS LÄN</t>
        </is>
      </c>
      <c r="E1684" t="inlineStr">
        <is>
          <t>TORSBY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40207-2023</t>
        </is>
      </c>
      <c r="B1685" s="1" t="n">
        <v>45169</v>
      </c>
      <c r="C1685" s="1" t="n">
        <v>45640</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40228-2023</t>
        </is>
      </c>
      <c r="B1686" s="1" t="n">
        <v>45169</v>
      </c>
      <c r="C1686" s="1" t="n">
        <v>45640</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40222-2023</t>
        </is>
      </c>
      <c r="B1687" s="1" t="n">
        <v>45169</v>
      </c>
      <c r="C1687" s="1" t="n">
        <v>45640</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40468-2023</t>
        </is>
      </c>
      <c r="B1688" s="1" t="n">
        <v>45170</v>
      </c>
      <c r="C1688" s="1" t="n">
        <v>45640</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40512-2023</t>
        </is>
      </c>
      <c r="B1689" s="1" t="n">
        <v>45170</v>
      </c>
      <c r="C1689" s="1" t="n">
        <v>45640</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40470-2023</t>
        </is>
      </c>
      <c r="B1690" s="1" t="n">
        <v>45170</v>
      </c>
      <c r="C1690" s="1" t="n">
        <v>45640</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40538-2023</t>
        </is>
      </c>
      <c r="B1691" s="1" t="n">
        <v>45170</v>
      </c>
      <c r="C1691" s="1" t="n">
        <v>45640</v>
      </c>
      <c r="D1691" t="inlineStr">
        <is>
          <t>VÄRMLANDS LÄN</t>
        </is>
      </c>
      <c r="E1691" t="inlineStr">
        <is>
          <t>TORSBY</t>
        </is>
      </c>
      <c r="F1691" t="inlineStr">
        <is>
          <t>Bergvik skog väst AB</t>
        </is>
      </c>
      <c r="G1691" t="n">
        <v>31.4</v>
      </c>
      <c r="H1691" t="n">
        <v>0</v>
      </c>
      <c r="I1691" t="n">
        <v>0</v>
      </c>
      <c r="J1691" t="n">
        <v>0</v>
      </c>
      <c r="K1691" t="n">
        <v>0</v>
      </c>
      <c r="L1691" t="n">
        <v>0</v>
      </c>
      <c r="M1691" t="n">
        <v>0</v>
      </c>
      <c r="N1691" t="n">
        <v>0</v>
      </c>
      <c r="O1691" t="n">
        <v>0</v>
      </c>
      <c r="P1691" t="n">
        <v>0</v>
      </c>
      <c r="Q1691" t="n">
        <v>0</v>
      </c>
      <c r="R1691" s="2" t="inlineStr"/>
    </row>
    <row r="1692" ht="15" customHeight="1">
      <c r="A1692" t="inlineStr">
        <is>
          <t>A 41469-2023</t>
        </is>
      </c>
      <c r="B1692" s="1" t="n">
        <v>45170</v>
      </c>
      <c r="C1692" s="1" t="n">
        <v>45640</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40858-2023</t>
        </is>
      </c>
      <c r="B1693" s="1" t="n">
        <v>45173</v>
      </c>
      <c r="C1693" s="1" t="n">
        <v>45640</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45640</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41096-2023</t>
        </is>
      </c>
      <c r="B1695" s="1" t="n">
        <v>45173</v>
      </c>
      <c r="C1695" s="1" t="n">
        <v>45640</v>
      </c>
      <c r="D1695" t="inlineStr">
        <is>
          <t>VÄRMLANDS LÄN</t>
        </is>
      </c>
      <c r="E1695" t="inlineStr">
        <is>
          <t>TORSBY</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41056-2023</t>
        </is>
      </c>
      <c r="B1696" s="1" t="n">
        <v>45173</v>
      </c>
      <c r="C1696" s="1" t="n">
        <v>45640</v>
      </c>
      <c r="D1696" t="inlineStr">
        <is>
          <t>VÄRMLANDS LÄN</t>
        </is>
      </c>
      <c r="E1696" t="inlineStr">
        <is>
          <t>TORSBY</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41022-2023</t>
        </is>
      </c>
      <c r="B1697" s="1" t="n">
        <v>45173</v>
      </c>
      <c r="C1697" s="1" t="n">
        <v>45640</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41050-2023</t>
        </is>
      </c>
      <c r="B1698" s="1" t="n">
        <v>45173</v>
      </c>
      <c r="C1698" s="1" t="n">
        <v>45640</v>
      </c>
      <c r="D1698" t="inlineStr">
        <is>
          <t>VÄRMLANDS LÄN</t>
        </is>
      </c>
      <c r="E1698" t="inlineStr">
        <is>
          <t>TORSBY</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41059-2023</t>
        </is>
      </c>
      <c r="B1699" s="1" t="n">
        <v>45173</v>
      </c>
      <c r="C1699" s="1" t="n">
        <v>45640</v>
      </c>
      <c r="D1699" t="inlineStr">
        <is>
          <t>VÄRMLANDS LÄN</t>
        </is>
      </c>
      <c r="E1699" t="inlineStr">
        <is>
          <t>TORSBY</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41156-2023</t>
        </is>
      </c>
      <c r="B1700" s="1" t="n">
        <v>45174</v>
      </c>
      <c r="C1700" s="1" t="n">
        <v>45640</v>
      </c>
      <c r="D1700" t="inlineStr">
        <is>
          <t>VÄRMLANDS LÄN</t>
        </is>
      </c>
      <c r="E1700" t="inlineStr">
        <is>
          <t>TORSBY</t>
        </is>
      </c>
      <c r="F1700" t="inlineStr">
        <is>
          <t>Kyrkan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41160-2023</t>
        </is>
      </c>
      <c r="B1701" s="1" t="n">
        <v>45174</v>
      </c>
      <c r="C1701" s="1" t="n">
        <v>45640</v>
      </c>
      <c r="D1701" t="inlineStr">
        <is>
          <t>VÄRMLANDS LÄN</t>
        </is>
      </c>
      <c r="E1701" t="inlineStr">
        <is>
          <t>TORSBY</t>
        </is>
      </c>
      <c r="F1701" t="inlineStr">
        <is>
          <t>Kyrkan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41246-2023</t>
        </is>
      </c>
      <c r="B1702" s="1" t="n">
        <v>45174</v>
      </c>
      <c r="C1702" s="1" t="n">
        <v>45640</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41270-2023</t>
        </is>
      </c>
      <c r="B1703" s="1" t="n">
        <v>45174</v>
      </c>
      <c r="C1703" s="1" t="n">
        <v>45640</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42069-2023</t>
        </is>
      </c>
      <c r="B1704" s="1" t="n">
        <v>45174</v>
      </c>
      <c r="C1704" s="1" t="n">
        <v>45640</v>
      </c>
      <c r="D1704" t="inlineStr">
        <is>
          <t>VÄRMLANDS LÄN</t>
        </is>
      </c>
      <c r="E1704" t="inlineStr">
        <is>
          <t>TORSBY</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42060-2023</t>
        </is>
      </c>
      <c r="B1705" s="1" t="n">
        <v>45174</v>
      </c>
      <c r="C1705" s="1" t="n">
        <v>45640</v>
      </c>
      <c r="D1705" t="inlineStr">
        <is>
          <t>VÄRMLANDS LÄN</t>
        </is>
      </c>
      <c r="E1705" t="inlineStr">
        <is>
          <t>TORSBY</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41488-2023</t>
        </is>
      </c>
      <c r="B1706" s="1" t="n">
        <v>45175</v>
      </c>
      <c r="C1706" s="1" t="n">
        <v>45640</v>
      </c>
      <c r="D1706" t="inlineStr">
        <is>
          <t>VÄRMLANDS LÄN</t>
        </is>
      </c>
      <c r="E1706" t="inlineStr">
        <is>
          <t>TORSBY</t>
        </is>
      </c>
      <c r="F1706" t="inlineStr">
        <is>
          <t>Kyrkan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41438-2023</t>
        </is>
      </c>
      <c r="B1707" s="1" t="n">
        <v>45175</v>
      </c>
      <c r="C1707" s="1" t="n">
        <v>45640</v>
      </c>
      <c r="D1707" t="inlineStr">
        <is>
          <t>VÄRMLANDS LÄN</t>
        </is>
      </c>
      <c r="E1707" t="inlineStr">
        <is>
          <t>TORSBY</t>
        </is>
      </c>
      <c r="F1707" t="inlineStr">
        <is>
          <t>Kyrkan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41431-2023</t>
        </is>
      </c>
      <c r="B1708" s="1" t="n">
        <v>45175</v>
      </c>
      <c r="C1708" s="1" t="n">
        <v>45640</v>
      </c>
      <c r="D1708" t="inlineStr">
        <is>
          <t>VÄRMLANDS LÄN</t>
        </is>
      </c>
      <c r="E1708" t="inlineStr">
        <is>
          <t>TORSBY</t>
        </is>
      </c>
      <c r="F1708" t="inlineStr">
        <is>
          <t>Bergvik skog väst AB</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41867-2023</t>
        </is>
      </c>
      <c r="B1709" s="1" t="n">
        <v>45176</v>
      </c>
      <c r="C1709" s="1" t="n">
        <v>45640</v>
      </c>
      <c r="D1709" t="inlineStr">
        <is>
          <t>VÄRMLANDS LÄN</t>
        </is>
      </c>
      <c r="E1709" t="inlineStr">
        <is>
          <t>TORSBY</t>
        </is>
      </c>
      <c r="F1709" t="inlineStr">
        <is>
          <t>Bergvik skog väst AB</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41833-2023</t>
        </is>
      </c>
      <c r="B1710" s="1" t="n">
        <v>45176</v>
      </c>
      <c r="C1710" s="1" t="n">
        <v>45640</v>
      </c>
      <c r="D1710" t="inlineStr">
        <is>
          <t>VÄRMLANDS LÄN</t>
        </is>
      </c>
      <c r="E1710" t="inlineStr">
        <is>
          <t>TORSBY</t>
        </is>
      </c>
      <c r="F1710" t="inlineStr">
        <is>
          <t>Bergvik skog väst AB</t>
        </is>
      </c>
      <c r="G1710" t="n">
        <v>21.7</v>
      </c>
      <c r="H1710" t="n">
        <v>0</v>
      </c>
      <c r="I1710" t="n">
        <v>0</v>
      </c>
      <c r="J1710" t="n">
        <v>0</v>
      </c>
      <c r="K1710" t="n">
        <v>0</v>
      </c>
      <c r="L1710" t="n">
        <v>0</v>
      </c>
      <c r="M1710" t="n">
        <v>0</v>
      </c>
      <c r="N1710" t="n">
        <v>0</v>
      </c>
      <c r="O1710" t="n">
        <v>0</v>
      </c>
      <c r="P1710" t="n">
        <v>0</v>
      </c>
      <c r="Q1710" t="n">
        <v>0</v>
      </c>
      <c r="R1710" s="2" t="inlineStr"/>
    </row>
    <row r="1711" ht="15" customHeight="1">
      <c r="A1711" t="inlineStr">
        <is>
          <t>A 41841-2023</t>
        </is>
      </c>
      <c r="B1711" s="1" t="n">
        <v>45176</v>
      </c>
      <c r="C1711" s="1" t="n">
        <v>45640</v>
      </c>
      <c r="D1711" t="inlineStr">
        <is>
          <t>VÄRMLANDS LÄN</t>
        </is>
      </c>
      <c r="E1711" t="inlineStr">
        <is>
          <t>TORSBY</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41885-2023</t>
        </is>
      </c>
      <c r="B1712" s="1" t="n">
        <v>45176</v>
      </c>
      <c r="C1712" s="1" t="n">
        <v>45640</v>
      </c>
      <c r="D1712" t="inlineStr">
        <is>
          <t>VÄRMLANDS LÄN</t>
        </is>
      </c>
      <c r="E1712" t="inlineStr">
        <is>
          <t>TORSBY</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41843-2023</t>
        </is>
      </c>
      <c r="B1713" s="1" t="n">
        <v>45176</v>
      </c>
      <c r="C1713" s="1" t="n">
        <v>45640</v>
      </c>
      <c r="D1713" t="inlineStr">
        <is>
          <t>VÄRMLANDS LÄN</t>
        </is>
      </c>
      <c r="E1713" t="inlineStr">
        <is>
          <t>TORSBY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41868-2023</t>
        </is>
      </c>
      <c r="B1714" s="1" t="n">
        <v>45176</v>
      </c>
      <c r="C1714" s="1" t="n">
        <v>45640</v>
      </c>
      <c r="D1714" t="inlineStr">
        <is>
          <t>VÄRMLANDS LÄN</t>
        </is>
      </c>
      <c r="E1714" t="inlineStr">
        <is>
          <t>TORSBY</t>
        </is>
      </c>
      <c r="F1714" t="inlineStr">
        <is>
          <t>Bergvik skog väst AB</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42062-2023</t>
        </is>
      </c>
      <c r="B1715" s="1" t="n">
        <v>45177</v>
      </c>
      <c r="C1715" s="1" t="n">
        <v>45640</v>
      </c>
      <c r="D1715" t="inlineStr">
        <is>
          <t>VÄRMLANDS LÄN</t>
        </is>
      </c>
      <c r="E1715" t="inlineStr">
        <is>
          <t>TORSBY</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42245-2023</t>
        </is>
      </c>
      <c r="B1716" s="1" t="n">
        <v>45180</v>
      </c>
      <c r="C1716" s="1" t="n">
        <v>45640</v>
      </c>
      <c r="D1716" t="inlineStr">
        <is>
          <t>VÄRMLANDS LÄN</t>
        </is>
      </c>
      <c r="E1716" t="inlineStr">
        <is>
          <t>TORSBY</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42473-2023</t>
        </is>
      </c>
      <c r="B1717" s="1" t="n">
        <v>45180</v>
      </c>
      <c r="C1717" s="1" t="n">
        <v>45640</v>
      </c>
      <c r="D1717" t="inlineStr">
        <is>
          <t>VÄRMLANDS LÄN</t>
        </is>
      </c>
      <c r="E1717" t="inlineStr">
        <is>
          <t>TORSBY</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42403-2023</t>
        </is>
      </c>
      <c r="B1718" s="1" t="n">
        <v>45180</v>
      </c>
      <c r="C1718" s="1" t="n">
        <v>45640</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42420-2023</t>
        </is>
      </c>
      <c r="B1719" s="1" t="n">
        <v>45180</v>
      </c>
      <c r="C1719" s="1" t="n">
        <v>45640</v>
      </c>
      <c r="D1719" t="inlineStr">
        <is>
          <t>VÄRMLANDS LÄN</t>
        </is>
      </c>
      <c r="E1719" t="inlineStr">
        <is>
          <t>TORSBY</t>
        </is>
      </c>
      <c r="F1719" t="inlineStr">
        <is>
          <t>Bergvik skog väst AB</t>
        </is>
      </c>
      <c r="G1719" t="n">
        <v>19.9</v>
      </c>
      <c r="H1719" t="n">
        <v>0</v>
      </c>
      <c r="I1719" t="n">
        <v>0</v>
      </c>
      <c r="J1719" t="n">
        <v>0</v>
      </c>
      <c r="K1719" t="n">
        <v>0</v>
      </c>
      <c r="L1719" t="n">
        <v>0</v>
      </c>
      <c r="M1719" t="n">
        <v>0</v>
      </c>
      <c r="N1719" t="n">
        <v>0</v>
      </c>
      <c r="O1719" t="n">
        <v>0</v>
      </c>
      <c r="P1719" t="n">
        <v>0</v>
      </c>
      <c r="Q1719" t="n">
        <v>0</v>
      </c>
      <c r="R1719" s="2" t="inlineStr"/>
    </row>
    <row r="1720" ht="15" customHeight="1">
      <c r="A1720" t="inlineStr">
        <is>
          <t>A 43532-2023</t>
        </is>
      </c>
      <c r="B1720" s="1" t="n">
        <v>45181</v>
      </c>
      <c r="C1720" s="1" t="n">
        <v>45640</v>
      </c>
      <c r="D1720" t="inlineStr">
        <is>
          <t>VÄRMLANDS LÄN</t>
        </is>
      </c>
      <c r="E1720" t="inlineStr">
        <is>
          <t>TORSBY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43529-2023</t>
        </is>
      </c>
      <c r="B1721" s="1" t="n">
        <v>45181</v>
      </c>
      <c r="C1721" s="1" t="n">
        <v>45640</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43527-2023</t>
        </is>
      </c>
      <c r="B1722" s="1" t="n">
        <v>45181</v>
      </c>
      <c r="C1722" s="1" t="n">
        <v>45640</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43536-2023</t>
        </is>
      </c>
      <c r="B1723" s="1" t="n">
        <v>45181</v>
      </c>
      <c r="C1723" s="1" t="n">
        <v>45640</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43528-2023</t>
        </is>
      </c>
      <c r="B1724" s="1" t="n">
        <v>45181</v>
      </c>
      <c r="C1724" s="1" t="n">
        <v>45640</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42645-2023</t>
        </is>
      </c>
      <c r="B1725" s="1" t="n">
        <v>45181</v>
      </c>
      <c r="C1725" s="1" t="n">
        <v>45640</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42652-2023</t>
        </is>
      </c>
      <c r="B1726" s="1" t="n">
        <v>45181</v>
      </c>
      <c r="C1726" s="1" t="n">
        <v>45640</v>
      </c>
      <c r="D1726" t="inlineStr">
        <is>
          <t>VÄRMLANDS LÄN</t>
        </is>
      </c>
      <c r="E1726" t="inlineStr">
        <is>
          <t>TORSBY</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42656-2023</t>
        </is>
      </c>
      <c r="B1727" s="1" t="n">
        <v>45181</v>
      </c>
      <c r="C1727" s="1" t="n">
        <v>45640</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42581-2023</t>
        </is>
      </c>
      <c r="B1728" s="1" t="n">
        <v>45181</v>
      </c>
      <c r="C1728" s="1" t="n">
        <v>45640</v>
      </c>
      <c r="D1728" t="inlineStr">
        <is>
          <t>VÄRMLANDS LÄN</t>
        </is>
      </c>
      <c r="E1728" t="inlineStr">
        <is>
          <t>TORSBY</t>
        </is>
      </c>
      <c r="G1728" t="n">
        <v>17.6</v>
      </c>
      <c r="H1728" t="n">
        <v>0</v>
      </c>
      <c r="I1728" t="n">
        <v>0</v>
      </c>
      <c r="J1728" t="n">
        <v>0</v>
      </c>
      <c r="K1728" t="n">
        <v>0</v>
      </c>
      <c r="L1728" t="n">
        <v>0</v>
      </c>
      <c r="M1728" t="n">
        <v>0</v>
      </c>
      <c r="N1728" t="n">
        <v>0</v>
      </c>
      <c r="O1728" t="n">
        <v>0</v>
      </c>
      <c r="P1728" t="n">
        <v>0</v>
      </c>
      <c r="Q1728" t="n">
        <v>0</v>
      </c>
      <c r="R1728" s="2" t="inlineStr"/>
    </row>
    <row r="1729" ht="15" customHeight="1">
      <c r="A1729" t="inlineStr">
        <is>
          <t>A 42613-2023</t>
        </is>
      </c>
      <c r="B1729" s="1" t="n">
        <v>45181</v>
      </c>
      <c r="C1729" s="1" t="n">
        <v>45640</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42635-2023</t>
        </is>
      </c>
      <c r="B1730" s="1" t="n">
        <v>45181</v>
      </c>
      <c r="C1730" s="1" t="n">
        <v>45640</v>
      </c>
      <c r="D1730" t="inlineStr">
        <is>
          <t>VÄRMLANDS LÄN</t>
        </is>
      </c>
      <c r="E1730" t="inlineStr">
        <is>
          <t>TORSBY</t>
        </is>
      </c>
      <c r="G1730" t="n">
        <v>16.1</v>
      </c>
      <c r="H1730" t="n">
        <v>0</v>
      </c>
      <c r="I1730" t="n">
        <v>0</v>
      </c>
      <c r="J1730" t="n">
        <v>0</v>
      </c>
      <c r="K1730" t="n">
        <v>0</v>
      </c>
      <c r="L1730" t="n">
        <v>0</v>
      </c>
      <c r="M1730" t="n">
        <v>0</v>
      </c>
      <c r="N1730" t="n">
        <v>0</v>
      </c>
      <c r="O1730" t="n">
        <v>0</v>
      </c>
      <c r="P1730" t="n">
        <v>0</v>
      </c>
      <c r="Q1730" t="n">
        <v>0</v>
      </c>
      <c r="R1730" s="2" t="inlineStr"/>
    </row>
    <row r="1731" ht="15" customHeight="1">
      <c r="A1731" t="inlineStr">
        <is>
          <t>A 42658-2023</t>
        </is>
      </c>
      <c r="B1731" s="1" t="n">
        <v>45181</v>
      </c>
      <c r="C1731" s="1" t="n">
        <v>45640</v>
      </c>
      <c r="D1731" t="inlineStr">
        <is>
          <t>VÄRMLANDS LÄN</t>
        </is>
      </c>
      <c r="E1731" t="inlineStr">
        <is>
          <t>TORSBY</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42710-2023</t>
        </is>
      </c>
      <c r="B1732" s="1" t="n">
        <v>45181</v>
      </c>
      <c r="C1732" s="1" t="n">
        <v>45640</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42632-2023</t>
        </is>
      </c>
      <c r="B1733" s="1" t="n">
        <v>45181</v>
      </c>
      <c r="C1733" s="1" t="n">
        <v>45640</v>
      </c>
      <c r="D1733" t="inlineStr">
        <is>
          <t>VÄRMLANDS LÄN</t>
        </is>
      </c>
      <c r="E1733" t="inlineStr">
        <is>
          <t>TORSBY</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42944-2023</t>
        </is>
      </c>
      <c r="B1734" s="1" t="n">
        <v>45182</v>
      </c>
      <c r="C1734" s="1" t="n">
        <v>45640</v>
      </c>
      <c r="D1734" t="inlineStr">
        <is>
          <t>VÄRMLANDS LÄN</t>
        </is>
      </c>
      <c r="E1734" t="inlineStr">
        <is>
          <t>TORSBY</t>
        </is>
      </c>
      <c r="F1734" t="inlineStr">
        <is>
          <t>Bergvik skog väst AB</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43084-2023</t>
        </is>
      </c>
      <c r="B1735" s="1" t="n">
        <v>45182</v>
      </c>
      <c r="C1735" s="1" t="n">
        <v>45640</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45640</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44094-2023</t>
        </is>
      </c>
      <c r="B1737" s="1" t="n">
        <v>45182</v>
      </c>
      <c r="C1737" s="1" t="n">
        <v>45640</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43179-2023</t>
        </is>
      </c>
      <c r="B1738" s="1" t="n">
        <v>45183</v>
      </c>
      <c r="C1738" s="1" t="n">
        <v>45640</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43361-2023</t>
        </is>
      </c>
      <c r="B1739" s="1" t="n">
        <v>45183</v>
      </c>
      <c r="C1739" s="1" t="n">
        <v>45640</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43540-2023</t>
        </is>
      </c>
      <c r="B1740" s="1" t="n">
        <v>45184</v>
      </c>
      <c r="C1740" s="1" t="n">
        <v>45640</v>
      </c>
      <c r="D1740" t="inlineStr">
        <is>
          <t>VÄRMLANDS LÄN</t>
        </is>
      </c>
      <c r="E1740" t="inlineStr">
        <is>
          <t>TORSBY</t>
        </is>
      </c>
      <c r="F1740" t="inlineStr">
        <is>
          <t>Bergvik skog väst AB</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43562-2023</t>
        </is>
      </c>
      <c r="B1741" s="1" t="n">
        <v>45184</v>
      </c>
      <c r="C1741" s="1" t="n">
        <v>45640</v>
      </c>
      <c r="D1741" t="inlineStr">
        <is>
          <t>VÄRMLANDS LÄN</t>
        </is>
      </c>
      <c r="E1741" t="inlineStr">
        <is>
          <t>TORSBY</t>
        </is>
      </c>
      <c r="F1741" t="inlineStr">
        <is>
          <t>Kommuner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43599-2023</t>
        </is>
      </c>
      <c r="B1742" s="1" t="n">
        <v>45184</v>
      </c>
      <c r="C1742" s="1" t="n">
        <v>45640</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43663-2023</t>
        </is>
      </c>
      <c r="B1743" s="1" t="n">
        <v>45187</v>
      </c>
      <c r="C1743" s="1" t="n">
        <v>45640</v>
      </c>
      <c r="D1743" t="inlineStr">
        <is>
          <t>VÄRMLANDS LÄN</t>
        </is>
      </c>
      <c r="E1743" t="inlineStr">
        <is>
          <t>TORSBY</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43670-2023</t>
        </is>
      </c>
      <c r="B1744" s="1" t="n">
        <v>45187</v>
      </c>
      <c r="C1744" s="1" t="n">
        <v>45640</v>
      </c>
      <c r="D1744" t="inlineStr">
        <is>
          <t>VÄRMLANDS LÄN</t>
        </is>
      </c>
      <c r="E1744" t="inlineStr">
        <is>
          <t>TORSBY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44047-2023</t>
        </is>
      </c>
      <c r="B1745" s="1" t="n">
        <v>45188</v>
      </c>
      <c r="C1745" s="1" t="n">
        <v>45640</v>
      </c>
      <c r="D1745" t="inlineStr">
        <is>
          <t>VÄRMLANDS LÄN</t>
        </is>
      </c>
      <c r="E1745" t="inlineStr">
        <is>
          <t>TORSBY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44150-2023</t>
        </is>
      </c>
      <c r="B1746" s="1" t="n">
        <v>45188</v>
      </c>
      <c r="C1746" s="1" t="n">
        <v>45640</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44044-2023</t>
        </is>
      </c>
      <c r="B1747" s="1" t="n">
        <v>45188</v>
      </c>
      <c r="C1747" s="1" t="n">
        <v>45640</v>
      </c>
      <c r="D1747" t="inlineStr">
        <is>
          <t>VÄRMLANDS LÄN</t>
        </is>
      </c>
      <c r="E1747" t="inlineStr">
        <is>
          <t>TORSBY</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44127-2023</t>
        </is>
      </c>
      <c r="B1748" s="1" t="n">
        <v>45188</v>
      </c>
      <c r="C1748" s="1" t="n">
        <v>45640</v>
      </c>
      <c r="D1748" t="inlineStr">
        <is>
          <t>VÄRMLANDS LÄN</t>
        </is>
      </c>
      <c r="E1748" t="inlineStr">
        <is>
          <t>TORSBY</t>
        </is>
      </c>
      <c r="F1748" t="inlineStr">
        <is>
          <t>Bergvik skog väst AB</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44262-2023</t>
        </is>
      </c>
      <c r="B1749" s="1" t="n">
        <v>45188</v>
      </c>
      <c r="C1749" s="1" t="n">
        <v>45640</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44113-2023</t>
        </is>
      </c>
      <c r="B1750" s="1" t="n">
        <v>45188</v>
      </c>
      <c r="C1750" s="1" t="n">
        <v>45640</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44424-2023</t>
        </is>
      </c>
      <c r="B1751" s="1" t="n">
        <v>45189</v>
      </c>
      <c r="C1751" s="1" t="n">
        <v>45640</v>
      </c>
      <c r="D1751" t="inlineStr">
        <is>
          <t>VÄRMLANDS LÄN</t>
        </is>
      </c>
      <c r="E1751" t="inlineStr">
        <is>
          <t>TORSBY</t>
        </is>
      </c>
      <c r="F1751" t="inlineStr">
        <is>
          <t>Kyrkan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44497-2023</t>
        </is>
      </c>
      <c r="B1752" s="1" t="n">
        <v>45189</v>
      </c>
      <c r="C1752" s="1" t="n">
        <v>45640</v>
      </c>
      <c r="D1752" t="inlineStr">
        <is>
          <t>VÄRMLANDS LÄN</t>
        </is>
      </c>
      <c r="E1752" t="inlineStr">
        <is>
          <t>TORSBY</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44562-2023</t>
        </is>
      </c>
      <c r="B1753" s="1" t="n">
        <v>45189</v>
      </c>
      <c r="C1753" s="1" t="n">
        <v>45640</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44641-2023</t>
        </is>
      </c>
      <c r="B1754" s="1" t="n">
        <v>45189</v>
      </c>
      <c r="C1754" s="1" t="n">
        <v>45640</v>
      </c>
      <c r="D1754" t="inlineStr">
        <is>
          <t>VÄRMLANDS LÄN</t>
        </is>
      </c>
      <c r="E1754" t="inlineStr">
        <is>
          <t>TORSBY</t>
        </is>
      </c>
      <c r="F1754" t="inlineStr">
        <is>
          <t>Bergvik skog väst AB</t>
        </is>
      </c>
      <c r="G1754" t="n">
        <v>20.3</v>
      </c>
      <c r="H1754" t="n">
        <v>0</v>
      </c>
      <c r="I1754" t="n">
        <v>0</v>
      </c>
      <c r="J1754" t="n">
        <v>0</v>
      </c>
      <c r="K1754" t="n">
        <v>0</v>
      </c>
      <c r="L1754" t="n">
        <v>0</v>
      </c>
      <c r="M1754" t="n">
        <v>0</v>
      </c>
      <c r="N1754" t="n">
        <v>0</v>
      </c>
      <c r="O1754" t="n">
        <v>0</v>
      </c>
      <c r="P1754" t="n">
        <v>0</v>
      </c>
      <c r="Q1754" t="n">
        <v>0</v>
      </c>
      <c r="R1754" s="2" t="inlineStr"/>
    </row>
    <row r="1755" ht="15" customHeight="1">
      <c r="A1755" t="inlineStr">
        <is>
          <t>A 44645-2023</t>
        </is>
      </c>
      <c r="B1755" s="1" t="n">
        <v>45189</v>
      </c>
      <c r="C1755" s="1" t="n">
        <v>45640</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44670-2023</t>
        </is>
      </c>
      <c r="B1756" s="1" t="n">
        <v>45189</v>
      </c>
      <c r="C1756" s="1" t="n">
        <v>45640</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44710-2023</t>
        </is>
      </c>
      <c r="B1757" s="1" t="n">
        <v>45190</v>
      </c>
      <c r="C1757" s="1" t="n">
        <v>45640</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44730-2023</t>
        </is>
      </c>
      <c r="B1758" s="1" t="n">
        <v>45190</v>
      </c>
      <c r="C1758" s="1" t="n">
        <v>45640</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45224-2023</t>
        </is>
      </c>
      <c r="B1759" s="1" t="n">
        <v>45191</v>
      </c>
      <c r="C1759" s="1" t="n">
        <v>45640</v>
      </c>
      <c r="D1759" t="inlineStr">
        <is>
          <t>VÄRMLANDS LÄN</t>
        </is>
      </c>
      <c r="E1759" t="inlineStr">
        <is>
          <t>TORSBY</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45041-2023</t>
        </is>
      </c>
      <c r="B1760" s="1" t="n">
        <v>45191</v>
      </c>
      <c r="C1760" s="1" t="n">
        <v>45640</v>
      </c>
      <c r="D1760" t="inlineStr">
        <is>
          <t>VÄRMLANDS LÄN</t>
        </is>
      </c>
      <c r="E1760" t="inlineStr">
        <is>
          <t>TORSBY</t>
        </is>
      </c>
      <c r="F1760" t="inlineStr">
        <is>
          <t>Kyrkan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45152-2023</t>
        </is>
      </c>
      <c r="B1761" s="1" t="n">
        <v>45191</v>
      </c>
      <c r="C1761" s="1" t="n">
        <v>45640</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45169-2023</t>
        </is>
      </c>
      <c r="B1762" s="1" t="n">
        <v>45191</v>
      </c>
      <c r="C1762" s="1" t="n">
        <v>45640</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45231-2023</t>
        </is>
      </c>
      <c r="B1763" s="1" t="n">
        <v>45191</v>
      </c>
      <c r="C1763" s="1" t="n">
        <v>45640</v>
      </c>
      <c r="D1763" t="inlineStr">
        <is>
          <t>VÄRMLANDS LÄN</t>
        </is>
      </c>
      <c r="E1763" t="inlineStr">
        <is>
          <t>TORSBY</t>
        </is>
      </c>
      <c r="F1763" t="inlineStr">
        <is>
          <t>Bergvik skog väst AB</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45228-2023</t>
        </is>
      </c>
      <c r="B1764" s="1" t="n">
        <v>45191</v>
      </c>
      <c r="C1764" s="1" t="n">
        <v>45640</v>
      </c>
      <c r="D1764" t="inlineStr">
        <is>
          <t>VÄRMLANDS LÄN</t>
        </is>
      </c>
      <c r="E1764" t="inlineStr">
        <is>
          <t>TORSBY</t>
        </is>
      </c>
      <c r="F1764" t="inlineStr">
        <is>
          <t>Bergvik skog väst AB</t>
        </is>
      </c>
      <c r="G1764" t="n">
        <v>26.8</v>
      </c>
      <c r="H1764" t="n">
        <v>0</v>
      </c>
      <c r="I1764" t="n">
        <v>0</v>
      </c>
      <c r="J1764" t="n">
        <v>0</v>
      </c>
      <c r="K1764" t="n">
        <v>0</v>
      </c>
      <c r="L1764" t="n">
        <v>0</v>
      </c>
      <c r="M1764" t="n">
        <v>0</v>
      </c>
      <c r="N1764" t="n">
        <v>0</v>
      </c>
      <c r="O1764" t="n">
        <v>0</v>
      </c>
      <c r="P1764" t="n">
        <v>0</v>
      </c>
      <c r="Q1764" t="n">
        <v>0</v>
      </c>
      <c r="R1764" s="2" t="inlineStr"/>
    </row>
    <row r="1765" ht="15" customHeight="1">
      <c r="A1765" t="inlineStr">
        <is>
          <t>A 45587-2023</t>
        </is>
      </c>
      <c r="B1765" s="1" t="n">
        <v>45194</v>
      </c>
      <c r="C1765" s="1" t="n">
        <v>45640</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45399-2023</t>
        </is>
      </c>
      <c r="B1766" s="1" t="n">
        <v>45194</v>
      </c>
      <c r="C1766" s="1" t="n">
        <v>45640</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45563-2023</t>
        </is>
      </c>
      <c r="B1767" s="1" t="n">
        <v>45194</v>
      </c>
      <c r="C1767" s="1" t="n">
        <v>45640</v>
      </c>
      <c r="D1767" t="inlineStr">
        <is>
          <t>VÄRMLANDS LÄN</t>
        </is>
      </c>
      <c r="E1767" t="inlineStr">
        <is>
          <t>TORSBY</t>
        </is>
      </c>
      <c r="F1767" t="inlineStr">
        <is>
          <t>Bergvik skog väst AB</t>
        </is>
      </c>
      <c r="G1767" t="n">
        <v>22.6</v>
      </c>
      <c r="H1767" t="n">
        <v>0</v>
      </c>
      <c r="I1767" t="n">
        <v>0</v>
      </c>
      <c r="J1767" t="n">
        <v>0</v>
      </c>
      <c r="K1767" t="n">
        <v>0</v>
      </c>
      <c r="L1767" t="n">
        <v>0</v>
      </c>
      <c r="M1767" t="n">
        <v>0</v>
      </c>
      <c r="N1767" t="n">
        <v>0</v>
      </c>
      <c r="O1767" t="n">
        <v>0</v>
      </c>
      <c r="P1767" t="n">
        <v>0</v>
      </c>
      <c r="Q1767" t="n">
        <v>0</v>
      </c>
      <c r="R1767" s="2" t="inlineStr"/>
    </row>
    <row r="1768" ht="15" customHeight="1">
      <c r="A1768" t="inlineStr">
        <is>
          <t>A 45765-2023</t>
        </is>
      </c>
      <c r="B1768" s="1" t="n">
        <v>45195</v>
      </c>
      <c r="C1768" s="1" t="n">
        <v>45640</v>
      </c>
      <c r="D1768" t="inlineStr">
        <is>
          <t>VÄRMLANDS LÄN</t>
        </is>
      </c>
      <c r="E1768" t="inlineStr">
        <is>
          <t>TORSBY</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45872-2023</t>
        </is>
      </c>
      <c r="B1769" s="1" t="n">
        <v>45195</v>
      </c>
      <c r="C1769" s="1" t="n">
        <v>45640</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45775-2023</t>
        </is>
      </c>
      <c r="B1770" s="1" t="n">
        <v>45195</v>
      </c>
      <c r="C1770" s="1" t="n">
        <v>45640</v>
      </c>
      <c r="D1770" t="inlineStr">
        <is>
          <t>VÄRMLANDS LÄN</t>
        </is>
      </c>
      <c r="E1770" t="inlineStr">
        <is>
          <t>TORSBY</t>
        </is>
      </c>
      <c r="F1770" t="inlineStr">
        <is>
          <t>Bergvik skog väst AB</t>
        </is>
      </c>
      <c r="G1770" t="n">
        <v>34.2</v>
      </c>
      <c r="H1770" t="n">
        <v>0</v>
      </c>
      <c r="I1770" t="n">
        <v>0</v>
      </c>
      <c r="J1770" t="n">
        <v>0</v>
      </c>
      <c r="K1770" t="n">
        <v>0</v>
      </c>
      <c r="L1770" t="n">
        <v>0</v>
      </c>
      <c r="M1770" t="n">
        <v>0</v>
      </c>
      <c r="N1770" t="n">
        <v>0</v>
      </c>
      <c r="O1770" t="n">
        <v>0</v>
      </c>
      <c r="P1770" t="n">
        <v>0</v>
      </c>
      <c r="Q1770" t="n">
        <v>0</v>
      </c>
      <c r="R1770" s="2" t="inlineStr"/>
    </row>
    <row r="1771" ht="15" customHeight="1">
      <c r="A1771" t="inlineStr">
        <is>
          <t>A 46003-2023</t>
        </is>
      </c>
      <c r="B1771" s="1" t="n">
        <v>45196</v>
      </c>
      <c r="C1771" s="1" t="n">
        <v>45640</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46048-2023</t>
        </is>
      </c>
      <c r="B1772" s="1" t="n">
        <v>45196</v>
      </c>
      <c r="C1772" s="1" t="n">
        <v>45640</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46001-2023</t>
        </is>
      </c>
      <c r="B1773" s="1" t="n">
        <v>45196</v>
      </c>
      <c r="C1773" s="1" t="n">
        <v>45640</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46202-2023</t>
        </is>
      </c>
      <c r="B1774" s="1" t="n">
        <v>45196</v>
      </c>
      <c r="C1774" s="1" t="n">
        <v>45640</v>
      </c>
      <c r="D1774" t="inlineStr">
        <is>
          <t>VÄRMLANDS LÄN</t>
        </is>
      </c>
      <c r="E1774" t="inlineStr">
        <is>
          <t>TORSBY</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46233-2023</t>
        </is>
      </c>
      <c r="B1775" s="1" t="n">
        <v>45196</v>
      </c>
      <c r="C1775" s="1" t="n">
        <v>45640</v>
      </c>
      <c r="D1775" t="inlineStr">
        <is>
          <t>VÄRMLANDS LÄN</t>
        </is>
      </c>
      <c r="E1775" t="inlineStr">
        <is>
          <t>TORSBY</t>
        </is>
      </c>
      <c r="F1775" t="inlineStr">
        <is>
          <t>Kyrkan</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46127-2023</t>
        </is>
      </c>
      <c r="B1776" s="1" t="n">
        <v>45196</v>
      </c>
      <c r="C1776" s="1" t="n">
        <v>45640</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46199-2023</t>
        </is>
      </c>
      <c r="B1777" s="1" t="n">
        <v>45196</v>
      </c>
      <c r="C1777" s="1" t="n">
        <v>45640</v>
      </c>
      <c r="D1777" t="inlineStr">
        <is>
          <t>VÄRMLANDS LÄN</t>
        </is>
      </c>
      <c r="E1777" t="inlineStr">
        <is>
          <t>TORSBY</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46220-2023</t>
        </is>
      </c>
      <c r="B1778" s="1" t="n">
        <v>45196</v>
      </c>
      <c r="C1778" s="1" t="n">
        <v>45640</v>
      </c>
      <c r="D1778" t="inlineStr">
        <is>
          <t>VÄRMLANDS LÄN</t>
        </is>
      </c>
      <c r="E1778" t="inlineStr">
        <is>
          <t>TORSBY</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46156-2023</t>
        </is>
      </c>
      <c r="B1779" s="1" t="n">
        <v>45196</v>
      </c>
      <c r="C1779" s="1" t="n">
        <v>45640</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46180-2023</t>
        </is>
      </c>
      <c r="B1780" s="1" t="n">
        <v>45196</v>
      </c>
      <c r="C1780" s="1" t="n">
        <v>45640</v>
      </c>
      <c r="D1780" t="inlineStr">
        <is>
          <t>VÄRMLANDS LÄN</t>
        </is>
      </c>
      <c r="E1780" t="inlineStr">
        <is>
          <t>TORSBY</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46195-2023</t>
        </is>
      </c>
      <c r="B1781" s="1" t="n">
        <v>45196</v>
      </c>
      <c r="C1781" s="1" t="n">
        <v>45640</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46221-2023</t>
        </is>
      </c>
      <c r="B1782" s="1" t="n">
        <v>45196</v>
      </c>
      <c r="C1782" s="1" t="n">
        <v>45640</v>
      </c>
      <c r="D1782" t="inlineStr">
        <is>
          <t>VÄRMLANDS LÄN</t>
        </is>
      </c>
      <c r="E1782" t="inlineStr">
        <is>
          <t>TORSBY</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47227-2023</t>
        </is>
      </c>
      <c r="B1783" s="1" t="n">
        <v>45196</v>
      </c>
      <c r="C1783" s="1" t="n">
        <v>45640</v>
      </c>
      <c r="D1783" t="inlineStr">
        <is>
          <t>VÄRMLANDS LÄN</t>
        </is>
      </c>
      <c r="E1783" t="inlineStr">
        <is>
          <t>TORSBY</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46424-2023</t>
        </is>
      </c>
      <c r="B1784" s="1" t="n">
        <v>45197</v>
      </c>
      <c r="C1784" s="1" t="n">
        <v>45640</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46449-2023</t>
        </is>
      </c>
      <c r="B1785" s="1" t="n">
        <v>45197</v>
      </c>
      <c r="C1785" s="1" t="n">
        <v>45640</v>
      </c>
      <c r="D1785" t="inlineStr">
        <is>
          <t>VÄRMLANDS LÄN</t>
        </is>
      </c>
      <c r="E1785" t="inlineStr">
        <is>
          <t>TORSBY</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46509-2023</t>
        </is>
      </c>
      <c r="B1786" s="1" t="n">
        <v>45197</v>
      </c>
      <c r="C1786" s="1" t="n">
        <v>45640</v>
      </c>
      <c r="D1786" t="inlineStr">
        <is>
          <t>VÄRMLANDS LÄN</t>
        </is>
      </c>
      <c r="E1786" t="inlineStr">
        <is>
          <t>TORSBY</t>
        </is>
      </c>
      <c r="F1786" t="inlineStr">
        <is>
          <t>Bergvik skog väst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46489-2023</t>
        </is>
      </c>
      <c r="B1787" s="1" t="n">
        <v>45197</v>
      </c>
      <c r="C1787" s="1" t="n">
        <v>45640</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47119-2023</t>
        </is>
      </c>
      <c r="B1788" s="1" t="n">
        <v>45201</v>
      </c>
      <c r="C1788" s="1" t="n">
        <v>45640</v>
      </c>
      <c r="D1788" t="inlineStr">
        <is>
          <t>VÄRMLANDS LÄN</t>
        </is>
      </c>
      <c r="E1788" t="inlineStr">
        <is>
          <t>TORSBY</t>
        </is>
      </c>
      <c r="F1788" t="inlineStr">
        <is>
          <t>Bergvik skog väst AB</t>
        </is>
      </c>
      <c r="G1788" t="n">
        <v>18.7</v>
      </c>
      <c r="H1788" t="n">
        <v>0</v>
      </c>
      <c r="I1788" t="n">
        <v>0</v>
      </c>
      <c r="J1788" t="n">
        <v>0</v>
      </c>
      <c r="K1788" t="n">
        <v>0</v>
      </c>
      <c r="L1788" t="n">
        <v>0</v>
      </c>
      <c r="M1788" t="n">
        <v>0</v>
      </c>
      <c r="N1788" t="n">
        <v>0</v>
      </c>
      <c r="O1788" t="n">
        <v>0</v>
      </c>
      <c r="P1788" t="n">
        <v>0</v>
      </c>
      <c r="Q1788" t="n">
        <v>0</v>
      </c>
      <c r="R1788" s="2" t="inlineStr"/>
    </row>
    <row r="1789" ht="15" customHeight="1">
      <c r="A1789" t="inlineStr">
        <is>
          <t>A 46880-2023</t>
        </is>
      </c>
      <c r="B1789" s="1" t="n">
        <v>45201</v>
      </c>
      <c r="C1789" s="1" t="n">
        <v>45640</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46938-2023</t>
        </is>
      </c>
      <c r="B1790" s="1" t="n">
        <v>45201</v>
      </c>
      <c r="C1790" s="1" t="n">
        <v>45640</v>
      </c>
      <c r="D1790" t="inlineStr">
        <is>
          <t>VÄRMLANDS LÄN</t>
        </is>
      </c>
      <c r="E1790" t="inlineStr">
        <is>
          <t>TORSBY</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47077-2023</t>
        </is>
      </c>
      <c r="B1791" s="1" t="n">
        <v>45201</v>
      </c>
      <c r="C1791" s="1" t="n">
        <v>45640</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47275-2023</t>
        </is>
      </c>
      <c r="B1792" s="1" t="n">
        <v>45202</v>
      </c>
      <c r="C1792" s="1" t="n">
        <v>45640</v>
      </c>
      <c r="D1792" t="inlineStr">
        <is>
          <t>VÄRMLANDS LÄN</t>
        </is>
      </c>
      <c r="E1792" t="inlineStr">
        <is>
          <t>TORSBY</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47241-2023</t>
        </is>
      </c>
      <c r="B1793" s="1" t="n">
        <v>45202</v>
      </c>
      <c r="C1793" s="1" t="n">
        <v>45640</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47355-2023</t>
        </is>
      </c>
      <c r="B1794" s="1" t="n">
        <v>45202</v>
      </c>
      <c r="C1794" s="1" t="n">
        <v>45640</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47401-2023</t>
        </is>
      </c>
      <c r="B1795" s="1" t="n">
        <v>45202</v>
      </c>
      <c r="C1795" s="1" t="n">
        <v>45640</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47737-2023</t>
        </is>
      </c>
      <c r="B1796" s="1" t="n">
        <v>45203</v>
      </c>
      <c r="C1796" s="1" t="n">
        <v>45640</v>
      </c>
      <c r="D1796" t="inlineStr">
        <is>
          <t>VÄRMLANDS LÄN</t>
        </is>
      </c>
      <c r="E1796" t="inlineStr">
        <is>
          <t>TORSBY</t>
        </is>
      </c>
      <c r="F1796" t="inlineStr">
        <is>
          <t>Bergvik skog väst AB</t>
        </is>
      </c>
      <c r="G1796" t="n">
        <v>24.4</v>
      </c>
      <c r="H1796" t="n">
        <v>0</v>
      </c>
      <c r="I1796" t="n">
        <v>0</v>
      </c>
      <c r="J1796" t="n">
        <v>0</v>
      </c>
      <c r="K1796" t="n">
        <v>0</v>
      </c>
      <c r="L1796" t="n">
        <v>0</v>
      </c>
      <c r="M1796" t="n">
        <v>0</v>
      </c>
      <c r="N1796" t="n">
        <v>0</v>
      </c>
      <c r="O1796" t="n">
        <v>0</v>
      </c>
      <c r="P1796" t="n">
        <v>0</v>
      </c>
      <c r="Q1796" t="n">
        <v>0</v>
      </c>
      <c r="R1796" s="2" t="inlineStr"/>
    </row>
    <row r="1797" ht="15" customHeight="1">
      <c r="A1797" t="inlineStr">
        <is>
          <t>A 47615-2023</t>
        </is>
      </c>
      <c r="B1797" s="1" t="n">
        <v>45203</v>
      </c>
      <c r="C1797" s="1" t="n">
        <v>45640</v>
      </c>
      <c r="D1797" t="inlineStr">
        <is>
          <t>VÄRMLANDS LÄN</t>
        </is>
      </c>
      <c r="E1797" t="inlineStr">
        <is>
          <t>TORSBY</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47730-2023</t>
        </is>
      </c>
      <c r="B1798" s="1" t="n">
        <v>45203</v>
      </c>
      <c r="C1798" s="1" t="n">
        <v>45640</v>
      </c>
      <c r="D1798" t="inlineStr">
        <is>
          <t>VÄRMLANDS LÄN</t>
        </is>
      </c>
      <c r="E1798" t="inlineStr">
        <is>
          <t>TORSBY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47734-2023</t>
        </is>
      </c>
      <c r="B1799" s="1" t="n">
        <v>45203</v>
      </c>
      <c r="C1799" s="1" t="n">
        <v>45640</v>
      </c>
      <c r="D1799" t="inlineStr">
        <is>
          <t>VÄRMLANDS LÄN</t>
        </is>
      </c>
      <c r="E1799" t="inlineStr">
        <is>
          <t>TORSBY</t>
        </is>
      </c>
      <c r="F1799" t="inlineStr">
        <is>
          <t>Bergvik skog väst AB</t>
        </is>
      </c>
      <c r="G1799" t="n">
        <v>23.3</v>
      </c>
      <c r="H1799" t="n">
        <v>0</v>
      </c>
      <c r="I1799" t="n">
        <v>0</v>
      </c>
      <c r="J1799" t="n">
        <v>0</v>
      </c>
      <c r="K1799" t="n">
        <v>0</v>
      </c>
      <c r="L1799" t="n">
        <v>0</v>
      </c>
      <c r="M1799" t="n">
        <v>0</v>
      </c>
      <c r="N1799" t="n">
        <v>0</v>
      </c>
      <c r="O1799" t="n">
        <v>0</v>
      </c>
      <c r="P1799" t="n">
        <v>0</v>
      </c>
      <c r="Q1799" t="n">
        <v>0</v>
      </c>
      <c r="R1799" s="2" t="inlineStr"/>
    </row>
    <row r="1800" ht="15" customHeight="1">
      <c r="A1800" t="inlineStr">
        <is>
          <t>A 48724-2023</t>
        </is>
      </c>
      <c r="B1800" s="1" t="n">
        <v>45203</v>
      </c>
      <c r="C1800" s="1" t="n">
        <v>45640</v>
      </c>
      <c r="D1800" t="inlineStr">
        <is>
          <t>VÄRMLANDS LÄN</t>
        </is>
      </c>
      <c r="E1800" t="inlineStr">
        <is>
          <t>TORSBY</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47842-2023</t>
        </is>
      </c>
      <c r="B1801" s="1" t="n">
        <v>45204</v>
      </c>
      <c r="C1801" s="1" t="n">
        <v>45640</v>
      </c>
      <c r="D1801" t="inlineStr">
        <is>
          <t>VÄRMLANDS LÄN</t>
        </is>
      </c>
      <c r="E1801" t="inlineStr">
        <is>
          <t>TORSBY</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48106-2023</t>
        </is>
      </c>
      <c r="B1802" s="1" t="n">
        <v>45205</v>
      </c>
      <c r="C1802" s="1" t="n">
        <v>45640</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48145-2023</t>
        </is>
      </c>
      <c r="B1803" s="1" t="n">
        <v>45205</v>
      </c>
      <c r="C1803" s="1" t="n">
        <v>45640</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48236-2023</t>
        </is>
      </c>
      <c r="B1804" s="1" t="n">
        <v>45205</v>
      </c>
      <c r="C1804" s="1" t="n">
        <v>45640</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48155-2023</t>
        </is>
      </c>
      <c r="B1805" s="1" t="n">
        <v>45205</v>
      </c>
      <c r="C1805" s="1" t="n">
        <v>45640</v>
      </c>
      <c r="D1805" t="inlineStr">
        <is>
          <t>VÄRMLANDS LÄN</t>
        </is>
      </c>
      <c r="E1805" t="inlineStr">
        <is>
          <t>TORSBY</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48170-2023</t>
        </is>
      </c>
      <c r="B1806" s="1" t="n">
        <v>45205</v>
      </c>
      <c r="C1806" s="1" t="n">
        <v>45640</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48324-2023</t>
        </is>
      </c>
      <c r="B1807" s="1" t="n">
        <v>45205</v>
      </c>
      <c r="C1807" s="1" t="n">
        <v>45640</v>
      </c>
      <c r="D1807" t="inlineStr">
        <is>
          <t>VÄRMLANDS LÄN</t>
        </is>
      </c>
      <c r="E1807" t="inlineStr">
        <is>
          <t>TORSBY</t>
        </is>
      </c>
      <c r="F1807" t="inlineStr">
        <is>
          <t>Bergvik skog väst AB</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48381-2023</t>
        </is>
      </c>
      <c r="B1808" s="1" t="n">
        <v>45205</v>
      </c>
      <c r="C1808" s="1" t="n">
        <v>45640</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48384-2023</t>
        </is>
      </c>
      <c r="B1809" s="1" t="n">
        <v>45205</v>
      </c>
      <c r="C1809" s="1" t="n">
        <v>45640</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48383-2023</t>
        </is>
      </c>
      <c r="B1810" s="1" t="n">
        <v>45205</v>
      </c>
      <c r="C1810" s="1" t="n">
        <v>45640</v>
      </c>
      <c r="D1810" t="inlineStr">
        <is>
          <t>VÄRMLANDS LÄN</t>
        </is>
      </c>
      <c r="E1810" t="inlineStr">
        <is>
          <t>TORSBY</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48456-2023</t>
        </is>
      </c>
      <c r="B1811" s="1" t="n">
        <v>45206</v>
      </c>
      <c r="C1811" s="1" t="n">
        <v>45640</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48625-2023</t>
        </is>
      </c>
      <c r="B1812" s="1" t="n">
        <v>45208</v>
      </c>
      <c r="C1812" s="1" t="n">
        <v>45640</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48727-2023</t>
        </is>
      </c>
      <c r="B1813" s="1" t="n">
        <v>45208</v>
      </c>
      <c r="C1813" s="1" t="n">
        <v>45640</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48753-2023</t>
        </is>
      </c>
      <c r="B1814" s="1" t="n">
        <v>45208</v>
      </c>
      <c r="C1814" s="1" t="n">
        <v>45640</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48762-2023</t>
        </is>
      </c>
      <c r="B1815" s="1" t="n">
        <v>45208</v>
      </c>
      <c r="C1815" s="1" t="n">
        <v>45640</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49717-2023</t>
        </is>
      </c>
      <c r="B1816" s="1" t="n">
        <v>45208</v>
      </c>
      <c r="C1816" s="1" t="n">
        <v>45640</v>
      </c>
      <c r="D1816" t="inlineStr">
        <is>
          <t>VÄRMLANDS LÄN</t>
        </is>
      </c>
      <c r="E1816" t="inlineStr">
        <is>
          <t>TORSBY</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50166-2023</t>
        </is>
      </c>
      <c r="B1817" s="1" t="n">
        <v>45208</v>
      </c>
      <c r="C1817" s="1" t="n">
        <v>45640</v>
      </c>
      <c r="D1817" t="inlineStr">
        <is>
          <t>VÄRMLANDS LÄN</t>
        </is>
      </c>
      <c r="E1817" t="inlineStr">
        <is>
          <t>TORSBY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50149-2023</t>
        </is>
      </c>
      <c r="B1818" s="1" t="n">
        <v>45208</v>
      </c>
      <c r="C1818" s="1" t="n">
        <v>45640</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48805-2023</t>
        </is>
      </c>
      <c r="B1819" s="1" t="n">
        <v>45209</v>
      </c>
      <c r="C1819" s="1" t="n">
        <v>45640</v>
      </c>
      <c r="D1819" t="inlineStr">
        <is>
          <t>VÄRMLANDS LÄN</t>
        </is>
      </c>
      <c r="E1819" t="inlineStr">
        <is>
          <t>TORSBY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48842-2023</t>
        </is>
      </c>
      <c r="B1820" s="1" t="n">
        <v>45209</v>
      </c>
      <c r="C1820" s="1" t="n">
        <v>45640</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49170-2023</t>
        </is>
      </c>
      <c r="B1821" s="1" t="n">
        <v>45210</v>
      </c>
      <c r="C1821" s="1" t="n">
        <v>45640</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49179-2023</t>
        </is>
      </c>
      <c r="B1822" s="1" t="n">
        <v>45210</v>
      </c>
      <c r="C1822" s="1" t="n">
        <v>45640</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49296-2023</t>
        </is>
      </c>
      <c r="B1823" s="1" t="n">
        <v>45210</v>
      </c>
      <c r="C1823" s="1" t="n">
        <v>45640</v>
      </c>
      <c r="D1823" t="inlineStr">
        <is>
          <t>VÄRMLANDS LÄN</t>
        </is>
      </c>
      <c r="E1823" t="inlineStr">
        <is>
          <t>TORSBY</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51079-2023</t>
        </is>
      </c>
      <c r="B1824" s="1" t="n">
        <v>45211</v>
      </c>
      <c r="C1824" s="1" t="n">
        <v>45640</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49755-2023</t>
        </is>
      </c>
      <c r="B1825" s="1" t="n">
        <v>45212</v>
      </c>
      <c r="C1825" s="1" t="n">
        <v>45640</v>
      </c>
      <c r="D1825" t="inlineStr">
        <is>
          <t>VÄRMLANDS LÄN</t>
        </is>
      </c>
      <c r="E1825" t="inlineStr">
        <is>
          <t>TORSBY</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49777-2023</t>
        </is>
      </c>
      <c r="B1826" s="1" t="n">
        <v>45212</v>
      </c>
      <c r="C1826" s="1" t="n">
        <v>45640</v>
      </c>
      <c r="D1826" t="inlineStr">
        <is>
          <t>VÄRMLANDS LÄN</t>
        </is>
      </c>
      <c r="E1826" t="inlineStr">
        <is>
          <t>TORSBY</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49815-2023</t>
        </is>
      </c>
      <c r="B1827" s="1" t="n">
        <v>45212</v>
      </c>
      <c r="C1827" s="1" t="n">
        <v>45640</v>
      </c>
      <c r="D1827" t="inlineStr">
        <is>
          <t>VÄRMLANDS LÄN</t>
        </is>
      </c>
      <c r="E1827" t="inlineStr">
        <is>
          <t>TORSBY</t>
        </is>
      </c>
      <c r="F1827" t="inlineStr">
        <is>
          <t>Bergvik skog väst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49745-2023</t>
        </is>
      </c>
      <c r="B1828" s="1" t="n">
        <v>45212</v>
      </c>
      <c r="C1828" s="1" t="n">
        <v>45640</v>
      </c>
      <c r="D1828" t="inlineStr">
        <is>
          <t>VÄRMLANDS LÄN</t>
        </is>
      </c>
      <c r="E1828" t="inlineStr">
        <is>
          <t>TORSBY</t>
        </is>
      </c>
      <c r="F1828" t="inlineStr">
        <is>
          <t>Bergvik skog väst AB</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51144-2023</t>
        </is>
      </c>
      <c r="B1829" s="1" t="n">
        <v>45212</v>
      </c>
      <c r="C1829" s="1" t="n">
        <v>45640</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49982-2023</t>
        </is>
      </c>
      <c r="B1830" s="1" t="n">
        <v>45215</v>
      </c>
      <c r="C1830" s="1" t="n">
        <v>45640</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50147-2023</t>
        </is>
      </c>
      <c r="B1831" s="1" t="n">
        <v>45215</v>
      </c>
      <c r="C1831" s="1" t="n">
        <v>45640</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50138-2023</t>
        </is>
      </c>
      <c r="B1832" s="1" t="n">
        <v>45215</v>
      </c>
      <c r="C1832" s="1" t="n">
        <v>45640</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50144-2023</t>
        </is>
      </c>
      <c r="B1833" s="1" t="n">
        <v>45215</v>
      </c>
      <c r="C1833" s="1" t="n">
        <v>45640</v>
      </c>
      <c r="D1833" t="inlineStr">
        <is>
          <t>VÄRMLANDS LÄN</t>
        </is>
      </c>
      <c r="E1833" t="inlineStr">
        <is>
          <t>TORSBY</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50171-2023</t>
        </is>
      </c>
      <c r="B1834" s="1" t="n">
        <v>45215</v>
      </c>
      <c r="C1834" s="1" t="n">
        <v>45640</v>
      </c>
      <c r="D1834" t="inlineStr">
        <is>
          <t>VÄRMLANDS LÄN</t>
        </is>
      </c>
      <c r="E1834" t="inlineStr">
        <is>
          <t>TORSBY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50445-2023</t>
        </is>
      </c>
      <c r="B1835" s="1" t="n">
        <v>45216</v>
      </c>
      <c r="C1835" s="1" t="n">
        <v>45640</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50429-2023</t>
        </is>
      </c>
      <c r="B1836" s="1" t="n">
        <v>45216</v>
      </c>
      <c r="C1836" s="1" t="n">
        <v>45640</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50439-2023</t>
        </is>
      </c>
      <c r="B1837" s="1" t="n">
        <v>45216</v>
      </c>
      <c r="C1837" s="1" t="n">
        <v>45640</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50660-2023</t>
        </is>
      </c>
      <c r="B1838" s="1" t="n">
        <v>45217</v>
      </c>
      <c r="C1838" s="1" t="n">
        <v>45640</v>
      </c>
      <c r="D1838" t="inlineStr">
        <is>
          <t>VÄRMLANDS LÄN</t>
        </is>
      </c>
      <c r="E1838" t="inlineStr">
        <is>
          <t>TORSBY</t>
        </is>
      </c>
      <c r="F1838" t="inlineStr">
        <is>
          <t>Bergvik skog väst AB</t>
        </is>
      </c>
      <c r="G1838" t="n">
        <v>26.5</v>
      </c>
      <c r="H1838" t="n">
        <v>0</v>
      </c>
      <c r="I1838" t="n">
        <v>0</v>
      </c>
      <c r="J1838" t="n">
        <v>0</v>
      </c>
      <c r="K1838" t="n">
        <v>0</v>
      </c>
      <c r="L1838" t="n">
        <v>0</v>
      </c>
      <c r="M1838" t="n">
        <v>0</v>
      </c>
      <c r="N1838" t="n">
        <v>0</v>
      </c>
      <c r="O1838" t="n">
        <v>0</v>
      </c>
      <c r="P1838" t="n">
        <v>0</v>
      </c>
      <c r="Q1838" t="n">
        <v>0</v>
      </c>
      <c r="R1838" s="2" t="inlineStr"/>
    </row>
    <row r="1839" ht="15" customHeight="1">
      <c r="A1839" t="inlineStr">
        <is>
          <t>A 50523-2023</t>
        </is>
      </c>
      <c r="B1839" s="1" t="n">
        <v>45217</v>
      </c>
      <c r="C1839" s="1" t="n">
        <v>45640</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50608-2023</t>
        </is>
      </c>
      <c r="B1840" s="1" t="n">
        <v>45217</v>
      </c>
      <c r="C1840" s="1" t="n">
        <v>45640</v>
      </c>
      <c r="D1840" t="inlineStr">
        <is>
          <t>VÄRMLANDS LÄN</t>
        </is>
      </c>
      <c r="E1840" t="inlineStr">
        <is>
          <t>TORSBY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50680-2023</t>
        </is>
      </c>
      <c r="B1841" s="1" t="n">
        <v>45217</v>
      </c>
      <c r="C1841" s="1" t="n">
        <v>45640</v>
      </c>
      <c r="D1841" t="inlineStr">
        <is>
          <t>VÄRMLANDS LÄN</t>
        </is>
      </c>
      <c r="E1841" t="inlineStr">
        <is>
          <t>TORSBY</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50852-2023</t>
        </is>
      </c>
      <c r="B1842" s="1" t="n">
        <v>45218</v>
      </c>
      <c r="C1842" s="1" t="n">
        <v>45640</v>
      </c>
      <c r="D1842" t="inlineStr">
        <is>
          <t>VÄRMLANDS LÄN</t>
        </is>
      </c>
      <c r="E1842" t="inlineStr">
        <is>
          <t>TORSBY</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50973-2023</t>
        </is>
      </c>
      <c r="B1843" s="1" t="n">
        <v>45218</v>
      </c>
      <c r="C1843" s="1" t="n">
        <v>45640</v>
      </c>
      <c r="D1843" t="inlineStr">
        <is>
          <t>VÄRMLANDS LÄN</t>
        </is>
      </c>
      <c r="E1843" t="inlineStr">
        <is>
          <t>TORSBY</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51199-2023</t>
        </is>
      </c>
      <c r="B1844" s="1" t="n">
        <v>45219</v>
      </c>
      <c r="C1844" s="1" t="n">
        <v>45640</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51215-2023</t>
        </is>
      </c>
      <c r="B1845" s="1" t="n">
        <v>45219</v>
      </c>
      <c r="C1845" s="1" t="n">
        <v>45640</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51343-2023</t>
        </is>
      </c>
      <c r="B1846" s="1" t="n">
        <v>45219</v>
      </c>
      <c r="C1846" s="1" t="n">
        <v>45640</v>
      </c>
      <c r="D1846" t="inlineStr">
        <is>
          <t>VÄRMLANDS LÄN</t>
        </is>
      </c>
      <c r="E1846" t="inlineStr">
        <is>
          <t>TORSBY</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51386-2023</t>
        </is>
      </c>
      <c r="B1847" s="1" t="n">
        <v>45219</v>
      </c>
      <c r="C1847" s="1" t="n">
        <v>45640</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51309-2023</t>
        </is>
      </c>
      <c r="B1848" s="1" t="n">
        <v>45219</v>
      </c>
      <c r="C1848" s="1" t="n">
        <v>45640</v>
      </c>
      <c r="D1848" t="inlineStr">
        <is>
          <t>VÄRMLANDS LÄN</t>
        </is>
      </c>
      <c r="E1848" t="inlineStr">
        <is>
          <t>TORSBY</t>
        </is>
      </c>
      <c r="F1848" t="inlineStr">
        <is>
          <t>Bergvik skog väst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51751-2023</t>
        </is>
      </c>
      <c r="B1849" s="1" t="n">
        <v>45222</v>
      </c>
      <c r="C1849" s="1" t="n">
        <v>45640</v>
      </c>
      <c r="D1849" t="inlineStr">
        <is>
          <t>VÄRMLANDS LÄN</t>
        </is>
      </c>
      <c r="E1849" t="inlineStr">
        <is>
          <t>TORSBY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51788-2023</t>
        </is>
      </c>
      <c r="B1850" s="1" t="n">
        <v>45222</v>
      </c>
      <c r="C1850" s="1" t="n">
        <v>45640</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51753-2023</t>
        </is>
      </c>
      <c r="B1851" s="1" t="n">
        <v>45222</v>
      </c>
      <c r="C1851" s="1" t="n">
        <v>45640</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52078-2023</t>
        </is>
      </c>
      <c r="B1852" s="1" t="n">
        <v>45223</v>
      </c>
      <c r="C1852" s="1" t="n">
        <v>45640</v>
      </c>
      <c r="D1852" t="inlineStr">
        <is>
          <t>VÄRMLANDS LÄN</t>
        </is>
      </c>
      <c r="E1852" t="inlineStr">
        <is>
          <t>TORSBY</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52050-2023</t>
        </is>
      </c>
      <c r="B1853" s="1" t="n">
        <v>45223</v>
      </c>
      <c r="C1853" s="1" t="n">
        <v>45640</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52067-2023</t>
        </is>
      </c>
      <c r="B1854" s="1" t="n">
        <v>45223</v>
      </c>
      <c r="C1854" s="1" t="n">
        <v>45640</v>
      </c>
      <c r="D1854" t="inlineStr">
        <is>
          <t>VÄRMLANDS LÄN</t>
        </is>
      </c>
      <c r="E1854" t="inlineStr">
        <is>
          <t>TORSBY</t>
        </is>
      </c>
      <c r="F1854" t="inlineStr">
        <is>
          <t>Bergvik skog väst AB</t>
        </is>
      </c>
      <c r="G1854" t="n">
        <v>40.4</v>
      </c>
      <c r="H1854" t="n">
        <v>0</v>
      </c>
      <c r="I1854" t="n">
        <v>0</v>
      </c>
      <c r="J1854" t="n">
        <v>0</v>
      </c>
      <c r="K1854" t="n">
        <v>0</v>
      </c>
      <c r="L1854" t="n">
        <v>0</v>
      </c>
      <c r="M1854" t="n">
        <v>0</v>
      </c>
      <c r="N1854" t="n">
        <v>0</v>
      </c>
      <c r="O1854" t="n">
        <v>0</v>
      </c>
      <c r="P1854" t="n">
        <v>0</v>
      </c>
      <c r="Q1854" t="n">
        <v>0</v>
      </c>
      <c r="R1854" s="2" t="inlineStr"/>
    </row>
    <row r="1855" ht="15" customHeight="1">
      <c r="A1855" t="inlineStr">
        <is>
          <t>A 53499-2023</t>
        </is>
      </c>
      <c r="B1855" s="1" t="n">
        <v>45223</v>
      </c>
      <c r="C1855" s="1" t="n">
        <v>45640</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52275-2023</t>
        </is>
      </c>
      <c r="B1856" s="1" t="n">
        <v>45224</v>
      </c>
      <c r="C1856" s="1" t="n">
        <v>45640</v>
      </c>
      <c r="D1856" t="inlineStr">
        <is>
          <t>VÄRMLANDS LÄN</t>
        </is>
      </c>
      <c r="E1856" t="inlineStr">
        <is>
          <t>TORSBY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52385-2023</t>
        </is>
      </c>
      <c r="B1857" s="1" t="n">
        <v>45224</v>
      </c>
      <c r="C1857" s="1" t="n">
        <v>45640</v>
      </c>
      <c r="D1857" t="inlineStr">
        <is>
          <t>VÄRMLANDS LÄN</t>
        </is>
      </c>
      <c r="E1857" t="inlineStr">
        <is>
          <t>TORSBY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53652-2023</t>
        </is>
      </c>
      <c r="B1858" s="1" t="n">
        <v>45224</v>
      </c>
      <c r="C1858" s="1" t="n">
        <v>45640</v>
      </c>
      <c r="D1858" t="inlineStr">
        <is>
          <t>VÄRMLANDS LÄN</t>
        </is>
      </c>
      <c r="E1858" t="inlineStr">
        <is>
          <t>TORSBY</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52541-2023</t>
        </is>
      </c>
      <c r="B1859" s="1" t="n">
        <v>45225</v>
      </c>
      <c r="C1859" s="1" t="n">
        <v>45640</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52580-2023</t>
        </is>
      </c>
      <c r="B1860" s="1" t="n">
        <v>45225</v>
      </c>
      <c r="C1860" s="1" t="n">
        <v>45640</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52555-2023</t>
        </is>
      </c>
      <c r="B1861" s="1" t="n">
        <v>45225</v>
      </c>
      <c r="C1861" s="1" t="n">
        <v>45640</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52532-2023</t>
        </is>
      </c>
      <c r="B1862" s="1" t="n">
        <v>45225</v>
      </c>
      <c r="C1862" s="1" t="n">
        <v>45640</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52591-2023</t>
        </is>
      </c>
      <c r="B1863" s="1" t="n">
        <v>45225</v>
      </c>
      <c r="C1863" s="1" t="n">
        <v>45640</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52984-2023</t>
        </is>
      </c>
      <c r="B1864" s="1" t="n">
        <v>45226</v>
      </c>
      <c r="C1864" s="1" t="n">
        <v>45640</v>
      </c>
      <c r="D1864" t="inlineStr">
        <is>
          <t>VÄRMLANDS LÄN</t>
        </is>
      </c>
      <c r="E1864" t="inlineStr">
        <is>
          <t>TORSBY</t>
        </is>
      </c>
      <c r="F1864" t="inlineStr">
        <is>
          <t>Bergvik skog väst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52982-2023</t>
        </is>
      </c>
      <c r="B1865" s="1" t="n">
        <v>45226</v>
      </c>
      <c r="C1865" s="1" t="n">
        <v>45640</v>
      </c>
      <c r="D1865" t="inlineStr">
        <is>
          <t>VÄRMLANDS LÄN</t>
        </is>
      </c>
      <c r="E1865" t="inlineStr">
        <is>
          <t>TORSBY</t>
        </is>
      </c>
      <c r="G1865" t="n">
        <v>35.5</v>
      </c>
      <c r="H1865" t="n">
        <v>0</v>
      </c>
      <c r="I1865" t="n">
        <v>0</v>
      </c>
      <c r="J1865" t="n">
        <v>0</v>
      </c>
      <c r="K1865" t="n">
        <v>0</v>
      </c>
      <c r="L1865" t="n">
        <v>0</v>
      </c>
      <c r="M1865" t="n">
        <v>0</v>
      </c>
      <c r="N1865" t="n">
        <v>0</v>
      </c>
      <c r="O1865" t="n">
        <v>0</v>
      </c>
      <c r="P1865" t="n">
        <v>0</v>
      </c>
      <c r="Q1865" t="n">
        <v>0</v>
      </c>
      <c r="R1865" s="2" t="inlineStr"/>
    </row>
    <row r="1866" ht="15" customHeight="1">
      <c r="A1866" t="inlineStr">
        <is>
          <t>A 52810-2023</t>
        </is>
      </c>
      <c r="B1866" s="1" t="n">
        <v>45226</v>
      </c>
      <c r="C1866" s="1" t="n">
        <v>45640</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53103-2023</t>
        </is>
      </c>
      <c r="B1867" s="1" t="n">
        <v>45228</v>
      </c>
      <c r="C1867" s="1" t="n">
        <v>45640</v>
      </c>
      <c r="D1867" t="inlineStr">
        <is>
          <t>VÄRMLANDS LÄN</t>
        </is>
      </c>
      <c r="E1867" t="inlineStr">
        <is>
          <t>TORSBY</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53116-2023</t>
        </is>
      </c>
      <c r="B1868" s="1" t="n">
        <v>45228</v>
      </c>
      <c r="C1868" s="1" t="n">
        <v>45640</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53346-2023</t>
        </is>
      </c>
      <c r="B1869" s="1" t="n">
        <v>45229</v>
      </c>
      <c r="C1869" s="1" t="n">
        <v>45640</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54879-2023</t>
        </is>
      </c>
      <c r="B1870" s="1" t="n">
        <v>45229</v>
      </c>
      <c r="C1870" s="1" t="n">
        <v>45640</v>
      </c>
      <c r="D1870" t="inlineStr">
        <is>
          <t>VÄRMLANDS LÄN</t>
        </is>
      </c>
      <c r="E1870" t="inlineStr">
        <is>
          <t>TORSBY</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54822-2023</t>
        </is>
      </c>
      <c r="B1871" s="1" t="n">
        <v>45229</v>
      </c>
      <c r="C1871" s="1" t="n">
        <v>45640</v>
      </c>
      <c r="D1871" t="inlineStr">
        <is>
          <t>VÄRMLANDS LÄN</t>
        </is>
      </c>
      <c r="E1871" t="inlineStr">
        <is>
          <t>TORSBY</t>
        </is>
      </c>
      <c r="F1871" t="inlineStr">
        <is>
          <t>Övriga Aktiebolag</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53557-2023</t>
        </is>
      </c>
      <c r="B1872" s="1" t="n">
        <v>45230</v>
      </c>
      <c r="C1872" s="1" t="n">
        <v>45640</v>
      </c>
      <c r="D1872" t="inlineStr">
        <is>
          <t>VÄRMLANDS LÄN</t>
        </is>
      </c>
      <c r="E1872" t="inlineStr">
        <is>
          <t>TORSBY</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53495-2023</t>
        </is>
      </c>
      <c r="B1873" s="1" t="n">
        <v>45230</v>
      </c>
      <c r="C1873" s="1" t="n">
        <v>45640</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53794-2023</t>
        </is>
      </c>
      <c r="B1874" s="1" t="n">
        <v>45231</v>
      </c>
      <c r="C1874" s="1" t="n">
        <v>45640</v>
      </c>
      <c r="D1874" t="inlineStr">
        <is>
          <t>VÄRMLANDS LÄN</t>
        </is>
      </c>
      <c r="E1874" t="inlineStr">
        <is>
          <t>TORSBY</t>
        </is>
      </c>
      <c r="G1874" t="n">
        <v>17.3</v>
      </c>
      <c r="H1874" t="n">
        <v>0</v>
      </c>
      <c r="I1874" t="n">
        <v>0</v>
      </c>
      <c r="J1874" t="n">
        <v>0</v>
      </c>
      <c r="K1874" t="n">
        <v>0</v>
      </c>
      <c r="L1874" t="n">
        <v>0</v>
      </c>
      <c r="M1874" t="n">
        <v>0</v>
      </c>
      <c r="N1874" t="n">
        <v>0</v>
      </c>
      <c r="O1874" t="n">
        <v>0</v>
      </c>
      <c r="P1874" t="n">
        <v>0</v>
      </c>
      <c r="Q1874" t="n">
        <v>0</v>
      </c>
      <c r="R1874" s="2" t="inlineStr"/>
    </row>
    <row r="1875" ht="15" customHeight="1">
      <c r="A1875" t="inlineStr">
        <is>
          <t>A 53921-2023</t>
        </is>
      </c>
      <c r="B1875" s="1" t="n">
        <v>45231</v>
      </c>
      <c r="C1875" s="1" t="n">
        <v>45640</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53945-2023</t>
        </is>
      </c>
      <c r="B1876" s="1" t="n">
        <v>45231</v>
      </c>
      <c r="C1876" s="1" t="n">
        <v>45640</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53922-2023</t>
        </is>
      </c>
      <c r="B1877" s="1" t="n">
        <v>45231</v>
      </c>
      <c r="C1877" s="1" t="n">
        <v>45640</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54162-2023</t>
        </is>
      </c>
      <c r="B1878" s="1" t="n">
        <v>45232</v>
      </c>
      <c r="C1878" s="1" t="n">
        <v>45640</v>
      </c>
      <c r="D1878" t="inlineStr">
        <is>
          <t>VÄRMLANDS LÄN</t>
        </is>
      </c>
      <c r="E1878" t="inlineStr">
        <is>
          <t>TORSBY</t>
        </is>
      </c>
      <c r="F1878" t="inlineStr">
        <is>
          <t>Bergvik skog väst AB</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54262-2023</t>
        </is>
      </c>
      <c r="B1879" s="1" t="n">
        <v>45232</v>
      </c>
      <c r="C1879" s="1" t="n">
        <v>45640</v>
      </c>
      <c r="D1879" t="inlineStr">
        <is>
          <t>VÄRMLANDS LÄN</t>
        </is>
      </c>
      <c r="E1879" t="inlineStr">
        <is>
          <t>TORSBY</t>
        </is>
      </c>
      <c r="F1879" t="inlineStr">
        <is>
          <t>Bergvik skog väst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54223-2023</t>
        </is>
      </c>
      <c r="B1880" s="1" t="n">
        <v>45232</v>
      </c>
      <c r="C1880" s="1" t="n">
        <v>45640</v>
      </c>
      <c r="D1880" t="inlineStr">
        <is>
          <t>VÄRMLANDS LÄN</t>
        </is>
      </c>
      <c r="E1880" t="inlineStr">
        <is>
          <t>TORSBY</t>
        </is>
      </c>
      <c r="F1880" t="inlineStr">
        <is>
          <t>Bergvik skog väst AB</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54191-2023</t>
        </is>
      </c>
      <c r="B1881" s="1" t="n">
        <v>45232</v>
      </c>
      <c r="C1881" s="1" t="n">
        <v>45640</v>
      </c>
      <c r="D1881" t="inlineStr">
        <is>
          <t>VÄRMLANDS LÄN</t>
        </is>
      </c>
      <c r="E1881" t="inlineStr">
        <is>
          <t>TORSBY</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54204-2023</t>
        </is>
      </c>
      <c r="B1882" s="1" t="n">
        <v>45232</v>
      </c>
      <c r="C1882" s="1" t="n">
        <v>45640</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54556-2023</t>
        </is>
      </c>
      <c r="B1883" s="1" t="n">
        <v>45233</v>
      </c>
      <c r="C1883" s="1" t="n">
        <v>45640</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54551-2023</t>
        </is>
      </c>
      <c r="B1884" s="1" t="n">
        <v>45233</v>
      </c>
      <c r="C1884" s="1" t="n">
        <v>45640</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54442-2023</t>
        </is>
      </c>
      <c r="B1885" s="1" t="n">
        <v>45233</v>
      </c>
      <c r="C1885" s="1" t="n">
        <v>45640</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54386-2023</t>
        </is>
      </c>
      <c r="B1886" s="1" t="n">
        <v>45233</v>
      </c>
      <c r="C1886" s="1" t="n">
        <v>45640</v>
      </c>
      <c r="D1886" t="inlineStr">
        <is>
          <t>VÄRMLANDS LÄN</t>
        </is>
      </c>
      <c r="E1886" t="inlineStr">
        <is>
          <t>TORSBY</t>
        </is>
      </c>
      <c r="F1886" t="inlineStr">
        <is>
          <t>Bergvik skog väst AB</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54528-2023</t>
        </is>
      </c>
      <c r="B1887" s="1" t="n">
        <v>45233</v>
      </c>
      <c r="C1887" s="1" t="n">
        <v>45640</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54562-2023</t>
        </is>
      </c>
      <c r="B1888" s="1" t="n">
        <v>45233</v>
      </c>
      <c r="C1888" s="1" t="n">
        <v>45640</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54532-2023</t>
        </is>
      </c>
      <c r="B1889" s="1" t="n">
        <v>45233</v>
      </c>
      <c r="C1889" s="1" t="n">
        <v>45640</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54525-2023</t>
        </is>
      </c>
      <c r="B1890" s="1" t="n">
        <v>45233</v>
      </c>
      <c r="C1890" s="1" t="n">
        <v>45640</v>
      </c>
      <c r="D1890" t="inlineStr">
        <is>
          <t>VÄRMLANDS LÄN</t>
        </is>
      </c>
      <c r="E1890" t="inlineStr">
        <is>
          <t>TORSBY</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54487-2023</t>
        </is>
      </c>
      <c r="B1891" s="1" t="n">
        <v>45233</v>
      </c>
      <c r="C1891" s="1" t="n">
        <v>45640</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54409-2023</t>
        </is>
      </c>
      <c r="B1892" s="1" t="n">
        <v>45233</v>
      </c>
      <c r="C1892" s="1" t="n">
        <v>45640</v>
      </c>
      <c r="D1892" t="inlineStr">
        <is>
          <t>VÄRMLANDS LÄN</t>
        </is>
      </c>
      <c r="E1892" t="inlineStr">
        <is>
          <t>TORSBY</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54714-2023</t>
        </is>
      </c>
      <c r="B1893" s="1" t="n">
        <v>45236</v>
      </c>
      <c r="C1893" s="1" t="n">
        <v>45640</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54766-2023</t>
        </is>
      </c>
      <c r="B1894" s="1" t="n">
        <v>45236</v>
      </c>
      <c r="C1894" s="1" t="n">
        <v>45640</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54777-2023</t>
        </is>
      </c>
      <c r="B1895" s="1" t="n">
        <v>45236</v>
      </c>
      <c r="C1895" s="1" t="n">
        <v>45640</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54876-2023</t>
        </is>
      </c>
      <c r="B1896" s="1" t="n">
        <v>45236</v>
      </c>
      <c r="C1896" s="1" t="n">
        <v>45640</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54708-2023</t>
        </is>
      </c>
      <c r="B1897" s="1" t="n">
        <v>45236</v>
      </c>
      <c r="C1897" s="1" t="n">
        <v>45640</v>
      </c>
      <c r="D1897" t="inlineStr">
        <is>
          <t>VÄRMLANDS LÄN</t>
        </is>
      </c>
      <c r="E1897" t="inlineStr">
        <is>
          <t>TORSBY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55031-2023</t>
        </is>
      </c>
      <c r="B1898" s="1" t="n">
        <v>45237</v>
      </c>
      <c r="C1898" s="1" t="n">
        <v>45640</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55100-2023</t>
        </is>
      </c>
      <c r="B1899" s="1" t="n">
        <v>45237</v>
      </c>
      <c r="C1899" s="1" t="n">
        <v>45640</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55401-2023</t>
        </is>
      </c>
      <c r="B1900" s="1" t="n">
        <v>45238</v>
      </c>
      <c r="C1900" s="1" t="n">
        <v>45640</v>
      </c>
      <c r="D1900" t="inlineStr">
        <is>
          <t>VÄRMLANDS LÄN</t>
        </is>
      </c>
      <c r="E1900" t="inlineStr">
        <is>
          <t>TORSBY</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55461-2023</t>
        </is>
      </c>
      <c r="B1901" s="1" t="n">
        <v>45238</v>
      </c>
      <c r="C1901" s="1" t="n">
        <v>45640</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55480-2023</t>
        </is>
      </c>
      <c r="B1902" s="1" t="n">
        <v>45238</v>
      </c>
      <c r="C1902" s="1" t="n">
        <v>45640</v>
      </c>
      <c r="D1902" t="inlineStr">
        <is>
          <t>VÄRMLANDS LÄN</t>
        </is>
      </c>
      <c r="E1902" t="inlineStr">
        <is>
          <t>TORSBY</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55485-2023</t>
        </is>
      </c>
      <c r="B1903" s="1" t="n">
        <v>45238</v>
      </c>
      <c r="C1903" s="1" t="n">
        <v>45640</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55478-2023</t>
        </is>
      </c>
      <c r="B1904" s="1" t="n">
        <v>45238</v>
      </c>
      <c r="C1904" s="1" t="n">
        <v>45640</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55522-2023</t>
        </is>
      </c>
      <c r="B1905" s="1" t="n">
        <v>45238</v>
      </c>
      <c r="C1905" s="1" t="n">
        <v>45640</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55527-2023</t>
        </is>
      </c>
      <c r="B1906" s="1" t="n">
        <v>45238</v>
      </c>
      <c r="C1906" s="1" t="n">
        <v>45640</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56716-2023</t>
        </is>
      </c>
      <c r="B1907" s="1" t="n">
        <v>45238</v>
      </c>
      <c r="C1907" s="1" t="n">
        <v>45640</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56712-2023</t>
        </is>
      </c>
      <c r="B1908" s="1" t="n">
        <v>45238</v>
      </c>
      <c r="C1908" s="1" t="n">
        <v>45640</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55447-2023</t>
        </is>
      </c>
      <c r="B1909" s="1" t="n">
        <v>45238</v>
      </c>
      <c r="C1909" s="1" t="n">
        <v>45640</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56714-2023</t>
        </is>
      </c>
      <c r="B1910" s="1" t="n">
        <v>45238</v>
      </c>
      <c r="C1910" s="1" t="n">
        <v>45640</v>
      </c>
      <c r="D1910" t="inlineStr">
        <is>
          <t>VÄRMLANDS LÄN</t>
        </is>
      </c>
      <c r="E1910" t="inlineStr">
        <is>
          <t>TORSBY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55759-2023</t>
        </is>
      </c>
      <c r="B1911" s="1" t="n">
        <v>45239</v>
      </c>
      <c r="C1911" s="1" t="n">
        <v>45640</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57092-2023</t>
        </is>
      </c>
      <c r="B1912" s="1" t="n">
        <v>45239</v>
      </c>
      <c r="C1912" s="1" t="n">
        <v>45640</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57091-2023</t>
        </is>
      </c>
      <c r="B1913" s="1" t="n">
        <v>45239</v>
      </c>
      <c r="C1913" s="1" t="n">
        <v>45640</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56889-2023</t>
        </is>
      </c>
      <c r="B1914" s="1" t="n">
        <v>45239</v>
      </c>
      <c r="C1914" s="1" t="n">
        <v>45640</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55727-2023</t>
        </is>
      </c>
      <c r="B1915" s="1" t="n">
        <v>45239</v>
      </c>
      <c r="C1915" s="1" t="n">
        <v>45640</v>
      </c>
      <c r="D1915" t="inlineStr">
        <is>
          <t>VÄRMLANDS LÄN</t>
        </is>
      </c>
      <c r="E1915" t="inlineStr">
        <is>
          <t>TORSBY</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56164-2023</t>
        </is>
      </c>
      <c r="B1916" s="1" t="n">
        <v>45240</v>
      </c>
      <c r="C1916" s="1" t="n">
        <v>45640</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56170-2023</t>
        </is>
      </c>
      <c r="B1917" s="1" t="n">
        <v>45240</v>
      </c>
      <c r="C1917" s="1" t="n">
        <v>45640</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56116-2023</t>
        </is>
      </c>
      <c r="B1918" s="1" t="n">
        <v>45240</v>
      </c>
      <c r="C1918" s="1" t="n">
        <v>45640</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56021-2023</t>
        </is>
      </c>
      <c r="B1919" s="1" t="n">
        <v>45240</v>
      </c>
      <c r="C1919" s="1" t="n">
        <v>45640</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56426-2023</t>
        </is>
      </c>
      <c r="B1920" s="1" t="n">
        <v>45243</v>
      </c>
      <c r="C1920" s="1" t="n">
        <v>45640</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56724-2023</t>
        </is>
      </c>
      <c r="B1921" s="1" t="n">
        <v>45244</v>
      </c>
      <c r="C1921" s="1" t="n">
        <v>45640</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45640</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56881-2023</t>
        </is>
      </c>
      <c r="B1923" s="1" t="n">
        <v>45244</v>
      </c>
      <c r="C1923" s="1" t="n">
        <v>45640</v>
      </c>
      <c r="D1923" t="inlineStr">
        <is>
          <t>VÄRMLANDS LÄN</t>
        </is>
      </c>
      <c r="E1923" t="inlineStr">
        <is>
          <t>TORSBY</t>
        </is>
      </c>
      <c r="F1923" t="inlineStr">
        <is>
          <t>Övriga Aktiebolag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56875-2023</t>
        </is>
      </c>
      <c r="B1924" s="1" t="n">
        <v>45244</v>
      </c>
      <c r="C1924" s="1" t="n">
        <v>45640</v>
      </c>
      <c r="D1924" t="inlineStr">
        <is>
          <t>VÄRMLANDS LÄN</t>
        </is>
      </c>
      <c r="E1924" t="inlineStr">
        <is>
          <t>TORSBY</t>
        </is>
      </c>
      <c r="F1924" t="inlineStr">
        <is>
          <t>Övriga Aktiebolag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56811-2023</t>
        </is>
      </c>
      <c r="B1925" s="1" t="n">
        <v>45244</v>
      </c>
      <c r="C1925" s="1" t="n">
        <v>45640</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56815-2023</t>
        </is>
      </c>
      <c r="B1926" s="1" t="n">
        <v>45244</v>
      </c>
      <c r="C1926" s="1" t="n">
        <v>45640</v>
      </c>
      <c r="D1926" t="inlineStr">
        <is>
          <t>VÄRMLANDS LÄN</t>
        </is>
      </c>
      <c r="E1926" t="inlineStr">
        <is>
          <t>TORSBY</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56902-2023</t>
        </is>
      </c>
      <c r="B1927" s="1" t="n">
        <v>45244</v>
      </c>
      <c r="C1927" s="1" t="n">
        <v>45640</v>
      </c>
      <c r="D1927" t="inlineStr">
        <is>
          <t>VÄRMLANDS LÄN</t>
        </is>
      </c>
      <c r="E1927" t="inlineStr">
        <is>
          <t>TORSBY</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56970-2023</t>
        </is>
      </c>
      <c r="B1928" s="1" t="n">
        <v>45244</v>
      </c>
      <c r="C1928" s="1" t="n">
        <v>45640</v>
      </c>
      <c r="D1928" t="inlineStr">
        <is>
          <t>VÄRMLANDS LÄN</t>
        </is>
      </c>
      <c r="E1928" t="inlineStr">
        <is>
          <t>TORSBY</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57017-2023</t>
        </is>
      </c>
      <c r="B1929" s="1" t="n">
        <v>45244</v>
      </c>
      <c r="C1929" s="1" t="n">
        <v>45640</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57117-2023</t>
        </is>
      </c>
      <c r="B1930" s="1" t="n">
        <v>45245</v>
      </c>
      <c r="C1930" s="1" t="n">
        <v>45640</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57143-2023</t>
        </is>
      </c>
      <c r="B1931" s="1" t="n">
        <v>45245</v>
      </c>
      <c r="C1931" s="1" t="n">
        <v>45640</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57345-2023</t>
        </is>
      </c>
      <c r="B1932" s="1" t="n">
        <v>45245</v>
      </c>
      <c r="C1932" s="1" t="n">
        <v>45640</v>
      </c>
      <c r="D1932" t="inlineStr">
        <is>
          <t>VÄRMLANDS LÄN</t>
        </is>
      </c>
      <c r="E1932" t="inlineStr">
        <is>
          <t>TORSBY</t>
        </is>
      </c>
      <c r="F1932" t="inlineStr">
        <is>
          <t>Bergvik skog väst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57135-2023</t>
        </is>
      </c>
      <c r="B1933" s="1" t="n">
        <v>45245</v>
      </c>
      <c r="C1933" s="1" t="n">
        <v>45640</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57216-2023</t>
        </is>
      </c>
      <c r="B1934" s="1" t="n">
        <v>45245</v>
      </c>
      <c r="C1934" s="1" t="n">
        <v>45640</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57538-2023</t>
        </is>
      </c>
      <c r="B1935" s="1" t="n">
        <v>45246</v>
      </c>
      <c r="C1935" s="1" t="n">
        <v>45640</v>
      </c>
      <c r="D1935" t="inlineStr">
        <is>
          <t>VÄRMLANDS LÄN</t>
        </is>
      </c>
      <c r="E1935" t="inlineStr">
        <is>
          <t>TORSBY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57547-2023</t>
        </is>
      </c>
      <c r="B1936" s="1" t="n">
        <v>45246</v>
      </c>
      <c r="C1936" s="1" t="n">
        <v>45640</v>
      </c>
      <c r="D1936" t="inlineStr">
        <is>
          <t>VÄRMLANDS LÄN</t>
        </is>
      </c>
      <c r="E1936" t="inlineStr">
        <is>
          <t>TORSBY</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57569-2023</t>
        </is>
      </c>
      <c r="B1937" s="1" t="n">
        <v>45246</v>
      </c>
      <c r="C1937" s="1" t="n">
        <v>45640</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57647-2023</t>
        </is>
      </c>
      <c r="B1938" s="1" t="n">
        <v>45246</v>
      </c>
      <c r="C1938" s="1" t="n">
        <v>45640</v>
      </c>
      <c r="D1938" t="inlineStr">
        <is>
          <t>VÄRMLANDS LÄN</t>
        </is>
      </c>
      <c r="E1938" t="inlineStr">
        <is>
          <t>TORSBY</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57642-2023</t>
        </is>
      </c>
      <c r="B1939" s="1" t="n">
        <v>45246</v>
      </c>
      <c r="C1939" s="1" t="n">
        <v>45640</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57921-2023</t>
        </is>
      </c>
      <c r="B1940" s="1" t="n">
        <v>45247</v>
      </c>
      <c r="C1940" s="1" t="n">
        <v>45640</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58013-2023</t>
        </is>
      </c>
      <c r="B1941" s="1" t="n">
        <v>45247</v>
      </c>
      <c r="C1941" s="1" t="n">
        <v>45640</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57980-2023</t>
        </is>
      </c>
      <c r="B1942" s="1" t="n">
        <v>45247</v>
      </c>
      <c r="C1942" s="1" t="n">
        <v>45640</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57990-2023</t>
        </is>
      </c>
      <c r="B1943" s="1" t="n">
        <v>45247</v>
      </c>
      <c r="C1943" s="1" t="n">
        <v>45640</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58037-2023</t>
        </is>
      </c>
      <c r="B1944" s="1" t="n">
        <v>45247</v>
      </c>
      <c r="C1944" s="1" t="n">
        <v>45640</v>
      </c>
      <c r="D1944" t="inlineStr">
        <is>
          <t>VÄRMLANDS LÄN</t>
        </is>
      </c>
      <c r="E1944" t="inlineStr">
        <is>
          <t>TORSBY</t>
        </is>
      </c>
      <c r="F1944" t="inlineStr">
        <is>
          <t>Bergvik skog väst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58600-2023</t>
        </is>
      </c>
      <c r="B1945" s="1" t="n">
        <v>45247</v>
      </c>
      <c r="C1945" s="1" t="n">
        <v>45640</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58185-2023</t>
        </is>
      </c>
      <c r="B1946" s="1" t="n">
        <v>45250</v>
      </c>
      <c r="C1946" s="1" t="n">
        <v>45640</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58386-2023</t>
        </is>
      </c>
      <c r="B1947" s="1" t="n">
        <v>45250</v>
      </c>
      <c r="C1947" s="1" t="n">
        <v>45640</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58430-2023</t>
        </is>
      </c>
      <c r="B1948" s="1" t="n">
        <v>45250</v>
      </c>
      <c r="C1948" s="1" t="n">
        <v>45640</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58438-2023</t>
        </is>
      </c>
      <c r="B1949" s="1" t="n">
        <v>45250</v>
      </c>
      <c r="C1949" s="1" t="n">
        <v>45640</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58394-2023</t>
        </is>
      </c>
      <c r="B1950" s="1" t="n">
        <v>45250</v>
      </c>
      <c r="C1950" s="1" t="n">
        <v>45640</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58235-2023</t>
        </is>
      </c>
      <c r="B1951" s="1" t="n">
        <v>45250</v>
      </c>
      <c r="C1951" s="1" t="n">
        <v>45640</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58429-2023</t>
        </is>
      </c>
      <c r="B1952" s="1" t="n">
        <v>45250</v>
      </c>
      <c r="C1952" s="1" t="n">
        <v>45640</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58378-2023</t>
        </is>
      </c>
      <c r="B1953" s="1" t="n">
        <v>45250</v>
      </c>
      <c r="C1953" s="1" t="n">
        <v>45640</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58383-2023</t>
        </is>
      </c>
      <c r="B1954" s="1" t="n">
        <v>45250</v>
      </c>
      <c r="C1954" s="1" t="n">
        <v>45640</v>
      </c>
      <c r="D1954" t="inlineStr">
        <is>
          <t>VÄRMLANDS LÄN</t>
        </is>
      </c>
      <c r="E1954" t="inlineStr">
        <is>
          <t>TORSBY</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59256-2023</t>
        </is>
      </c>
      <c r="B1955" s="1" t="n">
        <v>45251</v>
      </c>
      <c r="C1955" s="1" t="n">
        <v>45640</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59239-2023</t>
        </is>
      </c>
      <c r="B1956" s="1" t="n">
        <v>45253</v>
      </c>
      <c r="C1956" s="1" t="n">
        <v>45640</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59236-2023</t>
        </is>
      </c>
      <c r="B1957" s="1" t="n">
        <v>45253</v>
      </c>
      <c r="C1957" s="1" t="n">
        <v>45640</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59488-2023</t>
        </is>
      </c>
      <c r="B1958" s="1" t="n">
        <v>45254</v>
      </c>
      <c r="C1958" s="1" t="n">
        <v>45640</v>
      </c>
      <c r="D1958" t="inlineStr">
        <is>
          <t>VÄRMLANDS LÄN</t>
        </is>
      </c>
      <c r="E1958" t="inlineStr">
        <is>
          <t>TORSBY</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59781-2023</t>
        </is>
      </c>
      <c r="B1959" s="1" t="n">
        <v>45257</v>
      </c>
      <c r="C1959" s="1" t="n">
        <v>45640</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59941-2023</t>
        </is>
      </c>
      <c r="B1960" s="1" t="n">
        <v>45257</v>
      </c>
      <c r="C1960" s="1" t="n">
        <v>45640</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59872-2023</t>
        </is>
      </c>
      <c r="B1961" s="1" t="n">
        <v>45257</v>
      </c>
      <c r="C1961" s="1" t="n">
        <v>45640</v>
      </c>
      <c r="D1961" t="inlineStr">
        <is>
          <t>VÄRMLANDS LÄN</t>
        </is>
      </c>
      <c r="E1961" t="inlineStr">
        <is>
          <t>TORSBY</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60058-2023</t>
        </is>
      </c>
      <c r="B1962" s="1" t="n">
        <v>45258</v>
      </c>
      <c r="C1962" s="1" t="n">
        <v>45640</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60046-2023</t>
        </is>
      </c>
      <c r="B1963" s="1" t="n">
        <v>45258</v>
      </c>
      <c r="C1963" s="1" t="n">
        <v>45640</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60100-2023</t>
        </is>
      </c>
      <c r="B1964" s="1" t="n">
        <v>45258</v>
      </c>
      <c r="C1964" s="1" t="n">
        <v>45640</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60088-2023</t>
        </is>
      </c>
      <c r="B1965" s="1" t="n">
        <v>45258</v>
      </c>
      <c r="C1965" s="1" t="n">
        <v>45640</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60133-2023</t>
        </is>
      </c>
      <c r="B1966" s="1" t="n">
        <v>45258</v>
      </c>
      <c r="C1966" s="1" t="n">
        <v>45640</v>
      </c>
      <c r="D1966" t="inlineStr">
        <is>
          <t>VÄRMLANDS LÄN</t>
        </is>
      </c>
      <c r="E1966" t="inlineStr">
        <is>
          <t>TORSBY</t>
        </is>
      </c>
      <c r="F1966" t="inlineStr">
        <is>
          <t>Bergvik skog väst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60314-2023</t>
        </is>
      </c>
      <c r="B1967" s="1" t="n">
        <v>45258</v>
      </c>
      <c r="C1967" s="1" t="n">
        <v>45640</v>
      </c>
      <c r="D1967" t="inlineStr">
        <is>
          <t>VÄRMLANDS LÄN</t>
        </is>
      </c>
      <c r="E1967" t="inlineStr">
        <is>
          <t>TORSBY</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60523-2023</t>
        </is>
      </c>
      <c r="B1968" s="1" t="n">
        <v>45259</v>
      </c>
      <c r="C1968" s="1" t="n">
        <v>45640</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60486-2023</t>
        </is>
      </c>
      <c r="B1969" s="1" t="n">
        <v>45259</v>
      </c>
      <c r="C1969" s="1" t="n">
        <v>45640</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60525-2023</t>
        </is>
      </c>
      <c r="B1970" s="1" t="n">
        <v>45259</v>
      </c>
      <c r="C1970" s="1" t="n">
        <v>45640</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61157-2023</t>
        </is>
      </c>
      <c r="B1971" s="1" t="n">
        <v>45262</v>
      </c>
      <c r="C1971" s="1" t="n">
        <v>45640</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61164-2023</t>
        </is>
      </c>
      <c r="B1972" s="1" t="n">
        <v>45262</v>
      </c>
      <c r="C1972" s="1" t="n">
        <v>45640</v>
      </c>
      <c r="D1972" t="inlineStr">
        <is>
          <t>VÄRMLANDS LÄN</t>
        </is>
      </c>
      <c r="E1972" t="inlineStr">
        <is>
          <t>TORSBY</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61229-2023</t>
        </is>
      </c>
      <c r="B1973" s="1" t="n">
        <v>45264</v>
      </c>
      <c r="C1973" s="1" t="n">
        <v>45640</v>
      </c>
      <c r="D1973" t="inlineStr">
        <is>
          <t>VÄRMLANDS LÄN</t>
        </is>
      </c>
      <c r="E1973" t="inlineStr">
        <is>
          <t>TORSBY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61256-2023</t>
        </is>
      </c>
      <c r="B1974" s="1" t="n">
        <v>45264</v>
      </c>
      <c r="C1974" s="1" t="n">
        <v>45640</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61370-2023</t>
        </is>
      </c>
      <c r="B1975" s="1" t="n">
        <v>45264</v>
      </c>
      <c r="C1975" s="1" t="n">
        <v>45640</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61923-2023</t>
        </is>
      </c>
      <c r="B1976" s="1" t="n">
        <v>45266</v>
      </c>
      <c r="C1976" s="1" t="n">
        <v>45640</v>
      </c>
      <c r="D1976" t="inlineStr">
        <is>
          <t>VÄRMLANDS LÄN</t>
        </is>
      </c>
      <c r="E1976" t="inlineStr">
        <is>
          <t>TORSBY</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61921-2023</t>
        </is>
      </c>
      <c r="B1977" s="1" t="n">
        <v>45266</v>
      </c>
      <c r="C1977" s="1" t="n">
        <v>45640</v>
      </c>
      <c r="D1977" t="inlineStr">
        <is>
          <t>VÄRMLANDS LÄN</t>
        </is>
      </c>
      <c r="E1977" t="inlineStr">
        <is>
          <t>TORSBY</t>
        </is>
      </c>
      <c r="F1977" t="inlineStr">
        <is>
          <t>Kommuner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62037-2023</t>
        </is>
      </c>
      <c r="B1978" s="1" t="n">
        <v>45266</v>
      </c>
      <c r="C1978" s="1" t="n">
        <v>45640</v>
      </c>
      <c r="D1978" t="inlineStr">
        <is>
          <t>VÄRMLANDS LÄN</t>
        </is>
      </c>
      <c r="E1978" t="inlineStr">
        <is>
          <t>TORSBY</t>
        </is>
      </c>
      <c r="F1978" t="inlineStr">
        <is>
          <t>Bergvik skog väst AB</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62258-2023</t>
        </is>
      </c>
      <c r="B1979" s="1" t="n">
        <v>45266</v>
      </c>
      <c r="C1979" s="1" t="n">
        <v>45640</v>
      </c>
      <c r="D1979" t="inlineStr">
        <is>
          <t>VÄRMLANDS LÄN</t>
        </is>
      </c>
      <c r="E1979" t="inlineStr">
        <is>
          <t>TORSBY</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62250-2023</t>
        </is>
      </c>
      <c r="B1980" s="1" t="n">
        <v>45266</v>
      </c>
      <c r="C1980" s="1" t="n">
        <v>45640</v>
      </c>
      <c r="D1980" t="inlineStr">
        <is>
          <t>VÄRMLANDS LÄN</t>
        </is>
      </c>
      <c r="E1980" t="inlineStr">
        <is>
          <t>TORSBY</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62274-2023</t>
        </is>
      </c>
      <c r="B1981" s="1" t="n">
        <v>45267</v>
      </c>
      <c r="C1981" s="1" t="n">
        <v>45640</v>
      </c>
      <c r="D1981" t="inlineStr">
        <is>
          <t>VÄRMLANDS LÄN</t>
        </is>
      </c>
      <c r="E1981" t="inlineStr">
        <is>
          <t>TORSBY</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62168-2023</t>
        </is>
      </c>
      <c r="B1982" s="1" t="n">
        <v>45267</v>
      </c>
      <c r="C1982" s="1" t="n">
        <v>45640</v>
      </c>
      <c r="D1982" t="inlineStr">
        <is>
          <t>VÄRMLANDS LÄN</t>
        </is>
      </c>
      <c r="E1982" t="inlineStr">
        <is>
          <t>TORSBY</t>
        </is>
      </c>
      <c r="F1982" t="inlineStr">
        <is>
          <t>Kommuner</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62210-2023</t>
        </is>
      </c>
      <c r="B1983" s="1" t="n">
        <v>45267</v>
      </c>
      <c r="C1983" s="1" t="n">
        <v>45640</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62236-2023</t>
        </is>
      </c>
      <c r="B1984" s="1" t="n">
        <v>45267</v>
      </c>
      <c r="C1984" s="1" t="n">
        <v>45640</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62240-2023</t>
        </is>
      </c>
      <c r="B1985" s="1" t="n">
        <v>45267</v>
      </c>
      <c r="C1985" s="1" t="n">
        <v>45640</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62317-2023</t>
        </is>
      </c>
      <c r="B1986" s="1" t="n">
        <v>45267</v>
      </c>
      <c r="C1986" s="1" t="n">
        <v>45640</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62507-2023</t>
        </is>
      </c>
      <c r="B1987" s="1" t="n">
        <v>45267</v>
      </c>
      <c r="C1987" s="1" t="n">
        <v>45640</v>
      </c>
      <c r="D1987" t="inlineStr">
        <is>
          <t>VÄRMLANDS LÄN</t>
        </is>
      </c>
      <c r="E1987" t="inlineStr">
        <is>
          <t>TORSBY</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62387-2023</t>
        </is>
      </c>
      <c r="B1988" s="1" t="n">
        <v>45268</v>
      </c>
      <c r="C1988" s="1" t="n">
        <v>45640</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62445-2023</t>
        </is>
      </c>
      <c r="B1989" s="1" t="n">
        <v>45268</v>
      </c>
      <c r="C1989" s="1" t="n">
        <v>45640</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62510-2023</t>
        </is>
      </c>
      <c r="B1990" s="1" t="n">
        <v>45268</v>
      </c>
      <c r="C1990" s="1" t="n">
        <v>45640</v>
      </c>
      <c r="D1990" t="inlineStr">
        <is>
          <t>VÄRMLANDS LÄN</t>
        </is>
      </c>
      <c r="E1990" t="inlineStr">
        <is>
          <t>TORSBY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62618-2023</t>
        </is>
      </c>
      <c r="B1991" s="1" t="n">
        <v>45271</v>
      </c>
      <c r="C1991" s="1" t="n">
        <v>45640</v>
      </c>
      <c r="D1991" t="inlineStr">
        <is>
          <t>VÄRMLANDS LÄN</t>
        </is>
      </c>
      <c r="E1991" t="inlineStr">
        <is>
          <t>TORSBY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62957-2023</t>
        </is>
      </c>
      <c r="B1992" s="1" t="n">
        <v>45271</v>
      </c>
      <c r="C1992" s="1" t="n">
        <v>45640</v>
      </c>
      <c r="D1992" t="inlineStr">
        <is>
          <t>VÄRMLANDS LÄN</t>
        </is>
      </c>
      <c r="E1992" t="inlineStr">
        <is>
          <t>TORSBY</t>
        </is>
      </c>
      <c r="F1992" t="inlineStr">
        <is>
          <t>Övriga statliga verk och myndigheter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62950-2023</t>
        </is>
      </c>
      <c r="B1993" s="1" t="n">
        <v>45271</v>
      </c>
      <c r="C1993" s="1" t="n">
        <v>45640</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63030-2023</t>
        </is>
      </c>
      <c r="B1994" s="1" t="n">
        <v>45272</v>
      </c>
      <c r="C1994" s="1" t="n">
        <v>45640</v>
      </c>
      <c r="D1994" t="inlineStr">
        <is>
          <t>VÄRMLANDS LÄN</t>
        </is>
      </c>
      <c r="E1994" t="inlineStr">
        <is>
          <t>TORSBY</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63031-2023</t>
        </is>
      </c>
      <c r="B1995" s="1" t="n">
        <v>45272</v>
      </c>
      <c r="C1995" s="1" t="n">
        <v>45640</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63028-2023</t>
        </is>
      </c>
      <c r="B1996" s="1" t="n">
        <v>45272</v>
      </c>
      <c r="C1996" s="1" t="n">
        <v>45640</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63032-2023</t>
        </is>
      </c>
      <c r="B1997" s="1" t="n">
        <v>45272</v>
      </c>
      <c r="C1997" s="1" t="n">
        <v>45640</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45640</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63160-2023</t>
        </is>
      </c>
      <c r="B1999" s="1" t="n">
        <v>45273</v>
      </c>
      <c r="C1999" s="1" t="n">
        <v>45640</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63146-2023</t>
        </is>
      </c>
      <c r="B2000" s="1" t="n">
        <v>45273</v>
      </c>
      <c r="C2000" s="1" t="n">
        <v>45640</v>
      </c>
      <c r="D2000" t="inlineStr">
        <is>
          <t>VÄRMLANDS LÄN</t>
        </is>
      </c>
      <c r="E2000" t="inlineStr">
        <is>
          <t>TORSBY</t>
        </is>
      </c>
      <c r="F2000" t="inlineStr">
        <is>
          <t>Bergvik skog väst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63266-2023</t>
        </is>
      </c>
      <c r="B2001" s="1" t="n">
        <v>45273</v>
      </c>
      <c r="C2001" s="1" t="n">
        <v>45640</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63083-2023</t>
        </is>
      </c>
      <c r="B2002" s="1" t="n">
        <v>45273</v>
      </c>
      <c r="C2002" s="1" t="n">
        <v>45640</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63244-2023</t>
        </is>
      </c>
      <c r="B2003" s="1" t="n">
        <v>45273</v>
      </c>
      <c r="C2003" s="1" t="n">
        <v>45640</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63158-2023</t>
        </is>
      </c>
      <c r="B2004" s="1" t="n">
        <v>45273</v>
      </c>
      <c r="C2004" s="1" t="n">
        <v>45640</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63363-2023</t>
        </is>
      </c>
      <c r="B2005" s="1" t="n">
        <v>45273</v>
      </c>
      <c r="C2005" s="1" t="n">
        <v>45640</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63399-2023</t>
        </is>
      </c>
      <c r="B2006" s="1" t="n">
        <v>45274</v>
      </c>
      <c r="C2006" s="1" t="n">
        <v>45640</v>
      </c>
      <c r="D2006" t="inlineStr">
        <is>
          <t>VÄRMLANDS LÄN</t>
        </is>
      </c>
      <c r="E2006" t="inlineStr">
        <is>
          <t>TORSBY</t>
        </is>
      </c>
      <c r="F2006" t="inlineStr">
        <is>
          <t>Bergvik skog väst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63409-2023</t>
        </is>
      </c>
      <c r="B2007" s="1" t="n">
        <v>45274</v>
      </c>
      <c r="C2007" s="1" t="n">
        <v>45640</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63821-2023</t>
        </is>
      </c>
      <c r="B2008" s="1" t="n">
        <v>45275</v>
      </c>
      <c r="C2008" s="1" t="n">
        <v>45640</v>
      </c>
      <c r="D2008" t="inlineStr">
        <is>
          <t>VÄRMLANDS LÄN</t>
        </is>
      </c>
      <c r="E2008" t="inlineStr">
        <is>
          <t>TORSBY</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63820-2023</t>
        </is>
      </c>
      <c r="B2009" s="1" t="n">
        <v>45278</v>
      </c>
      <c r="C2009" s="1" t="n">
        <v>45640</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63866-2023</t>
        </is>
      </c>
      <c r="B2010" s="1" t="n">
        <v>45278</v>
      </c>
      <c r="C2010" s="1" t="n">
        <v>45640</v>
      </c>
      <c r="D2010" t="inlineStr">
        <is>
          <t>VÄRMLANDS LÄN</t>
        </is>
      </c>
      <c r="E2010" t="inlineStr">
        <is>
          <t>TORSBY</t>
        </is>
      </c>
      <c r="F2010" t="inlineStr">
        <is>
          <t>Bergvik skog väst AB</t>
        </is>
      </c>
      <c r="G2010" t="n">
        <v>58.2</v>
      </c>
      <c r="H2010" t="n">
        <v>0</v>
      </c>
      <c r="I2010" t="n">
        <v>0</v>
      </c>
      <c r="J2010" t="n">
        <v>0</v>
      </c>
      <c r="K2010" t="n">
        <v>0</v>
      </c>
      <c r="L2010" t="n">
        <v>0</v>
      </c>
      <c r="M2010" t="n">
        <v>0</v>
      </c>
      <c r="N2010" t="n">
        <v>0</v>
      </c>
      <c r="O2010" t="n">
        <v>0</v>
      </c>
      <c r="P2010" t="n">
        <v>0</v>
      </c>
      <c r="Q2010" t="n">
        <v>0</v>
      </c>
      <c r="R2010" s="2" t="inlineStr"/>
    </row>
    <row r="2011" ht="15" customHeight="1">
      <c r="A2011" t="inlineStr">
        <is>
          <t>A 63955-2023</t>
        </is>
      </c>
      <c r="B2011" s="1" t="n">
        <v>45278</v>
      </c>
      <c r="C2011" s="1" t="n">
        <v>45640</v>
      </c>
      <c r="D2011" t="inlineStr">
        <is>
          <t>VÄRMLANDS LÄN</t>
        </is>
      </c>
      <c r="E2011" t="inlineStr">
        <is>
          <t>TORSBY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63967-2023</t>
        </is>
      </c>
      <c r="B2012" s="1" t="n">
        <v>45278</v>
      </c>
      <c r="C2012" s="1" t="n">
        <v>45640</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64162-2023</t>
        </is>
      </c>
      <c r="B2013" s="1" t="n">
        <v>45279</v>
      </c>
      <c r="C2013" s="1" t="n">
        <v>45640</v>
      </c>
      <c r="D2013" t="inlineStr">
        <is>
          <t>VÄRMLANDS LÄN</t>
        </is>
      </c>
      <c r="E2013" t="inlineStr">
        <is>
          <t>TORSBY</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64432-2023</t>
        </is>
      </c>
      <c r="B2014" s="1" t="n">
        <v>45280</v>
      </c>
      <c r="C2014" s="1" t="n">
        <v>45640</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64389-2023</t>
        </is>
      </c>
      <c r="B2015" s="1" t="n">
        <v>45280</v>
      </c>
      <c r="C2015" s="1" t="n">
        <v>45640</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64454-2023</t>
        </is>
      </c>
      <c r="B2016" s="1" t="n">
        <v>45280</v>
      </c>
      <c r="C2016" s="1" t="n">
        <v>45640</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64395-2023</t>
        </is>
      </c>
      <c r="B2017" s="1" t="n">
        <v>45280</v>
      </c>
      <c r="C2017" s="1" t="n">
        <v>45640</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64400-2023</t>
        </is>
      </c>
      <c r="B2018" s="1" t="n">
        <v>45280</v>
      </c>
      <c r="C2018" s="1" t="n">
        <v>45640</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64429-2023</t>
        </is>
      </c>
      <c r="B2019" s="1" t="n">
        <v>45280</v>
      </c>
      <c r="C2019" s="1" t="n">
        <v>45640</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64590-2023</t>
        </is>
      </c>
      <c r="B2020" s="1" t="n">
        <v>45281</v>
      </c>
      <c r="C2020" s="1" t="n">
        <v>45640</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64602-2023</t>
        </is>
      </c>
      <c r="B2021" s="1" t="n">
        <v>45281</v>
      </c>
      <c r="C2021" s="1" t="n">
        <v>45640</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64641-2023</t>
        </is>
      </c>
      <c r="B2022" s="1" t="n">
        <v>45281</v>
      </c>
      <c r="C2022" s="1" t="n">
        <v>45640</v>
      </c>
      <c r="D2022" t="inlineStr">
        <is>
          <t>VÄRMLANDS LÄN</t>
        </is>
      </c>
      <c r="E2022" t="inlineStr">
        <is>
          <t>TORSBY</t>
        </is>
      </c>
      <c r="F2022" t="inlineStr">
        <is>
          <t>Bergvik skog väst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64671-2023</t>
        </is>
      </c>
      <c r="B2023" s="1" t="n">
        <v>45281</v>
      </c>
      <c r="C2023" s="1" t="n">
        <v>45640</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64664-2023</t>
        </is>
      </c>
      <c r="B2024" s="1" t="n">
        <v>45281</v>
      </c>
      <c r="C2024" s="1" t="n">
        <v>45640</v>
      </c>
      <c r="D2024" t="inlineStr">
        <is>
          <t>VÄRMLANDS LÄN</t>
        </is>
      </c>
      <c r="E2024" t="inlineStr">
        <is>
          <t>TORSBY</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64672-2023</t>
        </is>
      </c>
      <c r="B2025" s="1" t="n">
        <v>45281</v>
      </c>
      <c r="C2025" s="1" t="n">
        <v>45640</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64640-2023</t>
        </is>
      </c>
      <c r="B2026" s="1" t="n">
        <v>45281</v>
      </c>
      <c r="C2026" s="1" t="n">
        <v>45640</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65081-2023</t>
        </is>
      </c>
      <c r="B2027" s="1" t="n">
        <v>45288</v>
      </c>
      <c r="C2027" s="1" t="n">
        <v>45640</v>
      </c>
      <c r="D2027" t="inlineStr">
        <is>
          <t>VÄRMLANDS LÄN</t>
        </is>
      </c>
      <c r="E2027" t="inlineStr">
        <is>
          <t>TORSBY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65134-2023</t>
        </is>
      </c>
      <c r="B2028" s="1" t="n">
        <v>45288</v>
      </c>
      <c r="C2028" s="1" t="n">
        <v>45640</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65204-2023</t>
        </is>
      </c>
      <c r="B2029" s="1" t="n">
        <v>45289</v>
      </c>
      <c r="C2029" s="1" t="n">
        <v>45640</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173-2024</t>
        </is>
      </c>
      <c r="B2030" s="1" t="n">
        <v>45294</v>
      </c>
      <c r="C2030" s="1" t="n">
        <v>45640</v>
      </c>
      <c r="D2030" t="inlineStr">
        <is>
          <t>VÄRMLANDS LÄN</t>
        </is>
      </c>
      <c r="E2030" t="inlineStr">
        <is>
          <t>TORSBY</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119-2024</t>
        </is>
      </c>
      <c r="B2031" s="1" t="n">
        <v>45294</v>
      </c>
      <c r="C2031" s="1" t="n">
        <v>45640</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144-2024</t>
        </is>
      </c>
      <c r="B2032" s="1" t="n">
        <v>45294</v>
      </c>
      <c r="C2032" s="1" t="n">
        <v>45640</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234-2024</t>
        </is>
      </c>
      <c r="B2033" s="1" t="n">
        <v>45294</v>
      </c>
      <c r="C2033" s="1" t="n">
        <v>45640</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176-2024</t>
        </is>
      </c>
      <c r="B2034" s="1" t="n">
        <v>45294</v>
      </c>
      <c r="C2034" s="1" t="n">
        <v>45640</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235-2024</t>
        </is>
      </c>
      <c r="B2035" s="1" t="n">
        <v>45294</v>
      </c>
      <c r="C2035" s="1" t="n">
        <v>45640</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236-2024</t>
        </is>
      </c>
      <c r="B2036" s="1" t="n">
        <v>45294</v>
      </c>
      <c r="C2036" s="1" t="n">
        <v>45640</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266-2024</t>
        </is>
      </c>
      <c r="B2037" s="1" t="n">
        <v>45295</v>
      </c>
      <c r="C2037" s="1" t="n">
        <v>45640</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276-2024</t>
        </is>
      </c>
      <c r="B2038" s="1" t="n">
        <v>45295</v>
      </c>
      <c r="C2038" s="1" t="n">
        <v>45640</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324-2024</t>
        </is>
      </c>
      <c r="B2039" s="1" t="n">
        <v>45295</v>
      </c>
      <c r="C2039" s="1" t="n">
        <v>45640</v>
      </c>
      <c r="D2039" t="inlineStr">
        <is>
          <t>VÄRMLANDS LÄN</t>
        </is>
      </c>
      <c r="E2039" t="inlineStr">
        <is>
          <t>TORSBY</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423-2024</t>
        </is>
      </c>
      <c r="B2040" s="1" t="n">
        <v>45296</v>
      </c>
      <c r="C2040" s="1" t="n">
        <v>45640</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502-2024</t>
        </is>
      </c>
      <c r="B2041" s="1" t="n">
        <v>45299</v>
      </c>
      <c r="C2041" s="1" t="n">
        <v>45640</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737-2024</t>
        </is>
      </c>
      <c r="B2042" s="1" t="n">
        <v>45300</v>
      </c>
      <c r="C2042" s="1" t="n">
        <v>45640</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714-2024</t>
        </is>
      </c>
      <c r="B2043" s="1" t="n">
        <v>45300</v>
      </c>
      <c r="C2043" s="1" t="n">
        <v>45640</v>
      </c>
      <c r="D2043" t="inlineStr">
        <is>
          <t>VÄRMLANDS LÄN</t>
        </is>
      </c>
      <c r="E2043" t="inlineStr">
        <is>
          <t>TORSBY</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731-2024</t>
        </is>
      </c>
      <c r="B2044" s="1" t="n">
        <v>45300</v>
      </c>
      <c r="C2044" s="1" t="n">
        <v>45640</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924-2024</t>
        </is>
      </c>
      <c r="B2045" s="1" t="n">
        <v>45301</v>
      </c>
      <c r="C2045" s="1" t="n">
        <v>45640</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869-2024</t>
        </is>
      </c>
      <c r="B2046" s="1" t="n">
        <v>45301</v>
      </c>
      <c r="C2046" s="1" t="n">
        <v>45640</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877-2024</t>
        </is>
      </c>
      <c r="B2047" s="1" t="n">
        <v>45301</v>
      </c>
      <c r="C2047" s="1" t="n">
        <v>45640</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1001-2024</t>
        </is>
      </c>
      <c r="B2048" s="1" t="n">
        <v>45301</v>
      </c>
      <c r="C2048" s="1" t="n">
        <v>45640</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894-2024</t>
        </is>
      </c>
      <c r="B2049" s="1" t="n">
        <v>45301</v>
      </c>
      <c r="C2049" s="1" t="n">
        <v>45640</v>
      </c>
      <c r="D2049" t="inlineStr">
        <is>
          <t>VÄRMLANDS LÄN</t>
        </is>
      </c>
      <c r="E2049" t="inlineStr">
        <is>
          <t>TORSBY</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1042-2024</t>
        </is>
      </c>
      <c r="B2050" s="1" t="n">
        <v>45301</v>
      </c>
      <c r="C2050" s="1" t="n">
        <v>45640</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1046-2024</t>
        </is>
      </c>
      <c r="B2051" s="1" t="n">
        <v>45301</v>
      </c>
      <c r="C2051" s="1" t="n">
        <v>45640</v>
      </c>
      <c r="D2051" t="inlineStr">
        <is>
          <t>VÄRMLANDS LÄN</t>
        </is>
      </c>
      <c r="E2051" t="inlineStr">
        <is>
          <t>TORSBY</t>
        </is>
      </c>
      <c r="G2051" t="n">
        <v>17.5</v>
      </c>
      <c r="H2051" t="n">
        <v>0</v>
      </c>
      <c r="I2051" t="n">
        <v>0</v>
      </c>
      <c r="J2051" t="n">
        <v>0</v>
      </c>
      <c r="K2051" t="n">
        <v>0</v>
      </c>
      <c r="L2051" t="n">
        <v>0</v>
      </c>
      <c r="M2051" t="n">
        <v>0</v>
      </c>
      <c r="N2051" t="n">
        <v>0</v>
      </c>
      <c r="O2051" t="n">
        <v>0</v>
      </c>
      <c r="P2051" t="n">
        <v>0</v>
      </c>
      <c r="Q2051" t="n">
        <v>0</v>
      </c>
      <c r="R2051" s="2" t="inlineStr"/>
    </row>
    <row r="2052" ht="15" customHeight="1">
      <c r="A2052" t="inlineStr">
        <is>
          <t>A 1041-2024</t>
        </is>
      </c>
      <c r="B2052" s="1" t="n">
        <v>45301</v>
      </c>
      <c r="C2052" s="1" t="n">
        <v>45640</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1040-2024</t>
        </is>
      </c>
      <c r="B2053" s="1" t="n">
        <v>45301</v>
      </c>
      <c r="C2053" s="1" t="n">
        <v>45640</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1080-2024</t>
        </is>
      </c>
      <c r="B2054" s="1" t="n">
        <v>45302</v>
      </c>
      <c r="C2054" s="1" t="n">
        <v>45640</v>
      </c>
      <c r="D2054" t="inlineStr">
        <is>
          <t>VÄRMLANDS LÄN</t>
        </is>
      </c>
      <c r="E2054" t="inlineStr">
        <is>
          <t>TORSBY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1086-2024</t>
        </is>
      </c>
      <c r="B2055" s="1" t="n">
        <v>45302</v>
      </c>
      <c r="C2055" s="1" t="n">
        <v>45640</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1091-2024</t>
        </is>
      </c>
      <c r="B2056" s="1" t="n">
        <v>45302</v>
      </c>
      <c r="C2056" s="1" t="n">
        <v>45640</v>
      </c>
      <c r="D2056" t="inlineStr">
        <is>
          <t>VÄRMLANDS LÄN</t>
        </is>
      </c>
      <c r="E2056" t="inlineStr">
        <is>
          <t>TORSBY</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1243-2024</t>
        </is>
      </c>
      <c r="B2057" s="1" t="n">
        <v>45302</v>
      </c>
      <c r="C2057" s="1" t="n">
        <v>45640</v>
      </c>
      <c r="D2057" t="inlineStr">
        <is>
          <t>VÄRMLANDS LÄN</t>
        </is>
      </c>
      <c r="E2057" t="inlineStr">
        <is>
          <t>TORSBY</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1154-2024</t>
        </is>
      </c>
      <c r="B2058" s="1" t="n">
        <v>45302</v>
      </c>
      <c r="C2058" s="1" t="n">
        <v>45640</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1090-2024</t>
        </is>
      </c>
      <c r="B2059" s="1" t="n">
        <v>45302</v>
      </c>
      <c r="C2059" s="1" t="n">
        <v>45640</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1094-2024</t>
        </is>
      </c>
      <c r="B2060" s="1" t="n">
        <v>45302</v>
      </c>
      <c r="C2060" s="1" t="n">
        <v>45640</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1232-2024</t>
        </is>
      </c>
      <c r="B2061" s="1" t="n">
        <v>45302</v>
      </c>
      <c r="C2061" s="1" t="n">
        <v>45640</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1236-2024</t>
        </is>
      </c>
      <c r="B2062" s="1" t="n">
        <v>45302</v>
      </c>
      <c r="C2062" s="1" t="n">
        <v>45640</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1275-2024</t>
        </is>
      </c>
      <c r="B2063" s="1" t="n">
        <v>45302</v>
      </c>
      <c r="C2063" s="1" t="n">
        <v>45640</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1363-2024</t>
        </is>
      </c>
      <c r="B2064" s="1" t="n">
        <v>45303</v>
      </c>
      <c r="C2064" s="1" t="n">
        <v>45640</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1527-2024</t>
        </is>
      </c>
      <c r="B2065" s="1" t="n">
        <v>45306</v>
      </c>
      <c r="C2065" s="1" t="n">
        <v>45640</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1522-2024</t>
        </is>
      </c>
      <c r="B2066" s="1" t="n">
        <v>45306</v>
      </c>
      <c r="C2066" s="1" t="n">
        <v>45640</v>
      </c>
      <c r="D2066" t="inlineStr">
        <is>
          <t>VÄRMLANDS LÄN</t>
        </is>
      </c>
      <c r="E2066" t="inlineStr">
        <is>
          <t>TORSBY</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1547-2024</t>
        </is>
      </c>
      <c r="B2067" s="1" t="n">
        <v>45306</v>
      </c>
      <c r="C2067" s="1" t="n">
        <v>45640</v>
      </c>
      <c r="D2067" t="inlineStr">
        <is>
          <t>VÄRMLANDS LÄN</t>
        </is>
      </c>
      <c r="E2067" t="inlineStr">
        <is>
          <t>TORSBY</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1528-2024</t>
        </is>
      </c>
      <c r="B2068" s="1" t="n">
        <v>45306</v>
      </c>
      <c r="C2068" s="1" t="n">
        <v>45640</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1637-2024</t>
        </is>
      </c>
      <c r="B2069" s="1" t="n">
        <v>45306</v>
      </c>
      <c r="C2069" s="1" t="n">
        <v>45640</v>
      </c>
      <c r="D2069" t="inlineStr">
        <is>
          <t>VÄRMLANDS LÄN</t>
        </is>
      </c>
      <c r="E2069" t="inlineStr">
        <is>
          <t>TORSBY</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1608-2024</t>
        </is>
      </c>
      <c r="B2070" s="1" t="n">
        <v>45306</v>
      </c>
      <c r="C2070" s="1" t="n">
        <v>45640</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1700-2024</t>
        </is>
      </c>
      <c r="B2071" s="1" t="n">
        <v>45307</v>
      </c>
      <c r="C2071" s="1" t="n">
        <v>45640</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1803-2024</t>
        </is>
      </c>
      <c r="B2072" s="1" t="n">
        <v>45307</v>
      </c>
      <c r="C2072" s="1" t="n">
        <v>45640</v>
      </c>
      <c r="D2072" t="inlineStr">
        <is>
          <t>VÄRMLANDS LÄN</t>
        </is>
      </c>
      <c r="E2072" t="inlineStr">
        <is>
          <t>TORSBY</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1757-2024</t>
        </is>
      </c>
      <c r="B2073" s="1" t="n">
        <v>45307</v>
      </c>
      <c r="C2073" s="1" t="n">
        <v>45640</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1970-2024</t>
        </is>
      </c>
      <c r="B2074" s="1" t="n">
        <v>45308</v>
      </c>
      <c r="C2074" s="1" t="n">
        <v>45640</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2155-2024</t>
        </is>
      </c>
      <c r="B2075" s="1" t="n">
        <v>45309</v>
      </c>
      <c r="C2075" s="1" t="n">
        <v>45640</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2130-2024</t>
        </is>
      </c>
      <c r="B2076" s="1" t="n">
        <v>45309</v>
      </c>
      <c r="C2076" s="1" t="n">
        <v>45640</v>
      </c>
      <c r="D2076" t="inlineStr">
        <is>
          <t>VÄRMLANDS LÄN</t>
        </is>
      </c>
      <c r="E2076" t="inlineStr">
        <is>
          <t>TORSBY</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2308-2024</t>
        </is>
      </c>
      <c r="B2077" s="1" t="n">
        <v>45310</v>
      </c>
      <c r="C2077" s="1" t="n">
        <v>45640</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2328-2024</t>
        </is>
      </c>
      <c r="B2078" s="1" t="n">
        <v>45310</v>
      </c>
      <c r="C2078" s="1" t="n">
        <v>45640</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2466-2024</t>
        </is>
      </c>
      <c r="B2079" s="1" t="n">
        <v>45313</v>
      </c>
      <c r="C2079" s="1" t="n">
        <v>45640</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2689-2024</t>
        </is>
      </c>
      <c r="B2080" s="1" t="n">
        <v>45314</v>
      </c>
      <c r="C2080" s="1" t="n">
        <v>45640</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2784-2024</t>
        </is>
      </c>
      <c r="B2081" s="1" t="n">
        <v>45314</v>
      </c>
      <c r="C2081" s="1" t="n">
        <v>45640</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2662-2024</t>
        </is>
      </c>
      <c r="B2082" s="1" t="n">
        <v>45314</v>
      </c>
      <c r="C2082" s="1" t="n">
        <v>45640</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2870-2024</t>
        </is>
      </c>
      <c r="B2083" s="1" t="n">
        <v>45315</v>
      </c>
      <c r="C2083" s="1" t="n">
        <v>45640</v>
      </c>
      <c r="D2083" t="inlineStr">
        <is>
          <t>VÄRMLANDS LÄN</t>
        </is>
      </c>
      <c r="E2083" t="inlineStr">
        <is>
          <t>TORSBY</t>
        </is>
      </c>
      <c r="F2083" t="inlineStr">
        <is>
          <t>Bergvik skog väst AB</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3106-2024</t>
        </is>
      </c>
      <c r="B2084" s="1" t="n">
        <v>45316</v>
      </c>
      <c r="C2084" s="1" t="n">
        <v>45640</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3069-2024</t>
        </is>
      </c>
      <c r="B2085" s="1" t="n">
        <v>45316</v>
      </c>
      <c r="C2085" s="1" t="n">
        <v>45640</v>
      </c>
      <c r="D2085" t="inlineStr">
        <is>
          <t>VÄRMLANDS LÄN</t>
        </is>
      </c>
      <c r="E2085" t="inlineStr">
        <is>
          <t>TORSBY</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3326-2024</t>
        </is>
      </c>
      <c r="B2086" s="1" t="n">
        <v>45317</v>
      </c>
      <c r="C2086" s="1" t="n">
        <v>45640</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3298-2024</t>
        </is>
      </c>
      <c r="B2087" s="1" t="n">
        <v>45317</v>
      </c>
      <c r="C2087" s="1" t="n">
        <v>45640</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3331-2024</t>
        </is>
      </c>
      <c r="B2088" s="1" t="n">
        <v>45317</v>
      </c>
      <c r="C2088" s="1" t="n">
        <v>45640</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3591-2024</t>
        </is>
      </c>
      <c r="B2089" s="1" t="n">
        <v>45320</v>
      </c>
      <c r="C2089" s="1" t="n">
        <v>45640</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3479-2024</t>
        </is>
      </c>
      <c r="B2090" s="1" t="n">
        <v>45320</v>
      </c>
      <c r="C2090" s="1" t="n">
        <v>45640</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3536-2024</t>
        </is>
      </c>
      <c r="B2091" s="1" t="n">
        <v>45320</v>
      </c>
      <c r="C2091" s="1" t="n">
        <v>45640</v>
      </c>
      <c r="D2091" t="inlineStr">
        <is>
          <t>VÄRMLANDS LÄN</t>
        </is>
      </c>
      <c r="E2091" t="inlineStr">
        <is>
          <t>TORSBY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3590-2024</t>
        </is>
      </c>
      <c r="B2092" s="1" t="n">
        <v>45320</v>
      </c>
      <c r="C2092" s="1" t="n">
        <v>45640</v>
      </c>
      <c r="D2092" t="inlineStr">
        <is>
          <t>VÄRMLANDS LÄN</t>
        </is>
      </c>
      <c r="E2092" t="inlineStr">
        <is>
          <t>TORSBY</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3608-2024</t>
        </is>
      </c>
      <c r="B2093" s="1" t="n">
        <v>45320</v>
      </c>
      <c r="C2093" s="1" t="n">
        <v>45640</v>
      </c>
      <c r="D2093" t="inlineStr">
        <is>
          <t>VÄRMLANDS LÄN</t>
        </is>
      </c>
      <c r="E2093" t="inlineStr">
        <is>
          <t>TORSBY</t>
        </is>
      </c>
      <c r="G2093" t="n">
        <v>20.2</v>
      </c>
      <c r="H2093" t="n">
        <v>0</v>
      </c>
      <c r="I2093" t="n">
        <v>0</v>
      </c>
      <c r="J2093" t="n">
        <v>0</v>
      </c>
      <c r="K2093" t="n">
        <v>0</v>
      </c>
      <c r="L2093" t="n">
        <v>0</v>
      </c>
      <c r="M2093" t="n">
        <v>0</v>
      </c>
      <c r="N2093" t="n">
        <v>0</v>
      </c>
      <c r="O2093" t="n">
        <v>0</v>
      </c>
      <c r="P2093" t="n">
        <v>0</v>
      </c>
      <c r="Q2093" t="n">
        <v>0</v>
      </c>
      <c r="R2093" s="2" t="inlineStr"/>
    </row>
    <row r="2094" ht="15" customHeight="1">
      <c r="A2094" t="inlineStr">
        <is>
          <t>A 3678-2024</t>
        </is>
      </c>
      <c r="B2094" s="1" t="n">
        <v>45321</v>
      </c>
      <c r="C2094" s="1" t="n">
        <v>45640</v>
      </c>
      <c r="D2094" t="inlineStr">
        <is>
          <t>VÄRMLANDS LÄN</t>
        </is>
      </c>
      <c r="E2094" t="inlineStr">
        <is>
          <t>TORSBY</t>
        </is>
      </c>
      <c r="G2094" t="n">
        <v>24.6</v>
      </c>
      <c r="H2094" t="n">
        <v>0</v>
      </c>
      <c r="I2094" t="n">
        <v>0</v>
      </c>
      <c r="J2094" t="n">
        <v>0</v>
      </c>
      <c r="K2094" t="n">
        <v>0</v>
      </c>
      <c r="L2094" t="n">
        <v>0</v>
      </c>
      <c r="M2094" t="n">
        <v>0</v>
      </c>
      <c r="N2094" t="n">
        <v>0</v>
      </c>
      <c r="O2094" t="n">
        <v>0</v>
      </c>
      <c r="P2094" t="n">
        <v>0</v>
      </c>
      <c r="Q2094" t="n">
        <v>0</v>
      </c>
      <c r="R2094" s="2" t="inlineStr"/>
    </row>
    <row r="2095" ht="15" customHeight="1">
      <c r="A2095" t="inlineStr">
        <is>
          <t>A 3672-2024</t>
        </is>
      </c>
      <c r="B2095" s="1" t="n">
        <v>45321</v>
      </c>
      <c r="C2095" s="1" t="n">
        <v>45640</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3720-2024</t>
        </is>
      </c>
      <c r="B2096" s="1" t="n">
        <v>45321</v>
      </c>
      <c r="C2096" s="1" t="n">
        <v>45640</v>
      </c>
      <c r="D2096" t="inlineStr">
        <is>
          <t>VÄRMLANDS LÄN</t>
        </is>
      </c>
      <c r="E2096" t="inlineStr">
        <is>
          <t>TORSBY</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3724-2024</t>
        </is>
      </c>
      <c r="B2097" s="1" t="n">
        <v>45321</v>
      </c>
      <c r="C2097" s="1" t="n">
        <v>45640</v>
      </c>
      <c r="D2097" t="inlineStr">
        <is>
          <t>VÄRMLANDS LÄN</t>
        </is>
      </c>
      <c r="E2097" t="inlineStr">
        <is>
          <t>TORSBY</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3673-2024</t>
        </is>
      </c>
      <c r="B2098" s="1" t="n">
        <v>45321</v>
      </c>
      <c r="C2098" s="1" t="n">
        <v>45640</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3750-2024</t>
        </is>
      </c>
      <c r="B2099" s="1" t="n">
        <v>45321</v>
      </c>
      <c r="C2099" s="1" t="n">
        <v>45640</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3734-2024</t>
        </is>
      </c>
      <c r="B2100" s="1" t="n">
        <v>45321</v>
      </c>
      <c r="C2100" s="1" t="n">
        <v>45640</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3822-2024</t>
        </is>
      </c>
      <c r="B2101" s="1" t="n">
        <v>45321</v>
      </c>
      <c r="C2101" s="1" t="n">
        <v>45640</v>
      </c>
      <c r="D2101" t="inlineStr">
        <is>
          <t>VÄRMLANDS LÄN</t>
        </is>
      </c>
      <c r="E2101" t="inlineStr">
        <is>
          <t>TORSBY</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3922-2024</t>
        </is>
      </c>
      <c r="B2102" s="1" t="n">
        <v>45322</v>
      </c>
      <c r="C2102" s="1" t="n">
        <v>45640</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4030-2024</t>
        </is>
      </c>
      <c r="B2103" s="1" t="n">
        <v>45323</v>
      </c>
      <c r="C2103" s="1" t="n">
        <v>45640</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4070-2024</t>
        </is>
      </c>
      <c r="B2104" s="1" t="n">
        <v>45323</v>
      </c>
      <c r="C2104" s="1" t="n">
        <v>45640</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4078-2024</t>
        </is>
      </c>
      <c r="B2105" s="1" t="n">
        <v>45323</v>
      </c>
      <c r="C2105" s="1" t="n">
        <v>45640</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4231-2024</t>
        </is>
      </c>
      <c r="B2106" s="1" t="n">
        <v>45324</v>
      </c>
      <c r="C2106" s="1" t="n">
        <v>45640</v>
      </c>
      <c r="D2106" t="inlineStr">
        <is>
          <t>VÄRMLANDS LÄN</t>
        </is>
      </c>
      <c r="E2106" t="inlineStr">
        <is>
          <t>TORSBY</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4219-2024</t>
        </is>
      </c>
      <c r="B2107" s="1" t="n">
        <v>45324</v>
      </c>
      <c r="C2107" s="1" t="n">
        <v>45640</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4908-2024</t>
        </is>
      </c>
      <c r="B2108" s="1" t="n">
        <v>45329</v>
      </c>
      <c r="C2108" s="1" t="n">
        <v>45640</v>
      </c>
      <c r="D2108" t="inlineStr">
        <is>
          <t>VÄRMLANDS LÄN</t>
        </is>
      </c>
      <c r="E2108" t="inlineStr">
        <is>
          <t>TORSBY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4918-2024</t>
        </is>
      </c>
      <c r="B2109" s="1" t="n">
        <v>45329</v>
      </c>
      <c r="C2109" s="1" t="n">
        <v>45640</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4920-2024</t>
        </is>
      </c>
      <c r="B2110" s="1" t="n">
        <v>45329</v>
      </c>
      <c r="C2110" s="1" t="n">
        <v>45640</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4913-2024</t>
        </is>
      </c>
      <c r="B2111" s="1" t="n">
        <v>45329</v>
      </c>
      <c r="C2111" s="1" t="n">
        <v>45640</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5115-2024</t>
        </is>
      </c>
      <c r="B2112" s="1" t="n">
        <v>45330</v>
      </c>
      <c r="C2112" s="1" t="n">
        <v>45640</v>
      </c>
      <c r="D2112" t="inlineStr">
        <is>
          <t>VÄRMLANDS LÄN</t>
        </is>
      </c>
      <c r="E2112" t="inlineStr">
        <is>
          <t>TORSBY</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5351-2024</t>
        </is>
      </c>
      <c r="B2113" s="1" t="n">
        <v>45331</v>
      </c>
      <c r="C2113" s="1" t="n">
        <v>45640</v>
      </c>
      <c r="D2113" t="inlineStr">
        <is>
          <t>VÄRMLANDS LÄN</t>
        </is>
      </c>
      <c r="E2113" t="inlineStr">
        <is>
          <t>TORSBY</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5509-2024</t>
        </is>
      </c>
      <c r="B2114" s="1" t="n">
        <v>45334</v>
      </c>
      <c r="C2114" s="1" t="n">
        <v>45640</v>
      </c>
      <c r="D2114" t="inlineStr">
        <is>
          <t>VÄRMLANDS LÄN</t>
        </is>
      </c>
      <c r="E2114" t="inlineStr">
        <is>
          <t>TORSBY</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5814-2024</t>
        </is>
      </c>
      <c r="B2115" s="1" t="n">
        <v>45335</v>
      </c>
      <c r="C2115" s="1" t="n">
        <v>45640</v>
      </c>
      <c r="D2115" t="inlineStr">
        <is>
          <t>VÄRMLANDS LÄN</t>
        </is>
      </c>
      <c r="E2115" t="inlineStr">
        <is>
          <t>TORSBY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5863-2024</t>
        </is>
      </c>
      <c r="B2116" s="1" t="n">
        <v>45335</v>
      </c>
      <c r="C2116" s="1" t="n">
        <v>45640</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5948-2024</t>
        </is>
      </c>
      <c r="B2117" s="1" t="n">
        <v>45336</v>
      </c>
      <c r="C2117" s="1" t="n">
        <v>45640</v>
      </c>
      <c r="D2117" t="inlineStr">
        <is>
          <t>VÄRMLANDS LÄN</t>
        </is>
      </c>
      <c r="E2117" t="inlineStr">
        <is>
          <t>TORSBY</t>
        </is>
      </c>
      <c r="F2117" t="inlineStr">
        <is>
          <t>Bergvik skog väst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6013-2024</t>
        </is>
      </c>
      <c r="B2118" s="1" t="n">
        <v>45336</v>
      </c>
      <c r="C2118" s="1" t="n">
        <v>45640</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6371-2024</t>
        </is>
      </c>
      <c r="B2119" s="1" t="n">
        <v>45338</v>
      </c>
      <c r="C2119" s="1" t="n">
        <v>45640</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6648-2024</t>
        </is>
      </c>
      <c r="B2120" s="1" t="n">
        <v>45341</v>
      </c>
      <c r="C2120" s="1" t="n">
        <v>45640</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6646-2024</t>
        </is>
      </c>
      <c r="B2121" s="1" t="n">
        <v>45341</v>
      </c>
      <c r="C2121" s="1" t="n">
        <v>45640</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6675-2024</t>
        </is>
      </c>
      <c r="B2122" s="1" t="n">
        <v>45341</v>
      </c>
      <c r="C2122" s="1" t="n">
        <v>45640</v>
      </c>
      <c r="D2122" t="inlineStr">
        <is>
          <t>VÄRMLANDS LÄN</t>
        </is>
      </c>
      <c r="E2122" t="inlineStr">
        <is>
          <t>TORSBY</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6828-2024</t>
        </is>
      </c>
      <c r="B2123" s="1" t="n">
        <v>45342</v>
      </c>
      <c r="C2123" s="1" t="n">
        <v>45640</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6943-2024</t>
        </is>
      </c>
      <c r="B2124" s="1" t="n">
        <v>45343</v>
      </c>
      <c r="C2124" s="1" t="n">
        <v>45640</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6942-2024</t>
        </is>
      </c>
      <c r="B2125" s="1" t="n">
        <v>45343</v>
      </c>
      <c r="C2125" s="1" t="n">
        <v>45640</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7221-2024</t>
        </is>
      </c>
      <c r="B2126" s="1" t="n">
        <v>45344</v>
      </c>
      <c r="C2126" s="1" t="n">
        <v>45640</v>
      </c>
      <c r="D2126" t="inlineStr">
        <is>
          <t>VÄRMLANDS LÄN</t>
        </is>
      </c>
      <c r="E2126" t="inlineStr">
        <is>
          <t>TORSBY</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7490-2024</t>
        </is>
      </c>
      <c r="B2127" s="1" t="n">
        <v>45346</v>
      </c>
      <c r="C2127" s="1" t="n">
        <v>45640</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7494-2024</t>
        </is>
      </c>
      <c r="B2128" s="1" t="n">
        <v>45346</v>
      </c>
      <c r="C2128" s="1" t="n">
        <v>45640</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7487-2024</t>
        </is>
      </c>
      <c r="B2129" s="1" t="n">
        <v>45346</v>
      </c>
      <c r="C2129" s="1" t="n">
        <v>45640</v>
      </c>
      <c r="D2129" t="inlineStr">
        <is>
          <t>VÄRMLANDS LÄN</t>
        </is>
      </c>
      <c r="E2129" t="inlineStr">
        <is>
          <t>TORSBY</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7491-2024</t>
        </is>
      </c>
      <c r="B2130" s="1" t="n">
        <v>45346</v>
      </c>
      <c r="C2130" s="1" t="n">
        <v>45640</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7489-2024</t>
        </is>
      </c>
      <c r="B2131" s="1" t="n">
        <v>45346</v>
      </c>
      <c r="C2131" s="1" t="n">
        <v>45640</v>
      </c>
      <c r="D2131" t="inlineStr">
        <is>
          <t>VÄRMLANDS LÄN</t>
        </is>
      </c>
      <c r="E2131" t="inlineStr">
        <is>
          <t>TORSBY</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7493-2024</t>
        </is>
      </c>
      <c r="B2132" s="1" t="n">
        <v>45346</v>
      </c>
      <c r="C2132" s="1" t="n">
        <v>45640</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7488-2024</t>
        </is>
      </c>
      <c r="B2133" s="1" t="n">
        <v>45346</v>
      </c>
      <c r="C2133" s="1" t="n">
        <v>45640</v>
      </c>
      <c r="D2133" t="inlineStr">
        <is>
          <t>VÄRMLANDS LÄN</t>
        </is>
      </c>
      <c r="E2133" t="inlineStr">
        <is>
          <t>TORSBY</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7500-2024</t>
        </is>
      </c>
      <c r="B2134" s="1" t="n">
        <v>45347</v>
      </c>
      <c r="C2134" s="1" t="n">
        <v>45640</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7651-2024</t>
        </is>
      </c>
      <c r="B2135" s="1" t="n">
        <v>45348</v>
      </c>
      <c r="C2135" s="1" t="n">
        <v>45640</v>
      </c>
      <c r="D2135" t="inlineStr">
        <is>
          <t>VÄRMLANDS LÄN</t>
        </is>
      </c>
      <c r="E2135" t="inlineStr">
        <is>
          <t>TORSBY</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7636-2024</t>
        </is>
      </c>
      <c r="B2136" s="1" t="n">
        <v>45348</v>
      </c>
      <c r="C2136" s="1" t="n">
        <v>45640</v>
      </c>
      <c r="D2136" t="inlineStr">
        <is>
          <t>VÄRMLANDS LÄN</t>
        </is>
      </c>
      <c r="E2136" t="inlineStr">
        <is>
          <t>TORSBY</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7676-2024</t>
        </is>
      </c>
      <c r="B2137" s="1" t="n">
        <v>45348</v>
      </c>
      <c r="C2137" s="1" t="n">
        <v>45640</v>
      </c>
      <c r="D2137" t="inlineStr">
        <is>
          <t>VÄRMLANDS LÄN</t>
        </is>
      </c>
      <c r="E2137" t="inlineStr">
        <is>
          <t>TORSBY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7677-2024</t>
        </is>
      </c>
      <c r="B2138" s="1" t="n">
        <v>45348</v>
      </c>
      <c r="C2138" s="1" t="n">
        <v>45640</v>
      </c>
      <c r="D2138" t="inlineStr">
        <is>
          <t>VÄRMLANDS LÄN</t>
        </is>
      </c>
      <c r="E2138" t="inlineStr">
        <is>
          <t>TORSBY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7757-2024</t>
        </is>
      </c>
      <c r="B2139" s="1" t="n">
        <v>45349</v>
      </c>
      <c r="C2139" s="1" t="n">
        <v>45640</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7927-2024</t>
        </is>
      </c>
      <c r="B2140" s="1" t="n">
        <v>45350</v>
      </c>
      <c r="C2140" s="1" t="n">
        <v>45640</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8012-2024</t>
        </is>
      </c>
      <c r="B2141" s="1" t="n">
        <v>45350</v>
      </c>
      <c r="C2141" s="1" t="n">
        <v>45640</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8625-2024</t>
        </is>
      </c>
      <c r="B2142" s="1" t="n">
        <v>45355</v>
      </c>
      <c r="C2142" s="1" t="n">
        <v>45640</v>
      </c>
      <c r="D2142" t="inlineStr">
        <is>
          <t>VÄRMLANDS LÄN</t>
        </is>
      </c>
      <c r="E2142" t="inlineStr">
        <is>
          <t>TORSBY</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8728-2024</t>
        </is>
      </c>
      <c r="B2143" s="1" t="n">
        <v>45356</v>
      </c>
      <c r="C2143" s="1" t="n">
        <v>45640</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8720-2024</t>
        </is>
      </c>
      <c r="B2144" s="1" t="n">
        <v>45356</v>
      </c>
      <c r="C2144" s="1" t="n">
        <v>45640</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8725-2024</t>
        </is>
      </c>
      <c r="B2145" s="1" t="n">
        <v>45356</v>
      </c>
      <c r="C2145" s="1" t="n">
        <v>45640</v>
      </c>
      <c r="D2145" t="inlineStr">
        <is>
          <t>VÄRMLANDS LÄN</t>
        </is>
      </c>
      <c r="E2145" t="inlineStr">
        <is>
          <t>TORSBY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8719-2024</t>
        </is>
      </c>
      <c r="B2146" s="1" t="n">
        <v>45356</v>
      </c>
      <c r="C2146" s="1" t="n">
        <v>45640</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9203-2024</t>
        </is>
      </c>
      <c r="B2147" s="1" t="n">
        <v>45358</v>
      </c>
      <c r="C2147" s="1" t="n">
        <v>45640</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9381-2024</t>
        </is>
      </c>
      <c r="B2148" s="1" t="n">
        <v>45359</v>
      </c>
      <c r="C2148" s="1" t="n">
        <v>45640</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9764-2024</t>
        </is>
      </c>
      <c r="B2149" s="1" t="n">
        <v>45362</v>
      </c>
      <c r="C2149" s="1" t="n">
        <v>45640</v>
      </c>
      <c r="D2149" t="inlineStr">
        <is>
          <t>VÄRMLANDS LÄN</t>
        </is>
      </c>
      <c r="E2149" t="inlineStr">
        <is>
          <t>TORSBY</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9799-2024</t>
        </is>
      </c>
      <c r="B2150" s="1" t="n">
        <v>45362</v>
      </c>
      <c r="C2150" s="1" t="n">
        <v>45640</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9793-2024</t>
        </is>
      </c>
      <c r="B2151" s="1" t="n">
        <v>45362</v>
      </c>
      <c r="C2151" s="1" t="n">
        <v>45640</v>
      </c>
      <c r="D2151" t="inlineStr">
        <is>
          <t>VÄRMLANDS LÄN</t>
        </is>
      </c>
      <c r="E2151" t="inlineStr">
        <is>
          <t>TORSBY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9797-2024</t>
        </is>
      </c>
      <c r="B2152" s="1" t="n">
        <v>45362</v>
      </c>
      <c r="C2152" s="1" t="n">
        <v>45640</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9902-2024</t>
        </is>
      </c>
      <c r="B2153" s="1" t="n">
        <v>45363</v>
      </c>
      <c r="C2153" s="1" t="n">
        <v>45640</v>
      </c>
      <c r="D2153" t="inlineStr">
        <is>
          <t>VÄRMLANDS LÄN</t>
        </is>
      </c>
      <c r="E2153" t="inlineStr">
        <is>
          <t>TORSBY</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9900-2024</t>
        </is>
      </c>
      <c r="B2154" s="1" t="n">
        <v>45363</v>
      </c>
      <c r="C2154" s="1" t="n">
        <v>45640</v>
      </c>
      <c r="D2154" t="inlineStr">
        <is>
          <t>VÄRMLANDS LÄN</t>
        </is>
      </c>
      <c r="E2154" t="inlineStr">
        <is>
          <t>TORSBY</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9904-2024</t>
        </is>
      </c>
      <c r="B2155" s="1" t="n">
        <v>45363</v>
      </c>
      <c r="C2155" s="1" t="n">
        <v>45640</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9908-2024</t>
        </is>
      </c>
      <c r="B2156" s="1" t="n">
        <v>45363</v>
      </c>
      <c r="C2156" s="1" t="n">
        <v>45640</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9912-2024</t>
        </is>
      </c>
      <c r="B2157" s="1" t="n">
        <v>45363</v>
      </c>
      <c r="C2157" s="1" t="n">
        <v>45640</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9871-2024</t>
        </is>
      </c>
      <c r="B2158" s="1" t="n">
        <v>45363</v>
      </c>
      <c r="C2158" s="1" t="n">
        <v>45640</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10011-2024</t>
        </is>
      </c>
      <c r="B2159" s="1" t="n">
        <v>45363</v>
      </c>
      <c r="C2159" s="1" t="n">
        <v>45640</v>
      </c>
      <c r="D2159" t="inlineStr">
        <is>
          <t>VÄRMLANDS LÄN</t>
        </is>
      </c>
      <c r="E2159" t="inlineStr">
        <is>
          <t>TORSBY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10304-2024</t>
        </is>
      </c>
      <c r="B2160" s="1" t="n">
        <v>45365</v>
      </c>
      <c r="C2160" s="1" t="n">
        <v>45640</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10372-2024</t>
        </is>
      </c>
      <c r="B2161" s="1" t="n">
        <v>45365</v>
      </c>
      <c r="C2161" s="1" t="n">
        <v>45640</v>
      </c>
      <c r="D2161" t="inlineStr">
        <is>
          <t>VÄRMLANDS LÄN</t>
        </is>
      </c>
      <c r="E2161" t="inlineStr">
        <is>
          <t>TORSBY</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10380-2024</t>
        </is>
      </c>
      <c r="B2162" s="1" t="n">
        <v>45365</v>
      </c>
      <c r="C2162" s="1" t="n">
        <v>45640</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10466-2024</t>
        </is>
      </c>
      <c r="B2163" s="1" t="n">
        <v>45366</v>
      </c>
      <c r="C2163" s="1" t="n">
        <v>45640</v>
      </c>
      <c r="D2163" t="inlineStr">
        <is>
          <t>VÄRMLANDS LÄN</t>
        </is>
      </c>
      <c r="E2163" t="inlineStr">
        <is>
          <t>TORSBY</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10589-2024</t>
        </is>
      </c>
      <c r="B2164" s="1" t="n">
        <v>45366</v>
      </c>
      <c r="C2164" s="1" t="n">
        <v>45640</v>
      </c>
      <c r="D2164" t="inlineStr">
        <is>
          <t>VÄRMLANDS LÄN</t>
        </is>
      </c>
      <c r="E2164" t="inlineStr">
        <is>
          <t>TORSBY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10587-2024</t>
        </is>
      </c>
      <c r="B2165" s="1" t="n">
        <v>45366</v>
      </c>
      <c r="C2165" s="1" t="n">
        <v>45640</v>
      </c>
      <c r="D2165" t="inlineStr">
        <is>
          <t>VÄRMLANDS LÄN</t>
        </is>
      </c>
      <c r="E2165" t="inlineStr">
        <is>
          <t>TORSBY</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10684-2024</t>
        </is>
      </c>
      <c r="B2166" s="1" t="n">
        <v>45369</v>
      </c>
      <c r="C2166" s="1" t="n">
        <v>45640</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10895-2024</t>
        </is>
      </c>
      <c r="B2167" s="1" t="n">
        <v>45370</v>
      </c>
      <c r="C2167" s="1" t="n">
        <v>45640</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11121-2024</t>
        </is>
      </c>
      <c r="B2168" s="1" t="n">
        <v>45371</v>
      </c>
      <c r="C2168" s="1" t="n">
        <v>45640</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11153-2024</t>
        </is>
      </c>
      <c r="B2169" s="1" t="n">
        <v>45371</v>
      </c>
      <c r="C2169" s="1" t="n">
        <v>45640</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11135-2024</t>
        </is>
      </c>
      <c r="B2170" s="1" t="n">
        <v>45371</v>
      </c>
      <c r="C2170" s="1" t="n">
        <v>45640</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11143-2024</t>
        </is>
      </c>
      <c r="B2171" s="1" t="n">
        <v>45371</v>
      </c>
      <c r="C2171" s="1" t="n">
        <v>45640</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11187-2024</t>
        </is>
      </c>
      <c r="B2172" s="1" t="n">
        <v>45371</v>
      </c>
      <c r="C2172" s="1" t="n">
        <v>45640</v>
      </c>
      <c r="D2172" t="inlineStr">
        <is>
          <t>VÄRMLANDS LÄN</t>
        </is>
      </c>
      <c r="E2172" t="inlineStr">
        <is>
          <t>TORSBY</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11211-2024</t>
        </is>
      </c>
      <c r="B2173" s="1" t="n">
        <v>45371</v>
      </c>
      <c r="C2173" s="1" t="n">
        <v>45640</v>
      </c>
      <c r="D2173" t="inlineStr">
        <is>
          <t>VÄRMLANDS LÄN</t>
        </is>
      </c>
      <c r="E2173" t="inlineStr">
        <is>
          <t>TORSBY</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11227-2024</t>
        </is>
      </c>
      <c r="B2174" s="1" t="n">
        <v>45371</v>
      </c>
      <c r="C2174" s="1" t="n">
        <v>45640</v>
      </c>
      <c r="D2174" t="inlineStr">
        <is>
          <t>VÄRMLANDS LÄN</t>
        </is>
      </c>
      <c r="E2174" t="inlineStr">
        <is>
          <t>TORSBY</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11235-2024</t>
        </is>
      </c>
      <c r="B2175" s="1" t="n">
        <v>45371</v>
      </c>
      <c r="C2175" s="1" t="n">
        <v>45640</v>
      </c>
      <c r="D2175" t="inlineStr">
        <is>
          <t>VÄRMLANDS LÄN</t>
        </is>
      </c>
      <c r="E2175" t="inlineStr">
        <is>
          <t>TORSBY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11214-2024</t>
        </is>
      </c>
      <c r="B2176" s="1" t="n">
        <v>45371</v>
      </c>
      <c r="C2176" s="1" t="n">
        <v>45640</v>
      </c>
      <c r="D2176" t="inlineStr">
        <is>
          <t>VÄRMLANDS LÄN</t>
        </is>
      </c>
      <c r="E2176" t="inlineStr">
        <is>
          <t>TORSBY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11222-2024</t>
        </is>
      </c>
      <c r="B2177" s="1" t="n">
        <v>45371</v>
      </c>
      <c r="C2177" s="1" t="n">
        <v>45640</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45640</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45640</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11259-2024</t>
        </is>
      </c>
      <c r="B2180" s="1" t="n">
        <v>45371</v>
      </c>
      <c r="C2180" s="1" t="n">
        <v>45640</v>
      </c>
      <c r="D2180" t="inlineStr">
        <is>
          <t>VÄRMLANDS LÄN</t>
        </is>
      </c>
      <c r="E2180" t="inlineStr">
        <is>
          <t>TORSBY</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11172-2024</t>
        </is>
      </c>
      <c r="B2181" s="1" t="n">
        <v>45371</v>
      </c>
      <c r="C2181" s="1" t="n">
        <v>45640</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11380-2024</t>
        </is>
      </c>
      <c r="B2182" s="1" t="n">
        <v>45372</v>
      </c>
      <c r="C2182" s="1" t="n">
        <v>45640</v>
      </c>
      <c r="D2182" t="inlineStr">
        <is>
          <t>VÄRMLANDS LÄN</t>
        </is>
      </c>
      <c r="E2182" t="inlineStr">
        <is>
          <t>TORSBY</t>
        </is>
      </c>
      <c r="F2182" t="inlineStr">
        <is>
          <t>Bergvik skog väst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11575-2024</t>
        </is>
      </c>
      <c r="B2183" s="1" t="n">
        <v>45373</v>
      </c>
      <c r="C2183" s="1" t="n">
        <v>45640</v>
      </c>
      <c r="D2183" t="inlineStr">
        <is>
          <t>VÄRMLANDS LÄN</t>
        </is>
      </c>
      <c r="E2183" t="inlineStr">
        <is>
          <t>TORSBY</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11706-2024</t>
        </is>
      </c>
      <c r="B2184" s="1" t="n">
        <v>45373</v>
      </c>
      <c r="C2184" s="1" t="n">
        <v>45640</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11776-2024</t>
        </is>
      </c>
      <c r="B2185" s="1" t="n">
        <v>45374</v>
      </c>
      <c r="C2185" s="1" t="n">
        <v>45640</v>
      </c>
      <c r="D2185" t="inlineStr">
        <is>
          <t>VÄRMLANDS LÄN</t>
        </is>
      </c>
      <c r="E2185" t="inlineStr">
        <is>
          <t>TORSBY</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11814-2024</t>
        </is>
      </c>
      <c r="B2186" s="1" t="n">
        <v>45376</v>
      </c>
      <c r="C2186" s="1" t="n">
        <v>45640</v>
      </c>
      <c r="D2186" t="inlineStr">
        <is>
          <t>VÄRMLANDS LÄN</t>
        </is>
      </c>
      <c r="E2186" t="inlineStr">
        <is>
          <t>TORSBY</t>
        </is>
      </c>
      <c r="F2186" t="inlineStr">
        <is>
          <t>Bergvik skog väst AB</t>
        </is>
      </c>
      <c r="G2186" t="n">
        <v>19.9</v>
      </c>
      <c r="H2186" t="n">
        <v>0</v>
      </c>
      <c r="I2186" t="n">
        <v>0</v>
      </c>
      <c r="J2186" t="n">
        <v>0</v>
      </c>
      <c r="K2186" t="n">
        <v>0</v>
      </c>
      <c r="L2186" t="n">
        <v>0</v>
      </c>
      <c r="M2186" t="n">
        <v>0</v>
      </c>
      <c r="N2186" t="n">
        <v>0</v>
      </c>
      <c r="O2186" t="n">
        <v>0</v>
      </c>
      <c r="P2186" t="n">
        <v>0</v>
      </c>
      <c r="Q2186" t="n">
        <v>0</v>
      </c>
      <c r="R2186" s="2" t="inlineStr"/>
    </row>
    <row r="2187" ht="15" customHeight="1">
      <c r="A2187" t="inlineStr">
        <is>
          <t>A 11850-2024</t>
        </is>
      </c>
      <c r="B2187" s="1" t="n">
        <v>45376</v>
      </c>
      <c r="C2187" s="1" t="n">
        <v>45640</v>
      </c>
      <c r="D2187" t="inlineStr">
        <is>
          <t>VÄRMLANDS LÄN</t>
        </is>
      </c>
      <c r="E2187" t="inlineStr">
        <is>
          <t>TORSBY</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11878-2024</t>
        </is>
      </c>
      <c r="B2188" s="1" t="n">
        <v>45376</v>
      </c>
      <c r="C2188" s="1" t="n">
        <v>45640</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12104-2024</t>
        </is>
      </c>
      <c r="B2189" s="1" t="n">
        <v>45377</v>
      </c>
      <c r="C2189" s="1" t="n">
        <v>45640</v>
      </c>
      <c r="D2189" t="inlineStr">
        <is>
          <t>VÄRMLANDS LÄN</t>
        </is>
      </c>
      <c r="E2189" t="inlineStr">
        <is>
          <t>TORSBY</t>
        </is>
      </c>
      <c r="F2189" t="inlineStr">
        <is>
          <t>Bergvik skog väst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12107-2024</t>
        </is>
      </c>
      <c r="B2190" s="1" t="n">
        <v>45377</v>
      </c>
      <c r="C2190" s="1" t="n">
        <v>45640</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12051-2024</t>
        </is>
      </c>
      <c r="B2191" s="1" t="n">
        <v>45377</v>
      </c>
      <c r="C2191" s="1" t="n">
        <v>45640</v>
      </c>
      <c r="D2191" t="inlineStr">
        <is>
          <t>VÄRMLANDS LÄN</t>
        </is>
      </c>
      <c r="E2191" t="inlineStr">
        <is>
          <t>TORSBY</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12509-2024</t>
        </is>
      </c>
      <c r="B2192" s="1" t="n">
        <v>45379</v>
      </c>
      <c r="C2192" s="1" t="n">
        <v>45640</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12503-2024</t>
        </is>
      </c>
      <c r="B2193" s="1" t="n">
        <v>45379</v>
      </c>
      <c r="C2193" s="1" t="n">
        <v>45640</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12684-2024</t>
        </is>
      </c>
      <c r="B2194" s="1" t="n">
        <v>45384</v>
      </c>
      <c r="C2194" s="1" t="n">
        <v>45640</v>
      </c>
      <c r="D2194" t="inlineStr">
        <is>
          <t>VÄRMLANDS LÄN</t>
        </is>
      </c>
      <c r="E2194" t="inlineStr">
        <is>
          <t>TORSBY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12701-2024</t>
        </is>
      </c>
      <c r="B2195" s="1" t="n">
        <v>45384</v>
      </c>
      <c r="C2195" s="1" t="n">
        <v>45640</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12989-2024</t>
        </is>
      </c>
      <c r="B2196" s="1" t="n">
        <v>45385</v>
      </c>
      <c r="C2196" s="1" t="n">
        <v>45640</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13211-2024</t>
        </is>
      </c>
      <c r="B2197" s="1" t="n">
        <v>45386</v>
      </c>
      <c r="C2197" s="1" t="n">
        <v>45640</v>
      </c>
      <c r="D2197" t="inlineStr">
        <is>
          <t>VÄRMLANDS LÄN</t>
        </is>
      </c>
      <c r="E2197" t="inlineStr">
        <is>
          <t>TORSBY</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13262-2024</t>
        </is>
      </c>
      <c r="B2198" s="1" t="n">
        <v>45386</v>
      </c>
      <c r="C2198" s="1" t="n">
        <v>45640</v>
      </c>
      <c r="D2198" t="inlineStr">
        <is>
          <t>VÄRMLANDS LÄN</t>
        </is>
      </c>
      <c r="E2198" t="inlineStr">
        <is>
          <t>TORSBY</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13186-2024</t>
        </is>
      </c>
      <c r="B2199" s="1" t="n">
        <v>45386</v>
      </c>
      <c r="C2199" s="1" t="n">
        <v>45640</v>
      </c>
      <c r="D2199" t="inlineStr">
        <is>
          <t>VÄRMLANDS LÄN</t>
        </is>
      </c>
      <c r="E2199" t="inlineStr">
        <is>
          <t>TORSBY</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13206-2024</t>
        </is>
      </c>
      <c r="B2200" s="1" t="n">
        <v>45386</v>
      </c>
      <c r="C2200" s="1" t="n">
        <v>45640</v>
      </c>
      <c r="D2200" t="inlineStr">
        <is>
          <t>VÄRMLANDS LÄN</t>
        </is>
      </c>
      <c r="E2200" t="inlineStr">
        <is>
          <t>TORSBY</t>
        </is>
      </c>
      <c r="F2200" t="inlineStr">
        <is>
          <t>Bergvik skog väst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13435-2024</t>
        </is>
      </c>
      <c r="B2201" s="1" t="n">
        <v>45387</v>
      </c>
      <c r="C2201" s="1" t="n">
        <v>45640</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13619-2024</t>
        </is>
      </c>
      <c r="B2202" s="1" t="n">
        <v>45390</v>
      </c>
      <c r="C2202" s="1" t="n">
        <v>45640</v>
      </c>
      <c r="D2202" t="inlineStr">
        <is>
          <t>VÄRMLANDS LÄN</t>
        </is>
      </c>
      <c r="E2202" t="inlineStr">
        <is>
          <t>TORSBY</t>
        </is>
      </c>
      <c r="F2202" t="inlineStr">
        <is>
          <t>Bergvik skog väst AB</t>
        </is>
      </c>
      <c r="G2202" t="n">
        <v>25.7</v>
      </c>
      <c r="H2202" t="n">
        <v>0</v>
      </c>
      <c r="I2202" t="n">
        <v>0</v>
      </c>
      <c r="J2202" t="n">
        <v>0</v>
      </c>
      <c r="K2202" t="n">
        <v>0</v>
      </c>
      <c r="L2202" t="n">
        <v>0</v>
      </c>
      <c r="M2202" t="n">
        <v>0</v>
      </c>
      <c r="N2202" t="n">
        <v>0</v>
      </c>
      <c r="O2202" t="n">
        <v>0</v>
      </c>
      <c r="P2202" t="n">
        <v>0</v>
      </c>
      <c r="Q2202" t="n">
        <v>0</v>
      </c>
      <c r="R2202" s="2" t="inlineStr"/>
    </row>
    <row r="2203" ht="15" customHeight="1">
      <c r="A2203" t="inlineStr">
        <is>
          <t>A 13848-2024</t>
        </is>
      </c>
      <c r="B2203" s="1" t="n">
        <v>45390</v>
      </c>
      <c r="C2203" s="1" t="n">
        <v>45640</v>
      </c>
      <c r="D2203" t="inlineStr">
        <is>
          <t>VÄRMLANDS LÄN</t>
        </is>
      </c>
      <c r="E2203" t="inlineStr">
        <is>
          <t>TORSBY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13847-2024</t>
        </is>
      </c>
      <c r="B2204" s="1" t="n">
        <v>45390</v>
      </c>
      <c r="C2204" s="1" t="n">
        <v>45640</v>
      </c>
      <c r="D2204" t="inlineStr">
        <is>
          <t>VÄRMLANDS LÄN</t>
        </is>
      </c>
      <c r="E2204" t="inlineStr">
        <is>
          <t>TORSBY</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13797-2024</t>
        </is>
      </c>
      <c r="B2205" s="1" t="n">
        <v>45391</v>
      </c>
      <c r="C2205" s="1" t="n">
        <v>45640</v>
      </c>
      <c r="D2205" t="inlineStr">
        <is>
          <t>VÄRMLANDS LÄN</t>
        </is>
      </c>
      <c r="E2205" t="inlineStr">
        <is>
          <t>TORSBY</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14023-2024</t>
        </is>
      </c>
      <c r="B2206" s="1" t="n">
        <v>45392</v>
      </c>
      <c r="C2206" s="1" t="n">
        <v>45640</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13965-2024</t>
        </is>
      </c>
      <c r="B2207" s="1" t="n">
        <v>45392</v>
      </c>
      <c r="C2207" s="1" t="n">
        <v>45640</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14052-2024</t>
        </is>
      </c>
      <c r="B2208" s="1" t="n">
        <v>45392</v>
      </c>
      <c r="C2208" s="1" t="n">
        <v>45640</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14063-2024</t>
        </is>
      </c>
      <c r="B2209" s="1" t="n">
        <v>45392</v>
      </c>
      <c r="C2209" s="1" t="n">
        <v>45640</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14283-2024</t>
        </is>
      </c>
      <c r="B2210" s="1" t="n">
        <v>45393</v>
      </c>
      <c r="C2210" s="1" t="n">
        <v>45640</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14440-2024</t>
        </is>
      </c>
      <c r="B2211" s="1" t="n">
        <v>45394</v>
      </c>
      <c r="C2211" s="1" t="n">
        <v>45640</v>
      </c>
      <c r="D2211" t="inlineStr">
        <is>
          <t>VÄRMLANDS LÄN</t>
        </is>
      </c>
      <c r="E2211" t="inlineStr">
        <is>
          <t>TORSBY</t>
        </is>
      </c>
      <c r="F2211" t="inlineStr">
        <is>
          <t>Bergvik skog väst AB</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14393-2024</t>
        </is>
      </c>
      <c r="B2212" s="1" t="n">
        <v>45394</v>
      </c>
      <c r="C2212" s="1" t="n">
        <v>45640</v>
      </c>
      <c r="D2212" t="inlineStr">
        <is>
          <t>VÄRMLANDS LÄN</t>
        </is>
      </c>
      <c r="E2212" t="inlineStr">
        <is>
          <t>TORSBY</t>
        </is>
      </c>
      <c r="F2212" t="inlineStr">
        <is>
          <t>Bergvik skog väst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14453-2024</t>
        </is>
      </c>
      <c r="B2213" s="1" t="n">
        <v>45394</v>
      </c>
      <c r="C2213" s="1" t="n">
        <v>45640</v>
      </c>
      <c r="D2213" t="inlineStr">
        <is>
          <t>VÄRMLANDS LÄN</t>
        </is>
      </c>
      <c r="E2213" t="inlineStr">
        <is>
          <t>TORSBY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14730-2024</t>
        </is>
      </c>
      <c r="B2214" s="1" t="n">
        <v>45397</v>
      </c>
      <c r="C2214" s="1" t="n">
        <v>45640</v>
      </c>
      <c r="D2214" t="inlineStr">
        <is>
          <t>VÄRMLANDS LÄN</t>
        </is>
      </c>
      <c r="E2214" t="inlineStr">
        <is>
          <t>TORSBY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14763-2024</t>
        </is>
      </c>
      <c r="B2215" s="1" t="n">
        <v>45397</v>
      </c>
      <c r="C2215" s="1" t="n">
        <v>45640</v>
      </c>
      <c r="D2215" t="inlineStr">
        <is>
          <t>VÄRMLANDS LÄN</t>
        </is>
      </c>
      <c r="E2215" t="inlineStr">
        <is>
          <t>TORSBY</t>
        </is>
      </c>
      <c r="F2215" t="inlineStr">
        <is>
          <t>Bergvik skog väst AB</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14872-2024</t>
        </is>
      </c>
      <c r="B2216" s="1" t="n">
        <v>45398</v>
      </c>
      <c r="C2216" s="1" t="n">
        <v>45640</v>
      </c>
      <c r="D2216" t="inlineStr">
        <is>
          <t>VÄRMLANDS LÄN</t>
        </is>
      </c>
      <c r="E2216" t="inlineStr">
        <is>
          <t>TORSBY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14831-2024</t>
        </is>
      </c>
      <c r="B2217" s="1" t="n">
        <v>45398</v>
      </c>
      <c r="C2217" s="1" t="n">
        <v>45640</v>
      </c>
      <c r="D2217" t="inlineStr">
        <is>
          <t>VÄRMLANDS LÄN</t>
        </is>
      </c>
      <c r="E2217" t="inlineStr">
        <is>
          <t>TORSBY</t>
        </is>
      </c>
      <c r="F2217" t="inlineStr">
        <is>
          <t>Bergvik skog väst AB</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14949-2024</t>
        </is>
      </c>
      <c r="B2218" s="1" t="n">
        <v>45398</v>
      </c>
      <c r="C2218" s="1" t="n">
        <v>45640</v>
      </c>
      <c r="D2218" t="inlineStr">
        <is>
          <t>VÄRMLANDS LÄN</t>
        </is>
      </c>
      <c r="E2218" t="inlineStr">
        <is>
          <t>TORSBY</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14882-2024</t>
        </is>
      </c>
      <c r="B2219" s="1" t="n">
        <v>45398</v>
      </c>
      <c r="C2219" s="1" t="n">
        <v>45640</v>
      </c>
      <c r="D2219" t="inlineStr">
        <is>
          <t>VÄRMLANDS LÄN</t>
        </is>
      </c>
      <c r="E2219" t="inlineStr">
        <is>
          <t>TORSBY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14860-2024</t>
        </is>
      </c>
      <c r="B2220" s="1" t="n">
        <v>45398</v>
      </c>
      <c r="C2220" s="1" t="n">
        <v>45640</v>
      </c>
      <c r="D2220" t="inlineStr">
        <is>
          <t>VÄRMLANDS LÄN</t>
        </is>
      </c>
      <c r="E2220" t="inlineStr">
        <is>
          <t>TORSBY</t>
        </is>
      </c>
      <c r="F2220" t="inlineStr">
        <is>
          <t>Kyrkan</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15083-2024</t>
        </is>
      </c>
      <c r="B2221" s="1" t="n">
        <v>45399</v>
      </c>
      <c r="C2221" s="1" t="n">
        <v>45640</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15052-2024</t>
        </is>
      </c>
      <c r="B2222" s="1" t="n">
        <v>45399</v>
      </c>
      <c r="C2222" s="1" t="n">
        <v>45640</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15064-2024</t>
        </is>
      </c>
      <c r="B2223" s="1" t="n">
        <v>45399</v>
      </c>
      <c r="C2223" s="1" t="n">
        <v>45640</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15101-2024</t>
        </is>
      </c>
      <c r="B2224" s="1" t="n">
        <v>45399</v>
      </c>
      <c r="C2224" s="1" t="n">
        <v>45640</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15061-2024</t>
        </is>
      </c>
      <c r="B2225" s="1" t="n">
        <v>45399</v>
      </c>
      <c r="C2225" s="1" t="n">
        <v>45640</v>
      </c>
      <c r="D2225" t="inlineStr">
        <is>
          <t>VÄRMLANDS LÄN</t>
        </is>
      </c>
      <c r="E2225" t="inlineStr">
        <is>
          <t>TORSBY</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15126-2024</t>
        </is>
      </c>
      <c r="B2226" s="1" t="n">
        <v>45399</v>
      </c>
      <c r="C2226" s="1" t="n">
        <v>45640</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15127-2024</t>
        </is>
      </c>
      <c r="B2227" s="1" t="n">
        <v>45399</v>
      </c>
      <c r="C2227" s="1" t="n">
        <v>45640</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15182-2024</t>
        </is>
      </c>
      <c r="B2228" s="1" t="n">
        <v>45400</v>
      </c>
      <c r="C2228" s="1" t="n">
        <v>45640</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15180-2024</t>
        </is>
      </c>
      <c r="B2229" s="1" t="n">
        <v>45400</v>
      </c>
      <c r="C2229" s="1" t="n">
        <v>45640</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15222-2024</t>
        </is>
      </c>
      <c r="B2230" s="1" t="n">
        <v>45400</v>
      </c>
      <c r="C2230" s="1" t="n">
        <v>45640</v>
      </c>
      <c r="D2230" t="inlineStr">
        <is>
          <t>VÄRMLANDS LÄN</t>
        </is>
      </c>
      <c r="E2230" t="inlineStr">
        <is>
          <t>TORSBY</t>
        </is>
      </c>
      <c r="F2230" t="inlineStr">
        <is>
          <t>Bergvik skog väst AB</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15274-2024</t>
        </is>
      </c>
      <c r="B2231" s="1" t="n">
        <v>45400</v>
      </c>
      <c r="C2231" s="1" t="n">
        <v>45640</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15293-2024</t>
        </is>
      </c>
      <c r="B2232" s="1" t="n">
        <v>45400</v>
      </c>
      <c r="C2232" s="1" t="n">
        <v>45640</v>
      </c>
      <c r="D2232" t="inlineStr">
        <is>
          <t>VÄRMLANDS LÄN</t>
        </is>
      </c>
      <c r="E2232" t="inlineStr">
        <is>
          <t>TORSBY</t>
        </is>
      </c>
      <c r="F2232" t="inlineStr">
        <is>
          <t>Bergvik skog väst AB</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15175-2024</t>
        </is>
      </c>
      <c r="B2233" s="1" t="n">
        <v>45400</v>
      </c>
      <c r="C2233" s="1" t="n">
        <v>45640</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15315-2024</t>
        </is>
      </c>
      <c r="B2234" s="1" t="n">
        <v>45400</v>
      </c>
      <c r="C2234" s="1" t="n">
        <v>45640</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15320-2024</t>
        </is>
      </c>
      <c r="B2235" s="1" t="n">
        <v>45400</v>
      </c>
      <c r="C2235" s="1" t="n">
        <v>45640</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15425-2024</t>
        </is>
      </c>
      <c r="B2236" s="1" t="n">
        <v>45401</v>
      </c>
      <c r="C2236" s="1" t="n">
        <v>45640</v>
      </c>
      <c r="D2236" t="inlineStr">
        <is>
          <t>VÄRMLANDS LÄN</t>
        </is>
      </c>
      <c r="E2236" t="inlineStr">
        <is>
          <t>TORSBY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15503-2024</t>
        </is>
      </c>
      <c r="B2237" s="1" t="n">
        <v>45401</v>
      </c>
      <c r="C2237" s="1" t="n">
        <v>45640</v>
      </c>
      <c r="D2237" t="inlineStr">
        <is>
          <t>VÄRMLANDS LÄN</t>
        </is>
      </c>
      <c r="E2237" t="inlineStr">
        <is>
          <t>TORSBY</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15465-2024</t>
        </is>
      </c>
      <c r="B2238" s="1" t="n">
        <v>45401</v>
      </c>
      <c r="C2238" s="1" t="n">
        <v>45640</v>
      </c>
      <c r="D2238" t="inlineStr">
        <is>
          <t>VÄRMLANDS LÄN</t>
        </is>
      </c>
      <c r="E2238" t="inlineStr">
        <is>
          <t>TORSBY</t>
        </is>
      </c>
      <c r="F2238" t="inlineStr">
        <is>
          <t>Bergvik skog väst AB</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15730-2024</t>
        </is>
      </c>
      <c r="B2239" s="1" t="n">
        <v>45404</v>
      </c>
      <c r="C2239" s="1" t="n">
        <v>45640</v>
      </c>
      <c r="D2239" t="inlineStr">
        <is>
          <t>VÄRMLANDS LÄN</t>
        </is>
      </c>
      <c r="E2239" t="inlineStr">
        <is>
          <t>TORSBY</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15758-2024</t>
        </is>
      </c>
      <c r="B2240" s="1" t="n">
        <v>45404</v>
      </c>
      <c r="C2240" s="1" t="n">
        <v>45640</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15943-2024</t>
        </is>
      </c>
      <c r="B2241" s="1" t="n">
        <v>45405</v>
      </c>
      <c r="C2241" s="1" t="n">
        <v>45640</v>
      </c>
      <c r="D2241" t="inlineStr">
        <is>
          <t>VÄRMLANDS LÄN</t>
        </is>
      </c>
      <c r="E2241" t="inlineStr">
        <is>
          <t>TORSBY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15896-2024</t>
        </is>
      </c>
      <c r="B2242" s="1" t="n">
        <v>45405</v>
      </c>
      <c r="C2242" s="1" t="n">
        <v>45640</v>
      </c>
      <c r="D2242" t="inlineStr">
        <is>
          <t>VÄRMLANDS LÄN</t>
        </is>
      </c>
      <c r="E2242" t="inlineStr">
        <is>
          <t>TORSBY</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15892-2024</t>
        </is>
      </c>
      <c r="B2243" s="1" t="n">
        <v>45405</v>
      </c>
      <c r="C2243" s="1" t="n">
        <v>45640</v>
      </c>
      <c r="D2243" t="inlineStr">
        <is>
          <t>VÄRMLANDS LÄN</t>
        </is>
      </c>
      <c r="E2243" t="inlineStr">
        <is>
          <t>TORSBY</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15899-2024</t>
        </is>
      </c>
      <c r="B2244" s="1" t="n">
        <v>45405</v>
      </c>
      <c r="C2244" s="1" t="n">
        <v>45640</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15874-2024</t>
        </is>
      </c>
      <c r="B2245" s="1" t="n">
        <v>45405</v>
      </c>
      <c r="C2245" s="1" t="n">
        <v>45640</v>
      </c>
      <c r="D2245" t="inlineStr">
        <is>
          <t>VÄRMLANDS LÄN</t>
        </is>
      </c>
      <c r="E2245" t="inlineStr">
        <is>
          <t>TORSBY</t>
        </is>
      </c>
      <c r="F2245" t="inlineStr">
        <is>
          <t>Bergvik skog väst AB</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16073-2024</t>
        </is>
      </c>
      <c r="B2246" s="1" t="n">
        <v>45406</v>
      </c>
      <c r="C2246" s="1" t="n">
        <v>45640</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16369-2024</t>
        </is>
      </c>
      <c r="B2247" s="1" t="n">
        <v>45407</v>
      </c>
      <c r="C2247" s="1" t="n">
        <v>45640</v>
      </c>
      <c r="D2247" t="inlineStr">
        <is>
          <t>VÄRMLANDS LÄN</t>
        </is>
      </c>
      <c r="E2247" t="inlineStr">
        <is>
          <t>TORSBY</t>
        </is>
      </c>
      <c r="F2247" t="inlineStr">
        <is>
          <t>Kommuner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16517-2024</t>
        </is>
      </c>
      <c r="B2248" s="1" t="n">
        <v>45408</v>
      </c>
      <c r="C2248" s="1" t="n">
        <v>45640</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16585-2024</t>
        </is>
      </c>
      <c r="B2249" s="1" t="n">
        <v>45408</v>
      </c>
      <c r="C2249" s="1" t="n">
        <v>45640</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16654-2024</t>
        </is>
      </c>
      <c r="B2250" s="1" t="n">
        <v>45408</v>
      </c>
      <c r="C2250" s="1" t="n">
        <v>45640</v>
      </c>
      <c r="D2250" t="inlineStr">
        <is>
          <t>VÄRMLANDS LÄN</t>
        </is>
      </c>
      <c r="E2250" t="inlineStr">
        <is>
          <t>TORSBY</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16488-2024</t>
        </is>
      </c>
      <c r="B2251" s="1" t="n">
        <v>45408</v>
      </c>
      <c r="C2251" s="1" t="n">
        <v>45640</v>
      </c>
      <c r="D2251" t="inlineStr">
        <is>
          <t>VÄRMLANDS LÄN</t>
        </is>
      </c>
      <c r="E2251" t="inlineStr">
        <is>
          <t>TORSBY</t>
        </is>
      </c>
      <c r="F2251" t="inlineStr">
        <is>
          <t>Bergvik skog väst AB</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16544-2024</t>
        </is>
      </c>
      <c r="B2252" s="1" t="n">
        <v>45408</v>
      </c>
      <c r="C2252" s="1" t="n">
        <v>45640</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16592-2024</t>
        </is>
      </c>
      <c r="B2253" s="1" t="n">
        <v>45408</v>
      </c>
      <c r="C2253" s="1" t="n">
        <v>45640</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16583-2024</t>
        </is>
      </c>
      <c r="B2254" s="1" t="n">
        <v>45408</v>
      </c>
      <c r="C2254" s="1" t="n">
        <v>45640</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16591-2024</t>
        </is>
      </c>
      <c r="B2255" s="1" t="n">
        <v>45408</v>
      </c>
      <c r="C2255" s="1" t="n">
        <v>45640</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16586-2024</t>
        </is>
      </c>
      <c r="B2256" s="1" t="n">
        <v>45408</v>
      </c>
      <c r="C2256" s="1" t="n">
        <v>45640</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16730-2024</t>
        </is>
      </c>
      <c r="B2257" s="1" t="n">
        <v>45410</v>
      </c>
      <c r="C2257" s="1" t="n">
        <v>45640</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16891-2024</t>
        </is>
      </c>
      <c r="B2258" s="1" t="n">
        <v>45411</v>
      </c>
      <c r="C2258" s="1" t="n">
        <v>45640</v>
      </c>
      <c r="D2258" t="inlineStr">
        <is>
          <t>VÄRMLANDS LÄN</t>
        </is>
      </c>
      <c r="E2258" t="inlineStr">
        <is>
          <t>TORSBY</t>
        </is>
      </c>
      <c r="F2258" t="inlineStr">
        <is>
          <t>Bergvik skog väst AB</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16961-2024</t>
        </is>
      </c>
      <c r="B2259" s="1" t="n">
        <v>45412</v>
      </c>
      <c r="C2259" s="1" t="n">
        <v>45640</v>
      </c>
      <c r="D2259" t="inlineStr">
        <is>
          <t>VÄRMLANDS LÄN</t>
        </is>
      </c>
      <c r="E2259" t="inlineStr">
        <is>
          <t>TORSBY</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16841-2024</t>
        </is>
      </c>
      <c r="B2260" s="1" t="n">
        <v>45411</v>
      </c>
      <c r="C2260" s="1" t="n">
        <v>45640</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16780-2024</t>
        </is>
      </c>
      <c r="B2261" s="1" t="n">
        <v>45411</v>
      </c>
      <c r="C2261" s="1" t="n">
        <v>45640</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16789-2024</t>
        </is>
      </c>
      <c r="B2262" s="1" t="n">
        <v>45411</v>
      </c>
      <c r="C2262" s="1" t="n">
        <v>45640</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17008-2024</t>
        </is>
      </c>
      <c r="B2263" s="1" t="n">
        <v>45412</v>
      </c>
      <c r="C2263" s="1" t="n">
        <v>45640</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17001-2024</t>
        </is>
      </c>
      <c r="B2264" s="1" t="n">
        <v>45412</v>
      </c>
      <c r="C2264" s="1" t="n">
        <v>45640</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17083-2024</t>
        </is>
      </c>
      <c r="B2265" s="1" t="n">
        <v>45412</v>
      </c>
      <c r="C2265" s="1" t="n">
        <v>45640</v>
      </c>
      <c r="D2265" t="inlineStr">
        <is>
          <t>VÄRMLANDS LÄN</t>
        </is>
      </c>
      <c r="E2265" t="inlineStr">
        <is>
          <t>TORSBY</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17024-2024</t>
        </is>
      </c>
      <c r="B2266" s="1" t="n">
        <v>45412</v>
      </c>
      <c r="C2266" s="1" t="n">
        <v>45640</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17017-2024</t>
        </is>
      </c>
      <c r="B2267" s="1" t="n">
        <v>45412</v>
      </c>
      <c r="C2267" s="1" t="n">
        <v>45640</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17047-2024</t>
        </is>
      </c>
      <c r="B2268" s="1" t="n">
        <v>45412</v>
      </c>
      <c r="C2268" s="1" t="n">
        <v>45640</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17265-2024</t>
        </is>
      </c>
      <c r="B2269" s="1" t="n">
        <v>45414</v>
      </c>
      <c r="C2269" s="1" t="n">
        <v>45640</v>
      </c>
      <c r="D2269" t="inlineStr">
        <is>
          <t>VÄRMLANDS LÄN</t>
        </is>
      </c>
      <c r="E2269" t="inlineStr">
        <is>
          <t>TORSBY</t>
        </is>
      </c>
      <c r="F2269" t="inlineStr">
        <is>
          <t>Bergvik skog väst AB</t>
        </is>
      </c>
      <c r="G2269" t="n">
        <v>23.9</v>
      </c>
      <c r="H2269" t="n">
        <v>0</v>
      </c>
      <c r="I2269" t="n">
        <v>0</v>
      </c>
      <c r="J2269" t="n">
        <v>0</v>
      </c>
      <c r="K2269" t="n">
        <v>0</v>
      </c>
      <c r="L2269" t="n">
        <v>0</v>
      </c>
      <c r="M2269" t="n">
        <v>0</v>
      </c>
      <c r="N2269" t="n">
        <v>0</v>
      </c>
      <c r="O2269" t="n">
        <v>0</v>
      </c>
      <c r="P2269" t="n">
        <v>0</v>
      </c>
      <c r="Q2269" t="n">
        <v>0</v>
      </c>
      <c r="R2269" s="2" t="inlineStr"/>
    </row>
    <row r="2270" ht="15" customHeight="1">
      <c r="A2270" t="inlineStr">
        <is>
          <t>A 17285-2024</t>
        </is>
      </c>
      <c r="B2270" s="1" t="n">
        <v>45414</v>
      </c>
      <c r="C2270" s="1" t="n">
        <v>45640</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17233-2024</t>
        </is>
      </c>
      <c r="B2271" s="1" t="n">
        <v>45414</v>
      </c>
      <c r="C2271" s="1" t="n">
        <v>45640</v>
      </c>
      <c r="D2271" t="inlineStr">
        <is>
          <t>VÄRMLANDS LÄN</t>
        </is>
      </c>
      <c r="E2271" t="inlineStr">
        <is>
          <t>TORSBY</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17390-2024</t>
        </is>
      </c>
      <c r="B2272" s="1" t="n">
        <v>45414</v>
      </c>
      <c r="C2272" s="1" t="n">
        <v>45640</v>
      </c>
      <c r="D2272" t="inlineStr">
        <is>
          <t>VÄRMLANDS LÄN</t>
        </is>
      </c>
      <c r="E2272" t="inlineStr">
        <is>
          <t>TORSBY</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17364-2024</t>
        </is>
      </c>
      <c r="B2273" s="1" t="n">
        <v>45414</v>
      </c>
      <c r="C2273" s="1" t="n">
        <v>45640</v>
      </c>
      <c r="D2273" t="inlineStr">
        <is>
          <t>VÄRMLANDS LÄN</t>
        </is>
      </c>
      <c r="E2273" t="inlineStr">
        <is>
          <t>TORSBY</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17556-2024</t>
        </is>
      </c>
      <c r="B2274" s="1" t="n">
        <v>45415</v>
      </c>
      <c r="C2274" s="1" t="n">
        <v>45640</v>
      </c>
      <c r="D2274" t="inlineStr">
        <is>
          <t>VÄRMLANDS LÄN</t>
        </is>
      </c>
      <c r="E2274" t="inlineStr">
        <is>
          <t>TORSBY</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17525-2024</t>
        </is>
      </c>
      <c r="B2275" s="1" t="n">
        <v>45415</v>
      </c>
      <c r="C2275" s="1" t="n">
        <v>45640</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17562-2024</t>
        </is>
      </c>
      <c r="B2276" s="1" t="n">
        <v>45415</v>
      </c>
      <c r="C2276" s="1" t="n">
        <v>45640</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17450-2024</t>
        </is>
      </c>
      <c r="B2277" s="1" t="n">
        <v>45415</v>
      </c>
      <c r="C2277" s="1" t="n">
        <v>45640</v>
      </c>
      <c r="D2277" t="inlineStr">
        <is>
          <t>VÄRMLANDS LÄN</t>
        </is>
      </c>
      <c r="E2277" t="inlineStr">
        <is>
          <t>TORSBY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17530-2024</t>
        </is>
      </c>
      <c r="B2278" s="1" t="n">
        <v>45415</v>
      </c>
      <c r="C2278" s="1" t="n">
        <v>45640</v>
      </c>
      <c r="D2278" t="inlineStr">
        <is>
          <t>VÄRMLANDS LÄN</t>
        </is>
      </c>
      <c r="E2278" t="inlineStr">
        <is>
          <t>TORSBY</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17687-2024</t>
        </is>
      </c>
      <c r="B2279" s="1" t="n">
        <v>45418</v>
      </c>
      <c r="C2279" s="1" t="n">
        <v>45640</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17717-2024</t>
        </is>
      </c>
      <c r="B2280" s="1" t="n">
        <v>45418</v>
      </c>
      <c r="C2280" s="1" t="n">
        <v>45640</v>
      </c>
      <c r="D2280" t="inlineStr">
        <is>
          <t>VÄRMLANDS LÄN</t>
        </is>
      </c>
      <c r="E2280" t="inlineStr">
        <is>
          <t>TORSBY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17959-2024</t>
        </is>
      </c>
      <c r="B2281" s="1" t="n">
        <v>45419</v>
      </c>
      <c r="C2281" s="1" t="n">
        <v>45640</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17921-2024</t>
        </is>
      </c>
      <c r="B2282" s="1" t="n">
        <v>45419</v>
      </c>
      <c r="C2282" s="1" t="n">
        <v>45640</v>
      </c>
      <c r="D2282" t="inlineStr">
        <is>
          <t>VÄRMLANDS LÄN</t>
        </is>
      </c>
      <c r="E2282" t="inlineStr">
        <is>
          <t>TORSBY</t>
        </is>
      </c>
      <c r="F2282" t="inlineStr">
        <is>
          <t>Bergvik skog väst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17837-2024</t>
        </is>
      </c>
      <c r="B2283" s="1" t="n">
        <v>45419</v>
      </c>
      <c r="C2283" s="1" t="n">
        <v>45640</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17879-2024</t>
        </is>
      </c>
      <c r="B2284" s="1" t="n">
        <v>45419</v>
      </c>
      <c r="C2284" s="1" t="n">
        <v>45640</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17931-2024</t>
        </is>
      </c>
      <c r="B2285" s="1" t="n">
        <v>45419</v>
      </c>
      <c r="C2285" s="1" t="n">
        <v>45640</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18125-2024</t>
        </is>
      </c>
      <c r="B2286" s="1" t="n">
        <v>45420</v>
      </c>
      <c r="C2286" s="1" t="n">
        <v>45640</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18155-2024</t>
        </is>
      </c>
      <c r="B2287" s="1" t="n">
        <v>45420</v>
      </c>
      <c r="C2287" s="1" t="n">
        <v>45640</v>
      </c>
      <c r="D2287" t="inlineStr">
        <is>
          <t>VÄRMLANDS LÄN</t>
        </is>
      </c>
      <c r="E2287" t="inlineStr">
        <is>
          <t>TORSBY</t>
        </is>
      </c>
      <c r="F2287" t="inlineStr">
        <is>
          <t>Bergvik skog väst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18339-2024</t>
        </is>
      </c>
      <c r="B2288" s="1" t="n">
        <v>45422</v>
      </c>
      <c r="C2288" s="1" t="n">
        <v>45640</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18330-2024</t>
        </is>
      </c>
      <c r="B2289" s="1" t="n">
        <v>45422</v>
      </c>
      <c r="C2289" s="1" t="n">
        <v>45640</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18308-2024</t>
        </is>
      </c>
      <c r="B2290" s="1" t="n">
        <v>45422</v>
      </c>
      <c r="C2290" s="1" t="n">
        <v>45640</v>
      </c>
      <c r="D2290" t="inlineStr">
        <is>
          <t>VÄRMLANDS LÄN</t>
        </is>
      </c>
      <c r="E2290" t="inlineStr">
        <is>
          <t>TORSBY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18337-2024</t>
        </is>
      </c>
      <c r="B2291" s="1" t="n">
        <v>45422</v>
      </c>
      <c r="C2291" s="1" t="n">
        <v>45640</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18422-2024</t>
        </is>
      </c>
      <c r="B2292" s="1" t="n">
        <v>45425</v>
      </c>
      <c r="C2292" s="1" t="n">
        <v>45640</v>
      </c>
      <c r="D2292" t="inlineStr">
        <is>
          <t>VÄRMLANDS LÄN</t>
        </is>
      </c>
      <c r="E2292" t="inlineStr">
        <is>
          <t>TORSBY</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18682-2024</t>
        </is>
      </c>
      <c r="B2293" s="1" t="n">
        <v>45426</v>
      </c>
      <c r="C2293" s="1" t="n">
        <v>45640</v>
      </c>
      <c r="D2293" t="inlineStr">
        <is>
          <t>VÄRMLANDS LÄN</t>
        </is>
      </c>
      <c r="E2293" t="inlineStr">
        <is>
          <t>TORSBY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18883-2024</t>
        </is>
      </c>
      <c r="B2294" s="1" t="n">
        <v>45426</v>
      </c>
      <c r="C2294" s="1" t="n">
        <v>45640</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18855-2024</t>
        </is>
      </c>
      <c r="B2295" s="1" t="n">
        <v>45426</v>
      </c>
      <c r="C2295" s="1" t="n">
        <v>45640</v>
      </c>
      <c r="D2295" t="inlineStr">
        <is>
          <t>VÄRMLANDS LÄN</t>
        </is>
      </c>
      <c r="E2295" t="inlineStr">
        <is>
          <t>TORSBY</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18890-2024</t>
        </is>
      </c>
      <c r="B2296" s="1" t="n">
        <v>45427</v>
      </c>
      <c r="C2296" s="1" t="n">
        <v>45640</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18953-2024</t>
        </is>
      </c>
      <c r="B2297" s="1" t="n">
        <v>45427</v>
      </c>
      <c r="C2297" s="1" t="n">
        <v>45640</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18959-2024</t>
        </is>
      </c>
      <c r="B2298" s="1" t="n">
        <v>45427</v>
      </c>
      <c r="C2298" s="1" t="n">
        <v>45640</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18955-2024</t>
        </is>
      </c>
      <c r="B2299" s="1" t="n">
        <v>45427</v>
      </c>
      <c r="C2299" s="1" t="n">
        <v>45640</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18897-2024</t>
        </is>
      </c>
      <c r="B2300" s="1" t="n">
        <v>45427</v>
      </c>
      <c r="C2300" s="1" t="n">
        <v>45640</v>
      </c>
      <c r="D2300" t="inlineStr">
        <is>
          <t>VÄRMLANDS LÄN</t>
        </is>
      </c>
      <c r="E2300" t="inlineStr">
        <is>
          <t>TORSBY</t>
        </is>
      </c>
      <c r="F2300" t="inlineStr">
        <is>
          <t>Övriga statliga verk och myndigheter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19029-2024</t>
        </is>
      </c>
      <c r="B2301" s="1" t="n">
        <v>45427</v>
      </c>
      <c r="C2301" s="1" t="n">
        <v>45640</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19136-2024</t>
        </is>
      </c>
      <c r="B2302" s="1" t="n">
        <v>45428</v>
      </c>
      <c r="C2302" s="1" t="n">
        <v>45640</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19251-2024</t>
        </is>
      </c>
      <c r="B2303" s="1" t="n">
        <v>45428</v>
      </c>
      <c r="C2303" s="1" t="n">
        <v>45640</v>
      </c>
      <c r="D2303" t="inlineStr">
        <is>
          <t>VÄRMLANDS LÄN</t>
        </is>
      </c>
      <c r="E2303" t="inlineStr">
        <is>
          <t>TORSBY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19215-2024</t>
        </is>
      </c>
      <c r="B2304" s="1" t="n">
        <v>45428</v>
      </c>
      <c r="C2304" s="1" t="n">
        <v>45640</v>
      </c>
      <c r="D2304" t="inlineStr">
        <is>
          <t>VÄRMLANDS LÄN</t>
        </is>
      </c>
      <c r="E2304" t="inlineStr">
        <is>
          <t>TORSBY</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19665-2024</t>
        </is>
      </c>
      <c r="B2305" s="1" t="n">
        <v>45432</v>
      </c>
      <c r="C2305" s="1" t="n">
        <v>45640</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19887-2024</t>
        </is>
      </c>
      <c r="B2306" s="1" t="n">
        <v>45433</v>
      </c>
      <c r="C2306" s="1" t="n">
        <v>45640</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20440-2024</t>
        </is>
      </c>
      <c r="B2307" s="1" t="n">
        <v>45435</v>
      </c>
      <c r="C2307" s="1" t="n">
        <v>45640</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20472-2024</t>
        </is>
      </c>
      <c r="B2308" s="1" t="n">
        <v>45435</v>
      </c>
      <c r="C2308" s="1" t="n">
        <v>45640</v>
      </c>
      <c r="D2308" t="inlineStr">
        <is>
          <t>VÄRMLANDS LÄN</t>
        </is>
      </c>
      <c r="E2308" t="inlineStr">
        <is>
          <t>TORSBY</t>
        </is>
      </c>
      <c r="F2308" t="inlineStr">
        <is>
          <t>Bergvik skog väst AB</t>
        </is>
      </c>
      <c r="G2308" t="n">
        <v>46.1</v>
      </c>
      <c r="H2308" t="n">
        <v>0</v>
      </c>
      <c r="I2308" t="n">
        <v>0</v>
      </c>
      <c r="J2308" t="n">
        <v>0</v>
      </c>
      <c r="K2308" t="n">
        <v>0</v>
      </c>
      <c r="L2308" t="n">
        <v>0</v>
      </c>
      <c r="M2308" t="n">
        <v>0</v>
      </c>
      <c r="N2308" t="n">
        <v>0</v>
      </c>
      <c r="O2308" t="n">
        <v>0</v>
      </c>
      <c r="P2308" t="n">
        <v>0</v>
      </c>
      <c r="Q2308" t="n">
        <v>0</v>
      </c>
      <c r="R2308" s="2" t="inlineStr"/>
    </row>
    <row r="2309" ht="15" customHeight="1">
      <c r="A2309" t="inlineStr">
        <is>
          <t>A 20645-2024</t>
        </is>
      </c>
      <c r="B2309" s="1" t="n">
        <v>45436</v>
      </c>
      <c r="C2309" s="1" t="n">
        <v>45640</v>
      </c>
      <c r="D2309" t="inlineStr">
        <is>
          <t>VÄRMLANDS LÄN</t>
        </is>
      </c>
      <c r="E2309" t="inlineStr">
        <is>
          <t>TORSBY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20725-2024</t>
        </is>
      </c>
      <c r="B2310" s="1" t="n">
        <v>45436</v>
      </c>
      <c r="C2310" s="1" t="n">
        <v>45640</v>
      </c>
      <c r="D2310" t="inlineStr">
        <is>
          <t>VÄRMLANDS LÄN</t>
        </is>
      </c>
      <c r="E2310" t="inlineStr">
        <is>
          <t>TORSBY</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20633-2024</t>
        </is>
      </c>
      <c r="B2311" s="1" t="n">
        <v>45436</v>
      </c>
      <c r="C2311" s="1" t="n">
        <v>45640</v>
      </c>
      <c r="D2311" t="inlineStr">
        <is>
          <t>VÄRMLANDS LÄN</t>
        </is>
      </c>
      <c r="E2311" t="inlineStr">
        <is>
          <t>TORSBY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20537-2024</t>
        </is>
      </c>
      <c r="B2312" s="1" t="n">
        <v>45436</v>
      </c>
      <c r="C2312" s="1" t="n">
        <v>45640</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20647-2024</t>
        </is>
      </c>
      <c r="B2313" s="1" t="n">
        <v>45436</v>
      </c>
      <c r="C2313" s="1" t="n">
        <v>45640</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20872-2024</t>
        </is>
      </c>
      <c r="B2314" s="1" t="n">
        <v>45439</v>
      </c>
      <c r="C2314" s="1" t="n">
        <v>45640</v>
      </c>
      <c r="D2314" t="inlineStr">
        <is>
          <t>VÄRMLANDS LÄN</t>
        </is>
      </c>
      <c r="E2314" t="inlineStr">
        <is>
          <t>TORSBY</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21013-2024</t>
        </is>
      </c>
      <c r="B2315" s="1" t="n">
        <v>45439</v>
      </c>
      <c r="C2315" s="1" t="n">
        <v>45640</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20982-2024</t>
        </is>
      </c>
      <c r="B2316" s="1" t="n">
        <v>45439</v>
      </c>
      <c r="C2316" s="1" t="n">
        <v>45640</v>
      </c>
      <c r="D2316" t="inlineStr">
        <is>
          <t>VÄRMLANDS LÄN</t>
        </is>
      </c>
      <c r="E2316" t="inlineStr">
        <is>
          <t>TORSBY</t>
        </is>
      </c>
      <c r="F2316" t="inlineStr">
        <is>
          <t>Bergvik skog väst AB</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20985-2024</t>
        </is>
      </c>
      <c r="B2317" s="1" t="n">
        <v>45439</v>
      </c>
      <c r="C2317" s="1" t="n">
        <v>45640</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20968-2024</t>
        </is>
      </c>
      <c r="B2318" s="1" t="n">
        <v>45439</v>
      </c>
      <c r="C2318" s="1" t="n">
        <v>45640</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21280-2024</t>
        </is>
      </c>
      <c r="B2319" s="1" t="n">
        <v>45440</v>
      </c>
      <c r="C2319" s="1" t="n">
        <v>45640</v>
      </c>
      <c r="D2319" t="inlineStr">
        <is>
          <t>VÄRMLANDS LÄN</t>
        </is>
      </c>
      <c r="E2319" t="inlineStr">
        <is>
          <t>TORSBY</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21297-2024</t>
        </is>
      </c>
      <c r="B2320" s="1" t="n">
        <v>45440</v>
      </c>
      <c r="C2320" s="1" t="n">
        <v>45640</v>
      </c>
      <c r="D2320" t="inlineStr">
        <is>
          <t>VÄRMLANDS LÄN</t>
        </is>
      </c>
      <c r="E2320" t="inlineStr">
        <is>
          <t>TORSBY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21308-2024</t>
        </is>
      </c>
      <c r="B2321" s="1" t="n">
        <v>45440</v>
      </c>
      <c r="C2321" s="1" t="n">
        <v>45640</v>
      </c>
      <c r="D2321" t="inlineStr">
        <is>
          <t>VÄRMLANDS LÄN</t>
        </is>
      </c>
      <c r="E2321" t="inlineStr">
        <is>
          <t>TORSBY</t>
        </is>
      </c>
      <c r="G2321" t="n">
        <v>18.9</v>
      </c>
      <c r="H2321" t="n">
        <v>0</v>
      </c>
      <c r="I2321" t="n">
        <v>0</v>
      </c>
      <c r="J2321" t="n">
        <v>0</v>
      </c>
      <c r="K2321" t="n">
        <v>0</v>
      </c>
      <c r="L2321" t="n">
        <v>0</v>
      </c>
      <c r="M2321" t="n">
        <v>0</v>
      </c>
      <c r="N2321" t="n">
        <v>0</v>
      </c>
      <c r="O2321" t="n">
        <v>0</v>
      </c>
      <c r="P2321" t="n">
        <v>0</v>
      </c>
      <c r="Q2321" t="n">
        <v>0</v>
      </c>
      <c r="R2321" s="2" t="inlineStr"/>
    </row>
    <row r="2322" ht="15" customHeight="1">
      <c r="A2322" t="inlineStr">
        <is>
          <t>A 21518-2024</t>
        </is>
      </c>
      <c r="B2322" s="1" t="n">
        <v>45441</v>
      </c>
      <c r="C2322" s="1" t="n">
        <v>45640</v>
      </c>
      <c r="D2322" t="inlineStr">
        <is>
          <t>VÄRMLANDS LÄN</t>
        </is>
      </c>
      <c r="E2322" t="inlineStr">
        <is>
          <t>TORSBY</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21542-2024</t>
        </is>
      </c>
      <c r="B2323" s="1" t="n">
        <v>45441</v>
      </c>
      <c r="C2323" s="1" t="n">
        <v>45640</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21580-2024</t>
        </is>
      </c>
      <c r="B2324" s="1" t="n">
        <v>45441</v>
      </c>
      <c r="C2324" s="1" t="n">
        <v>45640</v>
      </c>
      <c r="D2324" t="inlineStr">
        <is>
          <t>VÄRMLANDS LÄN</t>
        </is>
      </c>
      <c r="E2324" t="inlineStr">
        <is>
          <t>TORSBY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21586-2024</t>
        </is>
      </c>
      <c r="B2325" s="1" t="n">
        <v>45441</v>
      </c>
      <c r="C2325" s="1" t="n">
        <v>45640</v>
      </c>
      <c r="D2325" t="inlineStr">
        <is>
          <t>VÄRMLANDS LÄN</t>
        </is>
      </c>
      <c r="E2325" t="inlineStr">
        <is>
          <t>TORSBY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21581-2024</t>
        </is>
      </c>
      <c r="B2326" s="1" t="n">
        <v>45441</v>
      </c>
      <c r="C2326" s="1" t="n">
        <v>45640</v>
      </c>
      <c r="D2326" t="inlineStr">
        <is>
          <t>VÄRMLANDS LÄN</t>
        </is>
      </c>
      <c r="E2326" t="inlineStr">
        <is>
          <t>TORSBY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21585-2024</t>
        </is>
      </c>
      <c r="B2327" s="1" t="n">
        <v>45441</v>
      </c>
      <c r="C2327" s="1" t="n">
        <v>45640</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21587-2024</t>
        </is>
      </c>
      <c r="B2328" s="1" t="n">
        <v>45441</v>
      </c>
      <c r="C2328" s="1" t="n">
        <v>45640</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21757-2024</t>
        </is>
      </c>
      <c r="B2329" s="1" t="n">
        <v>45442</v>
      </c>
      <c r="C2329" s="1" t="n">
        <v>45640</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21825-2024</t>
        </is>
      </c>
      <c r="B2330" s="1" t="n">
        <v>45442</v>
      </c>
      <c r="C2330" s="1" t="n">
        <v>45640</v>
      </c>
      <c r="D2330" t="inlineStr">
        <is>
          <t>VÄRMLANDS LÄN</t>
        </is>
      </c>
      <c r="E2330" t="inlineStr">
        <is>
          <t>TORSBY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21829-2024</t>
        </is>
      </c>
      <c r="B2331" s="1" t="n">
        <v>45442</v>
      </c>
      <c r="C2331" s="1" t="n">
        <v>45640</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45640</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21828-2024</t>
        </is>
      </c>
      <c r="B2333" s="1" t="n">
        <v>45442</v>
      </c>
      <c r="C2333" s="1" t="n">
        <v>45640</v>
      </c>
      <c r="D2333" t="inlineStr">
        <is>
          <t>VÄRMLANDS LÄN</t>
        </is>
      </c>
      <c r="E2333" t="inlineStr">
        <is>
          <t>TORSBY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21930-2024</t>
        </is>
      </c>
      <c r="B2334" s="1" t="n">
        <v>45443</v>
      </c>
      <c r="C2334" s="1" t="n">
        <v>45640</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22216-2024</t>
        </is>
      </c>
      <c r="B2335" s="1" t="n">
        <v>45446</v>
      </c>
      <c r="C2335" s="1" t="n">
        <v>45640</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22483-2024</t>
        </is>
      </c>
      <c r="B2336" s="1" t="n">
        <v>45446</v>
      </c>
      <c r="C2336" s="1" t="n">
        <v>45640</v>
      </c>
      <c r="D2336" t="inlineStr">
        <is>
          <t>VÄRMLANDS LÄN</t>
        </is>
      </c>
      <c r="E2336" t="inlineStr">
        <is>
          <t>TORSBY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22421-2024</t>
        </is>
      </c>
      <c r="B2337" s="1" t="n">
        <v>45446</v>
      </c>
      <c r="C2337" s="1" t="n">
        <v>45640</v>
      </c>
      <c r="D2337" t="inlineStr">
        <is>
          <t>VÄRMLANDS LÄN</t>
        </is>
      </c>
      <c r="E2337" t="inlineStr">
        <is>
          <t>TORSBY</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22426-2024</t>
        </is>
      </c>
      <c r="B2338" s="1" t="n">
        <v>45446</v>
      </c>
      <c r="C2338" s="1" t="n">
        <v>45640</v>
      </c>
      <c r="D2338" t="inlineStr">
        <is>
          <t>VÄRMLANDS LÄN</t>
        </is>
      </c>
      <c r="E2338" t="inlineStr">
        <is>
          <t>TORSBY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22525-2024</t>
        </is>
      </c>
      <c r="B2339" s="1" t="n">
        <v>45447</v>
      </c>
      <c r="C2339" s="1" t="n">
        <v>45640</v>
      </c>
      <c r="D2339" t="inlineStr">
        <is>
          <t>VÄRMLANDS LÄN</t>
        </is>
      </c>
      <c r="E2339" t="inlineStr">
        <is>
          <t>TORSBY</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22565-2024</t>
        </is>
      </c>
      <c r="B2340" s="1" t="n">
        <v>45447</v>
      </c>
      <c r="C2340" s="1" t="n">
        <v>45640</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22536-2024</t>
        </is>
      </c>
      <c r="B2341" s="1" t="n">
        <v>45447</v>
      </c>
      <c r="C2341" s="1" t="n">
        <v>45640</v>
      </c>
      <c r="D2341" t="inlineStr">
        <is>
          <t>VÄRMLANDS LÄN</t>
        </is>
      </c>
      <c r="E2341" t="inlineStr">
        <is>
          <t>TORSBY</t>
        </is>
      </c>
      <c r="G2341" t="n">
        <v>25.2</v>
      </c>
      <c r="H2341" t="n">
        <v>0</v>
      </c>
      <c r="I2341" t="n">
        <v>0</v>
      </c>
      <c r="J2341" t="n">
        <v>0</v>
      </c>
      <c r="K2341" t="n">
        <v>0</v>
      </c>
      <c r="L2341" t="n">
        <v>0</v>
      </c>
      <c r="M2341" t="n">
        <v>0</v>
      </c>
      <c r="N2341" t="n">
        <v>0</v>
      </c>
      <c r="O2341" t="n">
        <v>0</v>
      </c>
      <c r="P2341" t="n">
        <v>0</v>
      </c>
      <c r="Q2341" t="n">
        <v>0</v>
      </c>
      <c r="R2341" s="2" t="inlineStr"/>
    </row>
    <row r="2342" ht="15" customHeight="1">
      <c r="A2342" t="inlineStr">
        <is>
          <t>A 22844-2024</t>
        </is>
      </c>
      <c r="B2342" s="1" t="n">
        <v>45448</v>
      </c>
      <c r="C2342" s="1" t="n">
        <v>45640</v>
      </c>
      <c r="D2342" t="inlineStr">
        <is>
          <t>VÄRMLANDS LÄN</t>
        </is>
      </c>
      <c r="E2342" t="inlineStr">
        <is>
          <t>TORSBY</t>
        </is>
      </c>
      <c r="F2342" t="inlineStr">
        <is>
          <t>Bergvik skog väst AB</t>
        </is>
      </c>
      <c r="G2342" t="n">
        <v>16.3</v>
      </c>
      <c r="H2342" t="n">
        <v>0</v>
      </c>
      <c r="I2342" t="n">
        <v>0</v>
      </c>
      <c r="J2342" t="n">
        <v>0</v>
      </c>
      <c r="K2342" t="n">
        <v>0</v>
      </c>
      <c r="L2342" t="n">
        <v>0</v>
      </c>
      <c r="M2342" t="n">
        <v>0</v>
      </c>
      <c r="N2342" t="n">
        <v>0</v>
      </c>
      <c r="O2342" t="n">
        <v>0</v>
      </c>
      <c r="P2342" t="n">
        <v>0</v>
      </c>
      <c r="Q2342" t="n">
        <v>0</v>
      </c>
      <c r="R2342" s="2" t="inlineStr"/>
    </row>
    <row r="2343" ht="15" customHeight="1">
      <c r="A2343" t="inlineStr">
        <is>
          <t>A 22729-2024</t>
        </is>
      </c>
      <c r="B2343" s="1" t="n">
        <v>45448</v>
      </c>
      <c r="C2343" s="1" t="n">
        <v>45640</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22843-2024</t>
        </is>
      </c>
      <c r="B2344" s="1" t="n">
        <v>45448</v>
      </c>
      <c r="C2344" s="1" t="n">
        <v>45640</v>
      </c>
      <c r="D2344" t="inlineStr">
        <is>
          <t>VÄRMLANDS LÄN</t>
        </is>
      </c>
      <c r="E2344" t="inlineStr">
        <is>
          <t>TORSBY</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22973-2024</t>
        </is>
      </c>
      <c r="B2345" s="1" t="n">
        <v>45449</v>
      </c>
      <c r="C2345" s="1" t="n">
        <v>45640</v>
      </c>
      <c r="D2345" t="inlineStr">
        <is>
          <t>VÄRMLANDS LÄN</t>
        </is>
      </c>
      <c r="E2345" t="inlineStr">
        <is>
          <t>TORSBY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23042-2024</t>
        </is>
      </c>
      <c r="B2346" s="1" t="n">
        <v>45450</v>
      </c>
      <c r="C2346" s="1" t="n">
        <v>45640</v>
      </c>
      <c r="D2346" t="inlineStr">
        <is>
          <t>VÄRMLANDS LÄN</t>
        </is>
      </c>
      <c r="E2346" t="inlineStr">
        <is>
          <t>TORSBY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23133-2024</t>
        </is>
      </c>
      <c r="B2347" s="1" t="n">
        <v>45450</v>
      </c>
      <c r="C2347" s="1" t="n">
        <v>45640</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23108-2024</t>
        </is>
      </c>
      <c r="B2348" s="1" t="n">
        <v>45450</v>
      </c>
      <c r="C2348" s="1" t="n">
        <v>45640</v>
      </c>
      <c r="D2348" t="inlineStr">
        <is>
          <t>VÄRMLANDS LÄN</t>
        </is>
      </c>
      <c r="E2348" t="inlineStr">
        <is>
          <t>TORSBY</t>
        </is>
      </c>
      <c r="F2348" t="inlineStr">
        <is>
          <t>Bergvik skog väst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23044-2024</t>
        </is>
      </c>
      <c r="B2349" s="1" t="n">
        <v>45450</v>
      </c>
      <c r="C2349" s="1" t="n">
        <v>45640</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23106-2024</t>
        </is>
      </c>
      <c r="B2350" s="1" t="n">
        <v>45450</v>
      </c>
      <c r="C2350" s="1" t="n">
        <v>45640</v>
      </c>
      <c r="D2350" t="inlineStr">
        <is>
          <t>VÄRMLANDS LÄN</t>
        </is>
      </c>
      <c r="E2350" t="inlineStr">
        <is>
          <t>TORSBY</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23423-2024</t>
        </is>
      </c>
      <c r="B2351" s="1" t="n">
        <v>45453</v>
      </c>
      <c r="C2351" s="1" t="n">
        <v>45640</v>
      </c>
      <c r="D2351" t="inlineStr">
        <is>
          <t>VÄRMLANDS LÄN</t>
        </is>
      </c>
      <c r="E2351" t="inlineStr">
        <is>
          <t>TORSBY</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23678-2024</t>
        </is>
      </c>
      <c r="B2352" s="1" t="n">
        <v>45454</v>
      </c>
      <c r="C2352" s="1" t="n">
        <v>45640</v>
      </c>
      <c r="D2352" t="inlineStr">
        <is>
          <t>VÄRMLANDS LÄN</t>
        </is>
      </c>
      <c r="E2352" t="inlineStr">
        <is>
          <t>TORSBY</t>
        </is>
      </c>
      <c r="F2352" t="inlineStr">
        <is>
          <t>Bergvik skog väst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23719-2024</t>
        </is>
      </c>
      <c r="B2353" s="1" t="n">
        <v>45454</v>
      </c>
      <c r="C2353" s="1" t="n">
        <v>45640</v>
      </c>
      <c r="D2353" t="inlineStr">
        <is>
          <t>VÄRMLANDS LÄN</t>
        </is>
      </c>
      <c r="E2353" t="inlineStr">
        <is>
          <t>TORSBY</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23746-2024</t>
        </is>
      </c>
      <c r="B2354" s="1" t="n">
        <v>45454</v>
      </c>
      <c r="C2354" s="1" t="n">
        <v>45640</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23820-2024</t>
        </is>
      </c>
      <c r="B2355" s="1" t="n">
        <v>45455</v>
      </c>
      <c r="C2355" s="1" t="n">
        <v>45640</v>
      </c>
      <c r="D2355" t="inlineStr">
        <is>
          <t>VÄRMLANDS LÄN</t>
        </is>
      </c>
      <c r="E2355" t="inlineStr">
        <is>
          <t>TORSBY</t>
        </is>
      </c>
      <c r="F2355" t="inlineStr">
        <is>
          <t>Kyrkan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23846-2024</t>
        </is>
      </c>
      <c r="B2356" s="1" t="n">
        <v>45455</v>
      </c>
      <c r="C2356" s="1" t="n">
        <v>45640</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23824-2024</t>
        </is>
      </c>
      <c r="B2357" s="1" t="n">
        <v>45455</v>
      </c>
      <c r="C2357" s="1" t="n">
        <v>45640</v>
      </c>
      <c r="D2357" t="inlineStr">
        <is>
          <t>VÄRMLANDS LÄN</t>
        </is>
      </c>
      <c r="E2357" t="inlineStr">
        <is>
          <t>TORSBY</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23845-2024</t>
        </is>
      </c>
      <c r="B2358" s="1" t="n">
        <v>45455</v>
      </c>
      <c r="C2358" s="1" t="n">
        <v>45640</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23843-2024</t>
        </is>
      </c>
      <c r="B2359" s="1" t="n">
        <v>45455</v>
      </c>
      <c r="C2359" s="1" t="n">
        <v>45640</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23835-2024</t>
        </is>
      </c>
      <c r="B2360" s="1" t="n">
        <v>45455</v>
      </c>
      <c r="C2360" s="1" t="n">
        <v>45640</v>
      </c>
      <c r="D2360" t="inlineStr">
        <is>
          <t>VÄRMLANDS LÄN</t>
        </is>
      </c>
      <c r="E2360" t="inlineStr">
        <is>
          <t>TORSBY</t>
        </is>
      </c>
      <c r="F2360" t="inlineStr">
        <is>
          <t>Bergvik skog väst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24020-2024</t>
        </is>
      </c>
      <c r="B2361" s="1" t="n">
        <v>45456</v>
      </c>
      <c r="C2361" s="1" t="n">
        <v>45640</v>
      </c>
      <c r="D2361" t="inlineStr">
        <is>
          <t>VÄRMLANDS LÄN</t>
        </is>
      </c>
      <c r="E2361" t="inlineStr">
        <is>
          <t>TORSBY</t>
        </is>
      </c>
      <c r="F2361" t="inlineStr">
        <is>
          <t>Bergvik skog väst AB</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23996-2024</t>
        </is>
      </c>
      <c r="B2362" s="1" t="n">
        <v>45456</v>
      </c>
      <c r="C2362" s="1" t="n">
        <v>45640</v>
      </c>
      <c r="D2362" t="inlineStr">
        <is>
          <t>VÄRMLANDS LÄN</t>
        </is>
      </c>
      <c r="E2362" t="inlineStr">
        <is>
          <t>TORSBY</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24004-2024</t>
        </is>
      </c>
      <c r="B2363" s="1" t="n">
        <v>45456</v>
      </c>
      <c r="C2363" s="1" t="n">
        <v>45640</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24148-2024</t>
        </is>
      </c>
      <c r="B2364" s="1" t="n">
        <v>45456</v>
      </c>
      <c r="C2364" s="1" t="n">
        <v>45640</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24182-2024</t>
        </is>
      </c>
      <c r="B2365" s="1" t="n">
        <v>45456</v>
      </c>
      <c r="C2365" s="1" t="n">
        <v>45640</v>
      </c>
      <c r="D2365" t="inlineStr">
        <is>
          <t>VÄRMLANDS LÄN</t>
        </is>
      </c>
      <c r="E2365" t="inlineStr">
        <is>
          <t>TORSBY</t>
        </is>
      </c>
      <c r="F2365" t="inlineStr">
        <is>
          <t>Bergvik skog väst AB</t>
        </is>
      </c>
      <c r="G2365" t="n">
        <v>28.9</v>
      </c>
      <c r="H2365" t="n">
        <v>0</v>
      </c>
      <c r="I2365" t="n">
        <v>0</v>
      </c>
      <c r="J2365" t="n">
        <v>0</v>
      </c>
      <c r="K2365" t="n">
        <v>0</v>
      </c>
      <c r="L2365" t="n">
        <v>0</v>
      </c>
      <c r="M2365" t="n">
        <v>0</v>
      </c>
      <c r="N2365" t="n">
        <v>0</v>
      </c>
      <c r="O2365" t="n">
        <v>0</v>
      </c>
      <c r="P2365" t="n">
        <v>0</v>
      </c>
      <c r="Q2365" t="n">
        <v>0</v>
      </c>
      <c r="R2365" s="2" t="inlineStr"/>
    </row>
    <row r="2366" ht="15" customHeight="1">
      <c r="A2366" t="inlineStr">
        <is>
          <t>A 24087-2024</t>
        </is>
      </c>
      <c r="B2366" s="1" t="n">
        <v>45456</v>
      </c>
      <c r="C2366" s="1" t="n">
        <v>45640</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24113-2024</t>
        </is>
      </c>
      <c r="B2367" s="1" t="n">
        <v>45456</v>
      </c>
      <c r="C2367" s="1" t="n">
        <v>45640</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24242-2024</t>
        </is>
      </c>
      <c r="B2368" s="1" t="n">
        <v>45457</v>
      </c>
      <c r="C2368" s="1" t="n">
        <v>45640</v>
      </c>
      <c r="D2368" t="inlineStr">
        <is>
          <t>VÄRMLANDS LÄN</t>
        </is>
      </c>
      <c r="E2368" t="inlineStr">
        <is>
          <t>TORSBY</t>
        </is>
      </c>
      <c r="F2368" t="inlineStr">
        <is>
          <t>Bergvik skog väst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24261-2024</t>
        </is>
      </c>
      <c r="B2369" s="1" t="n">
        <v>45457</v>
      </c>
      <c r="C2369" s="1" t="n">
        <v>45640</v>
      </c>
      <c r="D2369" t="inlineStr">
        <is>
          <t>VÄRMLANDS LÄN</t>
        </is>
      </c>
      <c r="E2369" t="inlineStr">
        <is>
          <t>TORSBY</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24267-2024</t>
        </is>
      </c>
      <c r="B2370" s="1" t="n">
        <v>45457</v>
      </c>
      <c r="C2370" s="1" t="n">
        <v>45640</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24493-2024</t>
        </is>
      </c>
      <c r="B2371" s="1" t="n">
        <v>45459</v>
      </c>
      <c r="C2371" s="1" t="n">
        <v>45640</v>
      </c>
      <c r="D2371" t="inlineStr">
        <is>
          <t>VÄRMLANDS LÄN</t>
        </is>
      </c>
      <c r="E2371" t="inlineStr">
        <is>
          <t>TORSBY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24490-2024</t>
        </is>
      </c>
      <c r="B2372" s="1" t="n">
        <v>45459</v>
      </c>
      <c r="C2372" s="1" t="n">
        <v>45640</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24708-2024</t>
        </is>
      </c>
      <c r="B2373" s="1" t="n">
        <v>45460</v>
      </c>
      <c r="C2373" s="1" t="n">
        <v>45640</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24723-2024</t>
        </is>
      </c>
      <c r="B2374" s="1" t="n">
        <v>45460</v>
      </c>
      <c r="C2374" s="1" t="n">
        <v>45640</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24717-2024</t>
        </is>
      </c>
      <c r="B2375" s="1" t="n">
        <v>45460</v>
      </c>
      <c r="C2375" s="1" t="n">
        <v>45640</v>
      </c>
      <c r="D2375" t="inlineStr">
        <is>
          <t>VÄRMLANDS LÄN</t>
        </is>
      </c>
      <c r="E2375" t="inlineStr">
        <is>
          <t>TORSBY</t>
        </is>
      </c>
      <c r="F2375" t="inlineStr">
        <is>
          <t>Övriga statliga verk och myndigheter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24636-2024</t>
        </is>
      </c>
      <c r="B2376" s="1" t="n">
        <v>45460</v>
      </c>
      <c r="C2376" s="1" t="n">
        <v>45640</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24630-2024</t>
        </is>
      </c>
      <c r="B2377" s="1" t="n">
        <v>45460</v>
      </c>
      <c r="C2377" s="1" t="n">
        <v>45640</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24657-2024</t>
        </is>
      </c>
      <c r="B2378" s="1" t="n">
        <v>45460</v>
      </c>
      <c r="C2378" s="1" t="n">
        <v>45640</v>
      </c>
      <c r="D2378" t="inlineStr">
        <is>
          <t>VÄRMLANDS LÄN</t>
        </is>
      </c>
      <c r="E2378" t="inlineStr">
        <is>
          <t>TORSBY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24995-2024</t>
        </is>
      </c>
      <c r="B2379" s="1" t="n">
        <v>45461</v>
      </c>
      <c r="C2379" s="1" t="n">
        <v>45640</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24851-2024</t>
        </is>
      </c>
      <c r="B2380" s="1" t="n">
        <v>45461</v>
      </c>
      <c r="C2380" s="1" t="n">
        <v>45640</v>
      </c>
      <c r="D2380" t="inlineStr">
        <is>
          <t>VÄRMLANDS LÄN</t>
        </is>
      </c>
      <c r="E2380" t="inlineStr">
        <is>
          <t>TORSBY</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25355-2024</t>
        </is>
      </c>
      <c r="B2381" s="1" t="n">
        <v>45463</v>
      </c>
      <c r="C2381" s="1" t="n">
        <v>45640</v>
      </c>
      <c r="D2381" t="inlineStr">
        <is>
          <t>VÄRMLANDS LÄN</t>
        </is>
      </c>
      <c r="E2381" t="inlineStr">
        <is>
          <t>TORSBY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25313-2024</t>
        </is>
      </c>
      <c r="B2382" s="1" t="n">
        <v>45462</v>
      </c>
      <c r="C2382" s="1" t="n">
        <v>45640</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25090-2024</t>
        </is>
      </c>
      <c r="B2383" s="1" t="n">
        <v>45462</v>
      </c>
      <c r="C2383" s="1" t="n">
        <v>45640</v>
      </c>
      <c r="D2383" t="inlineStr">
        <is>
          <t>VÄRMLANDS LÄN</t>
        </is>
      </c>
      <c r="E2383" t="inlineStr">
        <is>
          <t>TORSBY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25264-2024</t>
        </is>
      </c>
      <c r="B2384" s="1" t="n">
        <v>45462</v>
      </c>
      <c r="C2384" s="1" t="n">
        <v>45640</v>
      </c>
      <c r="D2384" t="inlineStr">
        <is>
          <t>VÄRMLANDS LÄN</t>
        </is>
      </c>
      <c r="E2384" t="inlineStr">
        <is>
          <t>TORSBY</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25194-2024</t>
        </is>
      </c>
      <c r="B2385" s="1" t="n">
        <v>45462</v>
      </c>
      <c r="C2385" s="1" t="n">
        <v>45640</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25316-2024</t>
        </is>
      </c>
      <c r="B2386" s="1" t="n">
        <v>45462</v>
      </c>
      <c r="C2386" s="1" t="n">
        <v>45640</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25629-2024</t>
        </is>
      </c>
      <c r="B2387" s="1" t="n">
        <v>45463</v>
      </c>
      <c r="C2387" s="1" t="n">
        <v>45640</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25504-2024</t>
        </is>
      </c>
      <c r="B2388" s="1" t="n">
        <v>45463</v>
      </c>
      <c r="C2388" s="1" t="n">
        <v>45640</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25827-2024</t>
        </is>
      </c>
      <c r="B2389" s="1" t="n">
        <v>45467</v>
      </c>
      <c r="C2389" s="1" t="n">
        <v>45640</v>
      </c>
      <c r="D2389" t="inlineStr">
        <is>
          <t>VÄRMLANDS LÄN</t>
        </is>
      </c>
      <c r="E2389" t="inlineStr">
        <is>
          <t>TORSBY</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25898-2024</t>
        </is>
      </c>
      <c r="B2390" s="1" t="n">
        <v>45467</v>
      </c>
      <c r="C2390" s="1" t="n">
        <v>45640</v>
      </c>
      <c r="D2390" t="inlineStr">
        <is>
          <t>VÄRMLANDS LÄN</t>
        </is>
      </c>
      <c r="E2390" t="inlineStr">
        <is>
          <t>TORSBY</t>
        </is>
      </c>
      <c r="G2390" t="n">
        <v>27.6</v>
      </c>
      <c r="H2390" t="n">
        <v>0</v>
      </c>
      <c r="I2390" t="n">
        <v>0</v>
      </c>
      <c r="J2390" t="n">
        <v>0</v>
      </c>
      <c r="K2390" t="n">
        <v>0</v>
      </c>
      <c r="L2390" t="n">
        <v>0</v>
      </c>
      <c r="M2390" t="n">
        <v>0</v>
      </c>
      <c r="N2390" t="n">
        <v>0</v>
      </c>
      <c r="O2390" t="n">
        <v>0</v>
      </c>
      <c r="P2390" t="n">
        <v>0</v>
      </c>
      <c r="Q2390" t="n">
        <v>0</v>
      </c>
      <c r="R2390" s="2" t="inlineStr"/>
    </row>
    <row r="2391" ht="15" customHeight="1">
      <c r="A2391" t="inlineStr">
        <is>
          <t>A 25932-2024</t>
        </is>
      </c>
      <c r="B2391" s="1" t="n">
        <v>45467</v>
      </c>
      <c r="C2391" s="1" t="n">
        <v>45640</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25933-2024</t>
        </is>
      </c>
      <c r="B2392" s="1" t="n">
        <v>45467</v>
      </c>
      <c r="C2392" s="1" t="n">
        <v>45640</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25949-2024</t>
        </is>
      </c>
      <c r="B2393" s="1" t="n">
        <v>45467</v>
      </c>
      <c r="C2393" s="1" t="n">
        <v>45640</v>
      </c>
      <c r="D2393" t="inlineStr">
        <is>
          <t>VÄRMLANDS LÄN</t>
        </is>
      </c>
      <c r="E2393" t="inlineStr">
        <is>
          <t>TORSBY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26186-2024</t>
        </is>
      </c>
      <c r="B2394" s="1" t="n">
        <v>45468</v>
      </c>
      <c r="C2394" s="1" t="n">
        <v>45640</v>
      </c>
      <c r="D2394" t="inlineStr">
        <is>
          <t>VÄRMLANDS LÄN</t>
        </is>
      </c>
      <c r="E2394" t="inlineStr">
        <is>
          <t>TORSBY</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26166-2024</t>
        </is>
      </c>
      <c r="B2395" s="1" t="n">
        <v>45468</v>
      </c>
      <c r="C2395" s="1" t="n">
        <v>45640</v>
      </c>
      <c r="D2395" t="inlineStr">
        <is>
          <t>VÄRMLANDS LÄN</t>
        </is>
      </c>
      <c r="E2395" t="inlineStr">
        <is>
          <t>TORSBY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26124-2024</t>
        </is>
      </c>
      <c r="B2396" s="1" t="n">
        <v>45468</v>
      </c>
      <c r="C2396" s="1" t="n">
        <v>45640</v>
      </c>
      <c r="D2396" t="inlineStr">
        <is>
          <t>VÄRMLANDS LÄN</t>
        </is>
      </c>
      <c r="E2396" t="inlineStr">
        <is>
          <t>TORSBY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26086-2024</t>
        </is>
      </c>
      <c r="B2397" s="1" t="n">
        <v>45468</v>
      </c>
      <c r="C2397" s="1" t="n">
        <v>45640</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26042-2024</t>
        </is>
      </c>
      <c r="B2398" s="1" t="n">
        <v>45468</v>
      </c>
      <c r="C2398" s="1" t="n">
        <v>45640</v>
      </c>
      <c r="D2398" t="inlineStr">
        <is>
          <t>VÄRMLANDS LÄN</t>
        </is>
      </c>
      <c r="E2398" t="inlineStr">
        <is>
          <t>TORSBY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26634-2024</t>
        </is>
      </c>
      <c r="B2399" s="1" t="n">
        <v>45469</v>
      </c>
      <c r="C2399" s="1" t="n">
        <v>45640</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26876-2024</t>
        </is>
      </c>
      <c r="B2400" s="1" t="n">
        <v>45470</v>
      </c>
      <c r="C2400" s="1" t="n">
        <v>45640</v>
      </c>
      <c r="D2400" t="inlineStr">
        <is>
          <t>VÄRMLANDS LÄN</t>
        </is>
      </c>
      <c r="E2400" t="inlineStr">
        <is>
          <t>TORSBY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26887-2024</t>
        </is>
      </c>
      <c r="B2401" s="1" t="n">
        <v>45470</v>
      </c>
      <c r="C2401" s="1" t="n">
        <v>45640</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26807-2024</t>
        </is>
      </c>
      <c r="B2402" s="1" t="n">
        <v>45470</v>
      </c>
      <c r="C2402" s="1" t="n">
        <v>45640</v>
      </c>
      <c r="D2402" t="inlineStr">
        <is>
          <t>VÄRMLANDS LÄN</t>
        </is>
      </c>
      <c r="E2402" t="inlineStr">
        <is>
          <t>TORSBY</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26799-2024</t>
        </is>
      </c>
      <c r="B2403" s="1" t="n">
        <v>45470</v>
      </c>
      <c r="C2403" s="1" t="n">
        <v>45640</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27045-2024</t>
        </is>
      </c>
      <c r="B2404" s="1" t="n">
        <v>45471</v>
      </c>
      <c r="C2404" s="1" t="n">
        <v>45640</v>
      </c>
      <c r="D2404" t="inlineStr">
        <is>
          <t>VÄRMLANDS LÄN</t>
        </is>
      </c>
      <c r="E2404" t="inlineStr">
        <is>
          <t>TORSBY</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27187-2024</t>
        </is>
      </c>
      <c r="B2405" s="1" t="n">
        <v>45471</v>
      </c>
      <c r="C2405" s="1" t="n">
        <v>45640</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27111-2024</t>
        </is>
      </c>
      <c r="B2406" s="1" t="n">
        <v>45471</v>
      </c>
      <c r="C2406" s="1" t="n">
        <v>45640</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27115-2024</t>
        </is>
      </c>
      <c r="B2407" s="1" t="n">
        <v>45471</v>
      </c>
      <c r="C2407" s="1" t="n">
        <v>45640</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27116-2024</t>
        </is>
      </c>
      <c r="B2408" s="1" t="n">
        <v>45471</v>
      </c>
      <c r="C2408" s="1" t="n">
        <v>45640</v>
      </c>
      <c r="D2408" t="inlineStr">
        <is>
          <t>VÄRMLANDS LÄN</t>
        </is>
      </c>
      <c r="E2408" t="inlineStr">
        <is>
          <t>TORSBY</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27120-2024</t>
        </is>
      </c>
      <c r="B2409" s="1" t="n">
        <v>45471</v>
      </c>
      <c r="C2409" s="1" t="n">
        <v>45640</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27124-2024</t>
        </is>
      </c>
      <c r="B2410" s="1" t="n">
        <v>45471</v>
      </c>
      <c r="C2410" s="1" t="n">
        <v>45640</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27144-2024</t>
        </is>
      </c>
      <c r="B2411" s="1" t="n">
        <v>45471</v>
      </c>
      <c r="C2411" s="1" t="n">
        <v>45640</v>
      </c>
      <c r="D2411" t="inlineStr">
        <is>
          <t>VÄRMLANDS LÄN</t>
        </is>
      </c>
      <c r="E2411" t="inlineStr">
        <is>
          <t>TORSBY</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27101-2024</t>
        </is>
      </c>
      <c r="B2412" s="1" t="n">
        <v>45471</v>
      </c>
      <c r="C2412" s="1" t="n">
        <v>45640</v>
      </c>
      <c r="D2412" t="inlineStr">
        <is>
          <t>VÄRMLANDS LÄN</t>
        </is>
      </c>
      <c r="E2412" t="inlineStr">
        <is>
          <t>TORSBY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27090-2024</t>
        </is>
      </c>
      <c r="B2413" s="1" t="n">
        <v>45471</v>
      </c>
      <c r="C2413" s="1" t="n">
        <v>45640</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27086-2024</t>
        </is>
      </c>
      <c r="B2414" s="1" t="n">
        <v>45471</v>
      </c>
      <c r="C2414" s="1" t="n">
        <v>45640</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27078-2024</t>
        </is>
      </c>
      <c r="B2415" s="1" t="n">
        <v>45471</v>
      </c>
      <c r="C2415" s="1" t="n">
        <v>45640</v>
      </c>
      <c r="D2415" t="inlineStr">
        <is>
          <t>VÄRMLANDS LÄN</t>
        </is>
      </c>
      <c r="E2415" t="inlineStr">
        <is>
          <t>TORSBY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27270-2024</t>
        </is>
      </c>
      <c r="B2416" s="1" t="n">
        <v>45471</v>
      </c>
      <c r="C2416" s="1" t="n">
        <v>45640</v>
      </c>
      <c r="D2416" t="inlineStr">
        <is>
          <t>VÄRMLANDS LÄN</t>
        </is>
      </c>
      <c r="E2416" t="inlineStr">
        <is>
          <t>TORSBY</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27291-2024</t>
        </is>
      </c>
      <c r="B2417" s="1" t="n">
        <v>45472</v>
      </c>
      <c r="C2417" s="1" t="n">
        <v>45640</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27096-2024</t>
        </is>
      </c>
      <c r="B2418" s="1" t="n">
        <v>45471</v>
      </c>
      <c r="C2418" s="1" t="n">
        <v>45640</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27273-2024</t>
        </is>
      </c>
      <c r="B2419" s="1" t="n">
        <v>45471</v>
      </c>
      <c r="C2419" s="1" t="n">
        <v>45640</v>
      </c>
      <c r="D2419" t="inlineStr">
        <is>
          <t>VÄRMLANDS LÄN</t>
        </is>
      </c>
      <c r="E2419" t="inlineStr">
        <is>
          <t>TORSBY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27038-2024</t>
        </is>
      </c>
      <c r="B2420" s="1" t="n">
        <v>45471</v>
      </c>
      <c r="C2420" s="1" t="n">
        <v>45640</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27275-2024</t>
        </is>
      </c>
      <c r="B2421" s="1" t="n">
        <v>45471</v>
      </c>
      <c r="C2421" s="1" t="n">
        <v>45640</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45472</v>
      </c>
      <c r="C2422" s="1" t="n">
        <v>45640</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27363-2024</t>
        </is>
      </c>
      <c r="B2423" s="1" t="n">
        <v>45473</v>
      </c>
      <c r="C2423" s="1" t="n">
        <v>45640</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27347-2024</t>
        </is>
      </c>
      <c r="B2424" s="1" t="n">
        <v>45473</v>
      </c>
      <c r="C2424" s="1" t="n">
        <v>45640</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27360-2024</t>
        </is>
      </c>
      <c r="B2425" s="1" t="n">
        <v>45473</v>
      </c>
      <c r="C2425" s="1" t="n">
        <v>45640</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27352-2024</t>
        </is>
      </c>
      <c r="B2426" s="1" t="n">
        <v>45473</v>
      </c>
      <c r="C2426" s="1" t="n">
        <v>45640</v>
      </c>
      <c r="D2426" t="inlineStr">
        <is>
          <t>VÄRMLANDS LÄN</t>
        </is>
      </c>
      <c r="E2426" t="inlineStr">
        <is>
          <t>TORSBY</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27358-2024</t>
        </is>
      </c>
      <c r="B2427" s="1" t="n">
        <v>45473</v>
      </c>
      <c r="C2427" s="1" t="n">
        <v>45640</v>
      </c>
      <c r="D2427" t="inlineStr">
        <is>
          <t>VÄRMLANDS LÄN</t>
        </is>
      </c>
      <c r="E2427" t="inlineStr">
        <is>
          <t>TORSBY</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27346-2024</t>
        </is>
      </c>
      <c r="B2428" s="1" t="n">
        <v>45473</v>
      </c>
      <c r="C2428" s="1" t="n">
        <v>45640</v>
      </c>
      <c r="D2428" t="inlineStr">
        <is>
          <t>VÄRMLANDS LÄN</t>
        </is>
      </c>
      <c r="E2428" t="inlineStr">
        <is>
          <t>TORSBY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27349-2024</t>
        </is>
      </c>
      <c r="B2429" s="1" t="n">
        <v>45473</v>
      </c>
      <c r="C2429" s="1" t="n">
        <v>45640</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27548-2024</t>
        </is>
      </c>
      <c r="B2430" s="1" t="n">
        <v>45474</v>
      </c>
      <c r="C2430" s="1" t="n">
        <v>45640</v>
      </c>
      <c r="D2430" t="inlineStr">
        <is>
          <t>VÄRMLANDS LÄN</t>
        </is>
      </c>
      <c r="E2430" t="inlineStr">
        <is>
          <t>TORSBY</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27615-2024</t>
        </is>
      </c>
      <c r="B2431" s="1" t="n">
        <v>45474</v>
      </c>
      <c r="C2431" s="1" t="n">
        <v>45640</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27554-2024</t>
        </is>
      </c>
      <c r="B2432" s="1" t="n">
        <v>45474</v>
      </c>
      <c r="C2432" s="1" t="n">
        <v>45640</v>
      </c>
      <c r="D2432" t="inlineStr">
        <is>
          <t>VÄRMLANDS LÄN</t>
        </is>
      </c>
      <c r="E2432" t="inlineStr">
        <is>
          <t>TORSBY</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27588-2024</t>
        </is>
      </c>
      <c r="B2433" s="1" t="n">
        <v>45474</v>
      </c>
      <c r="C2433" s="1" t="n">
        <v>45640</v>
      </c>
      <c r="D2433" t="inlineStr">
        <is>
          <t>VÄRMLANDS LÄN</t>
        </is>
      </c>
      <c r="E2433" t="inlineStr">
        <is>
          <t>TORSBY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27501-2024</t>
        </is>
      </c>
      <c r="B2434" s="1" t="n">
        <v>45474</v>
      </c>
      <c r="C2434" s="1" t="n">
        <v>45640</v>
      </c>
      <c r="D2434" t="inlineStr">
        <is>
          <t>VÄRMLANDS LÄN</t>
        </is>
      </c>
      <c r="E2434" t="inlineStr">
        <is>
          <t>TORSBY</t>
        </is>
      </c>
      <c r="F2434" t="inlineStr">
        <is>
          <t>Bergvik skog väst AB</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27529-2024</t>
        </is>
      </c>
      <c r="B2435" s="1" t="n">
        <v>45474</v>
      </c>
      <c r="C2435" s="1" t="n">
        <v>45640</v>
      </c>
      <c r="D2435" t="inlineStr">
        <is>
          <t>VÄRMLANDS LÄN</t>
        </is>
      </c>
      <c r="E2435" t="inlineStr">
        <is>
          <t>TORSBY</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27537-2024</t>
        </is>
      </c>
      <c r="B2436" s="1" t="n">
        <v>45474</v>
      </c>
      <c r="C2436" s="1" t="n">
        <v>45640</v>
      </c>
      <c r="D2436" t="inlineStr">
        <is>
          <t>VÄRMLANDS LÄN</t>
        </is>
      </c>
      <c r="E2436" t="inlineStr">
        <is>
          <t>TORSBY</t>
        </is>
      </c>
      <c r="F2436" t="inlineStr">
        <is>
          <t>Bergvik skog väst AB</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27573-2024</t>
        </is>
      </c>
      <c r="B2437" s="1" t="n">
        <v>45474</v>
      </c>
      <c r="C2437" s="1" t="n">
        <v>45640</v>
      </c>
      <c r="D2437" t="inlineStr">
        <is>
          <t>VÄRMLANDS LÄN</t>
        </is>
      </c>
      <c r="E2437" t="inlineStr">
        <is>
          <t>TORSBY</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27790-2024</t>
        </is>
      </c>
      <c r="B2438" s="1" t="n">
        <v>45475</v>
      </c>
      <c r="C2438" s="1" t="n">
        <v>45640</v>
      </c>
      <c r="D2438" t="inlineStr">
        <is>
          <t>VÄRMLANDS LÄN</t>
        </is>
      </c>
      <c r="E2438" t="inlineStr">
        <is>
          <t>TORSBY</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27678-2024</t>
        </is>
      </c>
      <c r="B2439" s="1" t="n">
        <v>45475</v>
      </c>
      <c r="C2439" s="1" t="n">
        <v>45640</v>
      </c>
      <c r="D2439" t="inlineStr">
        <is>
          <t>VÄRMLANDS LÄN</t>
        </is>
      </c>
      <c r="E2439" t="inlineStr">
        <is>
          <t>TORSBY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27824-2024</t>
        </is>
      </c>
      <c r="B2440" s="1" t="n">
        <v>45475</v>
      </c>
      <c r="C2440" s="1" t="n">
        <v>45640</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27677-2024</t>
        </is>
      </c>
      <c r="B2441" s="1" t="n">
        <v>45475</v>
      </c>
      <c r="C2441" s="1" t="n">
        <v>45640</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28102-2024</t>
        </is>
      </c>
      <c r="B2442" s="1" t="n">
        <v>45476</v>
      </c>
      <c r="C2442" s="1" t="n">
        <v>45640</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28089-2024</t>
        </is>
      </c>
      <c r="B2443" s="1" t="n">
        <v>45476</v>
      </c>
      <c r="C2443" s="1" t="n">
        <v>45640</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28112-2024</t>
        </is>
      </c>
      <c r="B2444" s="1" t="n">
        <v>45476</v>
      </c>
      <c r="C2444" s="1" t="n">
        <v>45640</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28035-2024</t>
        </is>
      </c>
      <c r="B2445" s="1" t="n">
        <v>45476</v>
      </c>
      <c r="C2445" s="1" t="n">
        <v>45640</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28005-2024</t>
        </is>
      </c>
      <c r="B2446" s="1" t="n">
        <v>45476</v>
      </c>
      <c r="C2446" s="1" t="n">
        <v>45640</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28501-2024</t>
        </is>
      </c>
      <c r="B2447" s="1" t="n">
        <v>45478</v>
      </c>
      <c r="C2447" s="1" t="n">
        <v>45640</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28319-2024</t>
        </is>
      </c>
      <c r="B2448" s="1" t="n">
        <v>45477</v>
      </c>
      <c r="C2448" s="1" t="n">
        <v>45640</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28311-2024</t>
        </is>
      </c>
      <c r="B2449" s="1" t="n">
        <v>45477</v>
      </c>
      <c r="C2449" s="1" t="n">
        <v>45640</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28329-2024</t>
        </is>
      </c>
      <c r="B2450" s="1" t="n">
        <v>45477</v>
      </c>
      <c r="C2450" s="1" t="n">
        <v>45640</v>
      </c>
      <c r="D2450" t="inlineStr">
        <is>
          <t>VÄRMLANDS LÄN</t>
        </is>
      </c>
      <c r="E2450" t="inlineStr">
        <is>
          <t>TORSBY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28310-2024</t>
        </is>
      </c>
      <c r="B2451" s="1" t="n">
        <v>45477</v>
      </c>
      <c r="C2451" s="1" t="n">
        <v>45640</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28502-2024</t>
        </is>
      </c>
      <c r="B2452" s="1" t="n">
        <v>45478</v>
      </c>
      <c r="C2452" s="1" t="n">
        <v>45640</v>
      </c>
      <c r="D2452" t="inlineStr">
        <is>
          <t>VÄRMLANDS LÄN</t>
        </is>
      </c>
      <c r="E2452" t="inlineStr">
        <is>
          <t>TORSBY</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28249-2024</t>
        </is>
      </c>
      <c r="B2453" s="1" t="n">
        <v>45477</v>
      </c>
      <c r="C2453" s="1" t="n">
        <v>45640</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28364-2024</t>
        </is>
      </c>
      <c r="B2454" s="1" t="n">
        <v>45477</v>
      </c>
      <c r="C2454" s="1" t="n">
        <v>45640</v>
      </c>
      <c r="D2454" t="inlineStr">
        <is>
          <t>VÄRMLANDS LÄN</t>
        </is>
      </c>
      <c r="E2454" t="inlineStr">
        <is>
          <t>TORSBY</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28284-2024</t>
        </is>
      </c>
      <c r="B2455" s="1" t="n">
        <v>45477</v>
      </c>
      <c r="C2455" s="1" t="n">
        <v>45640</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28539-2024</t>
        </is>
      </c>
      <c r="B2456" s="1" t="n">
        <v>45478</v>
      </c>
      <c r="C2456" s="1" t="n">
        <v>45640</v>
      </c>
      <c r="D2456" t="inlineStr">
        <is>
          <t>VÄRMLANDS LÄN</t>
        </is>
      </c>
      <c r="E2456" t="inlineStr">
        <is>
          <t>TORSBY</t>
        </is>
      </c>
      <c r="F2456" t="inlineStr">
        <is>
          <t>Bergvik skog väst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28619-2024</t>
        </is>
      </c>
      <c r="B2457" s="1" t="n">
        <v>45478</v>
      </c>
      <c r="C2457" s="1" t="n">
        <v>45640</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28554-2024</t>
        </is>
      </c>
      <c r="B2458" s="1" t="n">
        <v>45478</v>
      </c>
      <c r="C2458" s="1" t="n">
        <v>45640</v>
      </c>
      <c r="D2458" t="inlineStr">
        <is>
          <t>VÄRMLANDS LÄN</t>
        </is>
      </c>
      <c r="E2458" t="inlineStr">
        <is>
          <t>TORSBY</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28646-2024</t>
        </is>
      </c>
      <c r="B2459" s="1" t="n">
        <v>45478</v>
      </c>
      <c r="C2459" s="1" t="n">
        <v>45640</v>
      </c>
      <c r="D2459" t="inlineStr">
        <is>
          <t>VÄRMLANDS LÄN</t>
        </is>
      </c>
      <c r="E2459" t="inlineStr">
        <is>
          <t>TORSBY</t>
        </is>
      </c>
      <c r="F2459" t="inlineStr">
        <is>
          <t>Bergvik skog väst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28545-2024</t>
        </is>
      </c>
      <c r="B2460" s="1" t="n">
        <v>45478</v>
      </c>
      <c r="C2460" s="1" t="n">
        <v>45640</v>
      </c>
      <c r="D2460" t="inlineStr">
        <is>
          <t>VÄRMLANDS LÄN</t>
        </is>
      </c>
      <c r="E2460" t="inlineStr">
        <is>
          <t>TORSBY</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28589-2024</t>
        </is>
      </c>
      <c r="B2461" s="1" t="n">
        <v>45478</v>
      </c>
      <c r="C2461" s="1" t="n">
        <v>45640</v>
      </c>
      <c r="D2461" t="inlineStr">
        <is>
          <t>VÄRMLANDS LÄN</t>
        </is>
      </c>
      <c r="E2461" t="inlineStr">
        <is>
          <t>TORSBY</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28624-2024</t>
        </is>
      </c>
      <c r="B2462" s="1" t="n">
        <v>45478</v>
      </c>
      <c r="C2462" s="1" t="n">
        <v>45640</v>
      </c>
      <c r="D2462" t="inlineStr">
        <is>
          <t>VÄRMLANDS LÄN</t>
        </is>
      </c>
      <c r="E2462" t="inlineStr">
        <is>
          <t>TORSBY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28673-2024</t>
        </is>
      </c>
      <c r="B2463" s="1" t="n">
        <v>45478</v>
      </c>
      <c r="C2463" s="1" t="n">
        <v>45640</v>
      </c>
      <c r="D2463" t="inlineStr">
        <is>
          <t>VÄRMLANDS LÄN</t>
        </is>
      </c>
      <c r="E2463" t="inlineStr">
        <is>
          <t>TORSBY</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28609-2024</t>
        </is>
      </c>
      <c r="B2464" s="1" t="n">
        <v>45478</v>
      </c>
      <c r="C2464" s="1" t="n">
        <v>45640</v>
      </c>
      <c r="D2464" t="inlineStr">
        <is>
          <t>VÄRMLANDS LÄN</t>
        </is>
      </c>
      <c r="E2464" t="inlineStr">
        <is>
          <t>TORSBY</t>
        </is>
      </c>
      <c r="F2464" t="inlineStr">
        <is>
          <t>Bergvik skog väst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28621-2024</t>
        </is>
      </c>
      <c r="B2465" s="1" t="n">
        <v>45478</v>
      </c>
      <c r="C2465" s="1" t="n">
        <v>45640</v>
      </c>
      <c r="D2465" t="inlineStr">
        <is>
          <t>VÄRMLANDS LÄN</t>
        </is>
      </c>
      <c r="E2465" t="inlineStr">
        <is>
          <t>TORSBY</t>
        </is>
      </c>
      <c r="F2465" t="inlineStr">
        <is>
          <t>Bergvik skog väst AB</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28637-2024</t>
        </is>
      </c>
      <c r="B2466" s="1" t="n">
        <v>45478</v>
      </c>
      <c r="C2466" s="1" t="n">
        <v>45640</v>
      </c>
      <c r="D2466" t="inlineStr">
        <is>
          <t>VÄRMLANDS LÄN</t>
        </is>
      </c>
      <c r="E2466" t="inlineStr">
        <is>
          <t>TORSBY</t>
        </is>
      </c>
      <c r="F2466" t="inlineStr">
        <is>
          <t>Bergvik skog väst AB</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28948-2024</t>
        </is>
      </c>
      <c r="B2467" s="1" t="n">
        <v>45481</v>
      </c>
      <c r="C2467" s="1" t="n">
        <v>45640</v>
      </c>
      <c r="D2467" t="inlineStr">
        <is>
          <t>VÄRMLANDS LÄN</t>
        </is>
      </c>
      <c r="E2467" t="inlineStr">
        <is>
          <t>TORSBY</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28987-2024</t>
        </is>
      </c>
      <c r="B2468" s="1" t="n">
        <v>45481</v>
      </c>
      <c r="C2468" s="1" t="n">
        <v>45640</v>
      </c>
      <c r="D2468" t="inlineStr">
        <is>
          <t>VÄRMLANDS LÄN</t>
        </is>
      </c>
      <c r="E2468" t="inlineStr">
        <is>
          <t>TORSBY</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29306-2024</t>
        </is>
      </c>
      <c r="B2469" s="1" t="n">
        <v>45483</v>
      </c>
      <c r="C2469" s="1" t="n">
        <v>45640</v>
      </c>
      <c r="D2469" t="inlineStr">
        <is>
          <t>VÄRMLANDS LÄN</t>
        </is>
      </c>
      <c r="E2469" t="inlineStr">
        <is>
          <t>TORSBY</t>
        </is>
      </c>
      <c r="F2469" t="inlineStr">
        <is>
          <t>Kyrkan</t>
        </is>
      </c>
      <c r="G2469" t="n">
        <v>18.3</v>
      </c>
      <c r="H2469" t="n">
        <v>0</v>
      </c>
      <c r="I2469" t="n">
        <v>0</v>
      </c>
      <c r="J2469" t="n">
        <v>0</v>
      </c>
      <c r="K2469" t="n">
        <v>0</v>
      </c>
      <c r="L2469" t="n">
        <v>0</v>
      </c>
      <c r="M2469" t="n">
        <v>0</v>
      </c>
      <c r="N2469" t="n">
        <v>0</v>
      </c>
      <c r="O2469" t="n">
        <v>0</v>
      </c>
      <c r="P2469" t="n">
        <v>0</v>
      </c>
      <c r="Q2469" t="n">
        <v>0</v>
      </c>
      <c r="R2469" s="2" t="inlineStr"/>
    </row>
    <row r="2470" ht="15" customHeight="1">
      <c r="A2470" t="inlineStr">
        <is>
          <t>A 29408-2024</t>
        </is>
      </c>
      <c r="B2470" s="1" t="n">
        <v>45483</v>
      </c>
      <c r="C2470" s="1" t="n">
        <v>45640</v>
      </c>
      <c r="D2470" t="inlineStr">
        <is>
          <t>VÄRMLANDS LÄN</t>
        </is>
      </c>
      <c r="E2470" t="inlineStr">
        <is>
          <t>TORSBY</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29375-2024</t>
        </is>
      </c>
      <c r="B2471" s="1" t="n">
        <v>45483</v>
      </c>
      <c r="C2471" s="1" t="n">
        <v>45640</v>
      </c>
      <c r="D2471" t="inlineStr">
        <is>
          <t>VÄRMLANDS LÄN</t>
        </is>
      </c>
      <c r="E2471" t="inlineStr">
        <is>
          <t>TORSBY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29541-2024</t>
        </is>
      </c>
      <c r="B2472" s="1" t="n">
        <v>45484</v>
      </c>
      <c r="C2472" s="1" t="n">
        <v>45640</v>
      </c>
      <c r="D2472" t="inlineStr">
        <is>
          <t>VÄRMLANDS LÄN</t>
        </is>
      </c>
      <c r="E2472" t="inlineStr">
        <is>
          <t>TORSBY</t>
        </is>
      </c>
      <c r="F2472" t="inlineStr">
        <is>
          <t>Bergvik skog väst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29549-2024</t>
        </is>
      </c>
      <c r="B2473" s="1" t="n">
        <v>45484</v>
      </c>
      <c r="C2473" s="1" t="n">
        <v>45640</v>
      </c>
      <c r="D2473" t="inlineStr">
        <is>
          <t>VÄRMLANDS LÄN</t>
        </is>
      </c>
      <c r="E2473" t="inlineStr">
        <is>
          <t>TORSBY</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29593-2024</t>
        </is>
      </c>
      <c r="B2474" s="1" t="n">
        <v>45484</v>
      </c>
      <c r="C2474" s="1" t="n">
        <v>45640</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29535-2024</t>
        </is>
      </c>
      <c r="B2475" s="1" t="n">
        <v>45484</v>
      </c>
      <c r="C2475" s="1" t="n">
        <v>45640</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29559-2024</t>
        </is>
      </c>
      <c r="B2476" s="1" t="n">
        <v>45484</v>
      </c>
      <c r="C2476" s="1" t="n">
        <v>45640</v>
      </c>
      <c r="D2476" t="inlineStr">
        <is>
          <t>VÄRMLANDS LÄN</t>
        </is>
      </c>
      <c r="E2476" t="inlineStr">
        <is>
          <t>TORSBY</t>
        </is>
      </c>
      <c r="F2476" t="inlineStr">
        <is>
          <t>Bergvik skog väst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29502-2024</t>
        </is>
      </c>
      <c r="B2477" s="1" t="n">
        <v>45484</v>
      </c>
      <c r="C2477" s="1" t="n">
        <v>45640</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29759-2024</t>
        </is>
      </c>
      <c r="B2478" s="1" t="n">
        <v>45485</v>
      </c>
      <c r="C2478" s="1" t="n">
        <v>45640</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29852-2024</t>
        </is>
      </c>
      <c r="B2479" s="1" t="n">
        <v>45485</v>
      </c>
      <c r="C2479" s="1" t="n">
        <v>45640</v>
      </c>
      <c r="D2479" t="inlineStr">
        <is>
          <t>VÄRMLANDS LÄN</t>
        </is>
      </c>
      <c r="E2479" t="inlineStr">
        <is>
          <t>TORSBY</t>
        </is>
      </c>
      <c r="F2479" t="inlineStr">
        <is>
          <t>Bergvik skog väst AB</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29898-2024</t>
        </is>
      </c>
      <c r="B2480" s="1" t="n">
        <v>45487</v>
      </c>
      <c r="C2480" s="1" t="n">
        <v>45640</v>
      </c>
      <c r="D2480" t="inlineStr">
        <is>
          <t>VÄRMLANDS LÄN</t>
        </is>
      </c>
      <c r="E2480" t="inlineStr">
        <is>
          <t>TORSBY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29895-2024</t>
        </is>
      </c>
      <c r="B2481" s="1" t="n">
        <v>45487</v>
      </c>
      <c r="C2481" s="1" t="n">
        <v>45640</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29897-2024</t>
        </is>
      </c>
      <c r="B2482" s="1" t="n">
        <v>45487</v>
      </c>
      <c r="C2482" s="1" t="n">
        <v>45640</v>
      </c>
      <c r="D2482" t="inlineStr">
        <is>
          <t>VÄRMLANDS LÄN</t>
        </is>
      </c>
      <c r="E2482" t="inlineStr">
        <is>
          <t>TORSBY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29936-2024</t>
        </is>
      </c>
      <c r="B2483" s="1" t="n">
        <v>45488</v>
      </c>
      <c r="C2483" s="1" t="n">
        <v>45640</v>
      </c>
      <c r="D2483" t="inlineStr">
        <is>
          <t>VÄRMLANDS LÄN</t>
        </is>
      </c>
      <c r="E2483" t="inlineStr">
        <is>
          <t>TORSBY</t>
        </is>
      </c>
      <c r="F2483" t="inlineStr">
        <is>
          <t>Kommuner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29925-2024</t>
        </is>
      </c>
      <c r="B2484" s="1" t="n">
        <v>45488</v>
      </c>
      <c r="C2484" s="1" t="n">
        <v>45640</v>
      </c>
      <c r="D2484" t="inlineStr">
        <is>
          <t>VÄRMLANDS LÄN</t>
        </is>
      </c>
      <c r="E2484" t="inlineStr">
        <is>
          <t>TORSBY</t>
        </is>
      </c>
      <c r="F2484" t="inlineStr">
        <is>
          <t>Kyrkan</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30002-2024</t>
        </is>
      </c>
      <c r="B2485" s="1" t="n">
        <v>45488</v>
      </c>
      <c r="C2485" s="1" t="n">
        <v>45640</v>
      </c>
      <c r="D2485" t="inlineStr">
        <is>
          <t>VÄRMLANDS LÄN</t>
        </is>
      </c>
      <c r="E2485" t="inlineStr">
        <is>
          <t>TORSBY</t>
        </is>
      </c>
      <c r="F2485" t="inlineStr">
        <is>
          <t>Kommuner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30011-2024</t>
        </is>
      </c>
      <c r="B2486" s="1" t="n">
        <v>45488</v>
      </c>
      <c r="C2486" s="1" t="n">
        <v>45640</v>
      </c>
      <c r="D2486" t="inlineStr">
        <is>
          <t>VÄRMLANDS LÄN</t>
        </is>
      </c>
      <c r="E2486" t="inlineStr">
        <is>
          <t>TORSBY</t>
        </is>
      </c>
      <c r="F2486" t="inlineStr">
        <is>
          <t>Kommuner</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29926-2024</t>
        </is>
      </c>
      <c r="B2487" s="1" t="n">
        <v>45488</v>
      </c>
      <c r="C2487" s="1" t="n">
        <v>45640</v>
      </c>
      <c r="D2487" t="inlineStr">
        <is>
          <t>VÄRMLANDS LÄN</t>
        </is>
      </c>
      <c r="E2487" t="inlineStr">
        <is>
          <t>TORSBY</t>
        </is>
      </c>
      <c r="F2487" t="inlineStr">
        <is>
          <t>Kommuner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30074-2024</t>
        </is>
      </c>
      <c r="B2488" s="1" t="n">
        <v>45489</v>
      </c>
      <c r="C2488" s="1" t="n">
        <v>45640</v>
      </c>
      <c r="D2488" t="inlineStr">
        <is>
          <t>VÄRMLANDS LÄN</t>
        </is>
      </c>
      <c r="E2488" t="inlineStr">
        <is>
          <t>TORSBY</t>
        </is>
      </c>
      <c r="F2488" t="inlineStr">
        <is>
          <t>Kyrkan</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30267-2024</t>
        </is>
      </c>
      <c r="B2489" s="1" t="n">
        <v>45490</v>
      </c>
      <c r="C2489" s="1" t="n">
        <v>45640</v>
      </c>
      <c r="D2489" t="inlineStr">
        <is>
          <t>VÄRMLANDS LÄN</t>
        </is>
      </c>
      <c r="E2489" t="inlineStr">
        <is>
          <t>TORSBY</t>
        </is>
      </c>
      <c r="F2489" t="inlineStr">
        <is>
          <t>Bergvik skog väst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30403-2024</t>
        </is>
      </c>
      <c r="B2490" s="1" t="n">
        <v>45491</v>
      </c>
      <c r="C2490" s="1" t="n">
        <v>45640</v>
      </c>
      <c r="D2490" t="inlineStr">
        <is>
          <t>VÄRMLANDS LÄN</t>
        </is>
      </c>
      <c r="E2490" t="inlineStr">
        <is>
          <t>TORSBY</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30629-2024</t>
        </is>
      </c>
      <c r="B2491" s="1" t="n">
        <v>45495</v>
      </c>
      <c r="C2491" s="1" t="n">
        <v>45640</v>
      </c>
      <c r="D2491" t="inlineStr">
        <is>
          <t>VÄRMLANDS LÄN</t>
        </is>
      </c>
      <c r="E2491" t="inlineStr">
        <is>
          <t>TORSBY</t>
        </is>
      </c>
      <c r="F2491" t="inlineStr">
        <is>
          <t>Bergvik skog väst AB</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30718-2024</t>
        </is>
      </c>
      <c r="B2492" s="1" t="n">
        <v>45496</v>
      </c>
      <c r="C2492" s="1" t="n">
        <v>45640</v>
      </c>
      <c r="D2492" t="inlineStr">
        <is>
          <t>VÄRMLANDS LÄN</t>
        </is>
      </c>
      <c r="E2492" t="inlineStr">
        <is>
          <t>TORSBY</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30706-2024</t>
        </is>
      </c>
      <c r="B2493" s="1" t="n">
        <v>45496</v>
      </c>
      <c r="C2493" s="1" t="n">
        <v>45640</v>
      </c>
      <c r="D2493" t="inlineStr">
        <is>
          <t>VÄRMLANDS LÄN</t>
        </is>
      </c>
      <c r="E2493" t="inlineStr">
        <is>
          <t>TORSBY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30720-2024</t>
        </is>
      </c>
      <c r="B2494" s="1" t="n">
        <v>45496</v>
      </c>
      <c r="C2494" s="1" t="n">
        <v>45640</v>
      </c>
      <c r="D2494" t="inlineStr">
        <is>
          <t>VÄRMLANDS LÄN</t>
        </is>
      </c>
      <c r="E2494" t="inlineStr">
        <is>
          <t>TORSBY</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30700-2024</t>
        </is>
      </c>
      <c r="B2495" s="1" t="n">
        <v>45496</v>
      </c>
      <c r="C2495" s="1" t="n">
        <v>45640</v>
      </c>
      <c r="D2495" t="inlineStr">
        <is>
          <t>VÄRMLANDS LÄN</t>
        </is>
      </c>
      <c r="E2495" t="inlineStr">
        <is>
          <t>TORSBY</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30696-2024</t>
        </is>
      </c>
      <c r="B2496" s="1" t="n">
        <v>45496</v>
      </c>
      <c r="C2496" s="1" t="n">
        <v>45640</v>
      </c>
      <c r="D2496" t="inlineStr">
        <is>
          <t>VÄRMLANDS LÄN</t>
        </is>
      </c>
      <c r="E2496" t="inlineStr">
        <is>
          <t>TORSBY</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30699-2024</t>
        </is>
      </c>
      <c r="B2497" s="1" t="n">
        <v>45496</v>
      </c>
      <c r="C2497" s="1" t="n">
        <v>45640</v>
      </c>
      <c r="D2497" t="inlineStr">
        <is>
          <t>VÄRMLANDS LÄN</t>
        </is>
      </c>
      <c r="E2497" t="inlineStr">
        <is>
          <t>TORSBY</t>
        </is>
      </c>
      <c r="F2497" t="inlineStr">
        <is>
          <t>Kyrkan</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30705-2024</t>
        </is>
      </c>
      <c r="B2498" s="1" t="n">
        <v>45496</v>
      </c>
      <c r="C2498" s="1" t="n">
        <v>45640</v>
      </c>
      <c r="D2498" t="inlineStr">
        <is>
          <t>VÄRMLANDS LÄN</t>
        </is>
      </c>
      <c r="E2498" t="inlineStr">
        <is>
          <t>TORSBY</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30790-2024</t>
        </is>
      </c>
      <c r="B2499" s="1" t="n">
        <v>45497</v>
      </c>
      <c r="C2499" s="1" t="n">
        <v>45640</v>
      </c>
      <c r="D2499" t="inlineStr">
        <is>
          <t>VÄRMLANDS LÄN</t>
        </is>
      </c>
      <c r="E2499" t="inlineStr">
        <is>
          <t>TORSBY</t>
        </is>
      </c>
      <c r="G2499" t="n">
        <v>49.9</v>
      </c>
      <c r="H2499" t="n">
        <v>0</v>
      </c>
      <c r="I2499" t="n">
        <v>0</v>
      </c>
      <c r="J2499" t="n">
        <v>0</v>
      </c>
      <c r="K2499" t="n">
        <v>0</v>
      </c>
      <c r="L2499" t="n">
        <v>0</v>
      </c>
      <c r="M2499" t="n">
        <v>0</v>
      </c>
      <c r="N2499" t="n">
        <v>0</v>
      </c>
      <c r="O2499" t="n">
        <v>0</v>
      </c>
      <c r="P2499" t="n">
        <v>0</v>
      </c>
      <c r="Q2499" t="n">
        <v>0</v>
      </c>
      <c r="R2499" s="2" t="inlineStr"/>
    </row>
    <row r="2500" ht="15" customHeight="1">
      <c r="A2500" t="inlineStr">
        <is>
          <t>A 30789-2024</t>
        </is>
      </c>
      <c r="B2500" s="1" t="n">
        <v>45497</v>
      </c>
      <c r="C2500" s="1" t="n">
        <v>45640</v>
      </c>
      <c r="D2500" t="inlineStr">
        <is>
          <t>VÄRMLANDS LÄN</t>
        </is>
      </c>
      <c r="E2500" t="inlineStr">
        <is>
          <t>TORSBY</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30803-2024</t>
        </is>
      </c>
      <c r="B2501" s="1" t="n">
        <v>45497</v>
      </c>
      <c r="C2501" s="1" t="n">
        <v>45640</v>
      </c>
      <c r="D2501" t="inlineStr">
        <is>
          <t>VÄRMLANDS LÄN</t>
        </is>
      </c>
      <c r="E2501" t="inlineStr">
        <is>
          <t>TORSBY</t>
        </is>
      </c>
      <c r="F2501" t="inlineStr">
        <is>
          <t>Kyrkan</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30791-2024</t>
        </is>
      </c>
      <c r="B2502" s="1" t="n">
        <v>45497</v>
      </c>
      <c r="C2502" s="1" t="n">
        <v>45640</v>
      </c>
      <c r="D2502" t="inlineStr">
        <is>
          <t>VÄRMLANDS LÄN</t>
        </is>
      </c>
      <c r="E2502" t="inlineStr">
        <is>
          <t>TORSBY</t>
        </is>
      </c>
      <c r="G2502" t="n">
        <v>44.2</v>
      </c>
      <c r="H2502" t="n">
        <v>0</v>
      </c>
      <c r="I2502" t="n">
        <v>0</v>
      </c>
      <c r="J2502" t="n">
        <v>0</v>
      </c>
      <c r="K2502" t="n">
        <v>0</v>
      </c>
      <c r="L2502" t="n">
        <v>0</v>
      </c>
      <c r="M2502" t="n">
        <v>0</v>
      </c>
      <c r="N2502" t="n">
        <v>0</v>
      </c>
      <c r="O2502" t="n">
        <v>0</v>
      </c>
      <c r="P2502" t="n">
        <v>0</v>
      </c>
      <c r="Q2502" t="n">
        <v>0</v>
      </c>
      <c r="R2502" s="2" t="inlineStr"/>
    </row>
    <row r="2503" ht="15" customHeight="1">
      <c r="A2503" t="inlineStr">
        <is>
          <t>A 30873-2024</t>
        </is>
      </c>
      <c r="B2503" s="1" t="n">
        <v>45498</v>
      </c>
      <c r="C2503" s="1" t="n">
        <v>45640</v>
      </c>
      <c r="D2503" t="inlineStr">
        <is>
          <t>VÄRMLANDS LÄN</t>
        </is>
      </c>
      <c r="E2503" t="inlineStr">
        <is>
          <t>TORSBY</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30952-2024</t>
        </is>
      </c>
      <c r="B2504" s="1" t="n">
        <v>45499</v>
      </c>
      <c r="C2504" s="1" t="n">
        <v>45640</v>
      </c>
      <c r="D2504" t="inlineStr">
        <is>
          <t>VÄRMLANDS LÄN</t>
        </is>
      </c>
      <c r="E2504" t="inlineStr">
        <is>
          <t>TORSBY</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30947-2024</t>
        </is>
      </c>
      <c r="B2505" s="1" t="n">
        <v>45499</v>
      </c>
      <c r="C2505" s="1" t="n">
        <v>45640</v>
      </c>
      <c r="D2505" t="inlineStr">
        <is>
          <t>VÄRMLANDS LÄN</t>
        </is>
      </c>
      <c r="E2505" t="inlineStr">
        <is>
          <t>TORSBY</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31004-2024</t>
        </is>
      </c>
      <c r="B2506" s="1" t="n">
        <v>45499</v>
      </c>
      <c r="C2506" s="1" t="n">
        <v>45640</v>
      </c>
      <c r="D2506" t="inlineStr">
        <is>
          <t>VÄRMLANDS LÄN</t>
        </is>
      </c>
      <c r="E2506" t="inlineStr">
        <is>
          <t>TORSBY</t>
        </is>
      </c>
      <c r="F2506" t="inlineStr">
        <is>
          <t>Bergvik skog väst AB</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30942-2024</t>
        </is>
      </c>
      <c r="B2507" s="1" t="n">
        <v>45499</v>
      </c>
      <c r="C2507" s="1" t="n">
        <v>45640</v>
      </c>
      <c r="D2507" t="inlineStr">
        <is>
          <t>VÄRMLANDS LÄN</t>
        </is>
      </c>
      <c r="E2507" t="inlineStr">
        <is>
          <t>TORSBY</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31089-2024</t>
        </is>
      </c>
      <c r="B2508" s="1" t="n">
        <v>45502</v>
      </c>
      <c r="C2508" s="1" t="n">
        <v>45640</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31158-2024</t>
        </is>
      </c>
      <c r="B2509" s="1" t="n">
        <v>45503</v>
      </c>
      <c r="C2509" s="1" t="n">
        <v>45640</v>
      </c>
      <c r="D2509" t="inlineStr">
        <is>
          <t>VÄRMLANDS LÄN</t>
        </is>
      </c>
      <c r="E2509" t="inlineStr">
        <is>
          <t>TORSBY</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31164-2024</t>
        </is>
      </c>
      <c r="B2510" s="1" t="n">
        <v>45503</v>
      </c>
      <c r="C2510" s="1" t="n">
        <v>45640</v>
      </c>
      <c r="D2510" t="inlineStr">
        <is>
          <t>VÄRMLANDS LÄN</t>
        </is>
      </c>
      <c r="E2510" t="inlineStr">
        <is>
          <t>TORSBY</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31285-2024</t>
        </is>
      </c>
      <c r="B2511" s="1" t="n">
        <v>45504</v>
      </c>
      <c r="C2511" s="1" t="n">
        <v>45640</v>
      </c>
      <c r="D2511" t="inlineStr">
        <is>
          <t>VÄRMLANDS LÄN</t>
        </is>
      </c>
      <c r="E2511" t="inlineStr">
        <is>
          <t>TORSBY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31289-2024</t>
        </is>
      </c>
      <c r="B2512" s="1" t="n">
        <v>45504</v>
      </c>
      <c r="C2512" s="1" t="n">
        <v>45640</v>
      </c>
      <c r="D2512" t="inlineStr">
        <is>
          <t>VÄRMLANDS LÄN</t>
        </is>
      </c>
      <c r="E2512" t="inlineStr">
        <is>
          <t>TORSBY</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31380-2024</t>
        </is>
      </c>
      <c r="B2513" s="1" t="n">
        <v>45505</v>
      </c>
      <c r="C2513" s="1" t="n">
        <v>45640</v>
      </c>
      <c r="D2513" t="inlineStr">
        <is>
          <t>VÄRMLANDS LÄN</t>
        </is>
      </c>
      <c r="E2513" t="inlineStr">
        <is>
          <t>TORSBY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31385-2024</t>
        </is>
      </c>
      <c r="B2514" s="1" t="n">
        <v>45505</v>
      </c>
      <c r="C2514" s="1" t="n">
        <v>45640</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31377-2024</t>
        </is>
      </c>
      <c r="B2515" s="1" t="n">
        <v>45505</v>
      </c>
      <c r="C2515" s="1" t="n">
        <v>45640</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31351-2024</t>
        </is>
      </c>
      <c r="B2516" s="1" t="n">
        <v>45505</v>
      </c>
      <c r="C2516" s="1" t="n">
        <v>45640</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31767-2024</t>
        </is>
      </c>
      <c r="B2517" s="1" t="n">
        <v>45509</v>
      </c>
      <c r="C2517" s="1" t="n">
        <v>45640</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31716-2024</t>
        </is>
      </c>
      <c r="B2518" s="1" t="n">
        <v>45509</v>
      </c>
      <c r="C2518" s="1" t="n">
        <v>45640</v>
      </c>
      <c r="D2518" t="inlineStr">
        <is>
          <t>VÄRMLANDS LÄN</t>
        </is>
      </c>
      <c r="E2518" t="inlineStr">
        <is>
          <t>TORSBY</t>
        </is>
      </c>
      <c r="F2518" t="inlineStr">
        <is>
          <t>Bergvik skog väst AB</t>
        </is>
      </c>
      <c r="G2518" t="n">
        <v>19.3</v>
      </c>
      <c r="H2518" t="n">
        <v>0</v>
      </c>
      <c r="I2518" t="n">
        <v>0</v>
      </c>
      <c r="J2518" t="n">
        <v>0</v>
      </c>
      <c r="K2518" t="n">
        <v>0</v>
      </c>
      <c r="L2518" t="n">
        <v>0</v>
      </c>
      <c r="M2518" t="n">
        <v>0</v>
      </c>
      <c r="N2518" t="n">
        <v>0</v>
      </c>
      <c r="O2518" t="n">
        <v>0</v>
      </c>
      <c r="P2518" t="n">
        <v>0</v>
      </c>
      <c r="Q2518" t="n">
        <v>0</v>
      </c>
      <c r="R2518" s="2" t="inlineStr"/>
    </row>
    <row r="2519" ht="15" customHeight="1">
      <c r="A2519" t="inlineStr">
        <is>
          <t>A 31836-2024</t>
        </is>
      </c>
      <c r="B2519" s="1" t="n">
        <v>45509</v>
      </c>
      <c r="C2519" s="1" t="n">
        <v>45640</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31830-2024</t>
        </is>
      </c>
      <c r="B2520" s="1" t="n">
        <v>45509</v>
      </c>
      <c r="C2520" s="1" t="n">
        <v>45640</v>
      </c>
      <c r="D2520" t="inlineStr">
        <is>
          <t>VÄRMLANDS LÄN</t>
        </is>
      </c>
      <c r="E2520" t="inlineStr">
        <is>
          <t>TORSBY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31945-2024</t>
        </is>
      </c>
      <c r="B2521" s="1" t="n">
        <v>45510</v>
      </c>
      <c r="C2521" s="1" t="n">
        <v>45640</v>
      </c>
      <c r="D2521" t="inlineStr">
        <is>
          <t>VÄRMLANDS LÄN</t>
        </is>
      </c>
      <c r="E2521" t="inlineStr">
        <is>
          <t>TORSBY</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32155-2024</t>
        </is>
      </c>
      <c r="B2522" s="1" t="n">
        <v>45511</v>
      </c>
      <c r="C2522" s="1" t="n">
        <v>45640</v>
      </c>
      <c r="D2522" t="inlineStr">
        <is>
          <t>VÄRMLANDS LÄN</t>
        </is>
      </c>
      <c r="E2522" t="inlineStr">
        <is>
          <t>TORSBY</t>
        </is>
      </c>
      <c r="F2522" t="inlineStr">
        <is>
          <t>Bergvik skog väst AB</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32138-2024</t>
        </is>
      </c>
      <c r="B2523" s="1" t="n">
        <v>45511</v>
      </c>
      <c r="C2523" s="1" t="n">
        <v>45640</v>
      </c>
      <c r="D2523" t="inlineStr">
        <is>
          <t>VÄRMLANDS LÄN</t>
        </is>
      </c>
      <c r="E2523" t="inlineStr">
        <is>
          <t>TORSBY</t>
        </is>
      </c>
      <c r="F2523" t="inlineStr">
        <is>
          <t>Bergvik skog väst AB</t>
        </is>
      </c>
      <c r="G2523" t="n">
        <v>26.3</v>
      </c>
      <c r="H2523" t="n">
        <v>0</v>
      </c>
      <c r="I2523" t="n">
        <v>0</v>
      </c>
      <c r="J2523" t="n">
        <v>0</v>
      </c>
      <c r="K2523" t="n">
        <v>0</v>
      </c>
      <c r="L2523" t="n">
        <v>0</v>
      </c>
      <c r="M2523" t="n">
        <v>0</v>
      </c>
      <c r="N2523" t="n">
        <v>0</v>
      </c>
      <c r="O2523" t="n">
        <v>0</v>
      </c>
      <c r="P2523" t="n">
        <v>0</v>
      </c>
      <c r="Q2523" t="n">
        <v>0</v>
      </c>
      <c r="R2523" s="2" t="inlineStr"/>
    </row>
    <row r="2524" ht="15" customHeight="1">
      <c r="A2524" t="inlineStr">
        <is>
          <t>A 32213-2024</t>
        </is>
      </c>
      <c r="B2524" s="1" t="n">
        <v>45511</v>
      </c>
      <c r="C2524" s="1" t="n">
        <v>45640</v>
      </c>
      <c r="D2524" t="inlineStr">
        <is>
          <t>VÄRMLANDS LÄN</t>
        </is>
      </c>
      <c r="E2524" t="inlineStr">
        <is>
          <t>TORSBY</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32314-2024</t>
        </is>
      </c>
      <c r="B2525" s="1" t="n">
        <v>45512</v>
      </c>
      <c r="C2525" s="1" t="n">
        <v>45640</v>
      </c>
      <c r="D2525" t="inlineStr">
        <is>
          <t>VÄRMLANDS LÄN</t>
        </is>
      </c>
      <c r="E2525" t="inlineStr">
        <is>
          <t>TORSBY</t>
        </is>
      </c>
      <c r="F2525" t="inlineStr">
        <is>
          <t>Bergvik skog väst AB</t>
        </is>
      </c>
      <c r="G2525" t="n">
        <v>35.1</v>
      </c>
      <c r="H2525" t="n">
        <v>0</v>
      </c>
      <c r="I2525" t="n">
        <v>0</v>
      </c>
      <c r="J2525" t="n">
        <v>0</v>
      </c>
      <c r="K2525" t="n">
        <v>0</v>
      </c>
      <c r="L2525" t="n">
        <v>0</v>
      </c>
      <c r="M2525" t="n">
        <v>0</v>
      </c>
      <c r="N2525" t="n">
        <v>0</v>
      </c>
      <c r="O2525" t="n">
        <v>0</v>
      </c>
      <c r="P2525" t="n">
        <v>0</v>
      </c>
      <c r="Q2525" t="n">
        <v>0</v>
      </c>
      <c r="R2525" s="2" t="inlineStr"/>
    </row>
    <row r="2526" ht="15" customHeight="1">
      <c r="A2526" t="inlineStr">
        <is>
          <t>A 32343-2024</t>
        </is>
      </c>
      <c r="B2526" s="1" t="n">
        <v>45512</v>
      </c>
      <c r="C2526" s="1" t="n">
        <v>45640</v>
      </c>
      <c r="D2526" t="inlineStr">
        <is>
          <t>VÄRMLANDS LÄN</t>
        </is>
      </c>
      <c r="E2526" t="inlineStr">
        <is>
          <t>TORSBY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32340-2024</t>
        </is>
      </c>
      <c r="B2527" s="1" t="n">
        <v>45512</v>
      </c>
      <c r="C2527" s="1" t="n">
        <v>45640</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32319-2024</t>
        </is>
      </c>
      <c r="B2528" s="1" t="n">
        <v>45512</v>
      </c>
      <c r="C2528" s="1" t="n">
        <v>45640</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32588-2024</t>
        </is>
      </c>
      <c r="B2529" s="1" t="n">
        <v>45513</v>
      </c>
      <c r="C2529" s="1" t="n">
        <v>45640</v>
      </c>
      <c r="D2529" t="inlineStr">
        <is>
          <t>VÄRMLANDS LÄN</t>
        </is>
      </c>
      <c r="E2529" t="inlineStr">
        <is>
          <t>TORSBY</t>
        </is>
      </c>
      <c r="F2529" t="inlineStr">
        <is>
          <t>Bergvik skog väst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32603-2024</t>
        </is>
      </c>
      <c r="B2530" s="1" t="n">
        <v>45513</v>
      </c>
      <c r="C2530" s="1" t="n">
        <v>45640</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32764-2024</t>
        </is>
      </c>
      <c r="B2531" s="1" t="n">
        <v>45515</v>
      </c>
      <c r="C2531" s="1" t="n">
        <v>45640</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32755-2024</t>
        </is>
      </c>
      <c r="B2532" s="1" t="n">
        <v>45515</v>
      </c>
      <c r="C2532" s="1" t="n">
        <v>45640</v>
      </c>
      <c r="D2532" t="inlineStr">
        <is>
          <t>VÄRMLANDS LÄN</t>
        </is>
      </c>
      <c r="E2532" t="inlineStr">
        <is>
          <t>TORSBY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32746-2024</t>
        </is>
      </c>
      <c r="B2533" s="1" t="n">
        <v>45515</v>
      </c>
      <c r="C2533" s="1" t="n">
        <v>45640</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32758-2024</t>
        </is>
      </c>
      <c r="B2534" s="1" t="n">
        <v>45515</v>
      </c>
      <c r="C2534" s="1" t="n">
        <v>45640</v>
      </c>
      <c r="D2534" t="inlineStr">
        <is>
          <t>VÄRMLANDS LÄN</t>
        </is>
      </c>
      <c r="E2534" t="inlineStr">
        <is>
          <t>TORSBY</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32845-2024</t>
        </is>
      </c>
      <c r="B2535" s="1" t="n">
        <v>45516</v>
      </c>
      <c r="C2535" s="1" t="n">
        <v>45640</v>
      </c>
      <c r="D2535" t="inlineStr">
        <is>
          <t>VÄRMLANDS LÄN</t>
        </is>
      </c>
      <c r="E2535" t="inlineStr">
        <is>
          <t>TORSBY</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32847-2024</t>
        </is>
      </c>
      <c r="B2536" s="1" t="n">
        <v>45516</v>
      </c>
      <c r="C2536" s="1" t="n">
        <v>45640</v>
      </c>
      <c r="D2536" t="inlineStr">
        <is>
          <t>VÄRMLANDS LÄN</t>
        </is>
      </c>
      <c r="E2536" t="inlineStr">
        <is>
          <t>TORSBY</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33088-2024</t>
        </is>
      </c>
      <c r="B2537" s="1" t="n">
        <v>45517</v>
      </c>
      <c r="C2537" s="1" t="n">
        <v>45640</v>
      </c>
      <c r="D2537" t="inlineStr">
        <is>
          <t>VÄRMLANDS LÄN</t>
        </is>
      </c>
      <c r="E2537" t="inlineStr">
        <is>
          <t>TORSBY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33078-2024</t>
        </is>
      </c>
      <c r="B2538" s="1" t="n">
        <v>45517</v>
      </c>
      <c r="C2538" s="1" t="n">
        <v>45640</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32973-2024</t>
        </is>
      </c>
      <c r="B2539" s="1" t="n">
        <v>45517</v>
      </c>
      <c r="C2539" s="1" t="n">
        <v>45640</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33085-2024</t>
        </is>
      </c>
      <c r="B2540" s="1" t="n">
        <v>45517</v>
      </c>
      <c r="C2540" s="1" t="n">
        <v>45640</v>
      </c>
      <c r="D2540" t="inlineStr">
        <is>
          <t>VÄRMLANDS LÄN</t>
        </is>
      </c>
      <c r="E2540" t="inlineStr">
        <is>
          <t>TORSBY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33073-2024</t>
        </is>
      </c>
      <c r="B2541" s="1" t="n">
        <v>45517</v>
      </c>
      <c r="C2541" s="1" t="n">
        <v>45640</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32988-2024</t>
        </is>
      </c>
      <c r="B2542" s="1" t="n">
        <v>45517</v>
      </c>
      <c r="C2542" s="1" t="n">
        <v>45640</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32932-2024</t>
        </is>
      </c>
      <c r="B2543" s="1" t="n">
        <v>45517</v>
      </c>
      <c r="C2543" s="1" t="n">
        <v>45640</v>
      </c>
      <c r="D2543" t="inlineStr">
        <is>
          <t>VÄRMLANDS LÄN</t>
        </is>
      </c>
      <c r="E2543" t="inlineStr">
        <is>
          <t>TORSBY</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32936-2024</t>
        </is>
      </c>
      <c r="B2544" s="1" t="n">
        <v>45517</v>
      </c>
      <c r="C2544" s="1" t="n">
        <v>45640</v>
      </c>
      <c r="D2544" t="inlineStr">
        <is>
          <t>VÄRMLANDS LÄN</t>
        </is>
      </c>
      <c r="E2544" t="inlineStr">
        <is>
          <t>TORSBY</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32939-2024</t>
        </is>
      </c>
      <c r="B2545" s="1" t="n">
        <v>45517</v>
      </c>
      <c r="C2545" s="1" t="n">
        <v>45640</v>
      </c>
      <c r="D2545" t="inlineStr">
        <is>
          <t>VÄRMLANDS LÄN</t>
        </is>
      </c>
      <c r="E2545" t="inlineStr">
        <is>
          <t>TORSBY</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33185-2024</t>
        </is>
      </c>
      <c r="B2546" s="1" t="n">
        <v>45518</v>
      </c>
      <c r="C2546" s="1" t="n">
        <v>45640</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33293-2024</t>
        </is>
      </c>
      <c r="B2547" s="1" t="n">
        <v>45518</v>
      </c>
      <c r="C2547" s="1" t="n">
        <v>45640</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33218-2024</t>
        </is>
      </c>
      <c r="B2548" s="1" t="n">
        <v>45518</v>
      </c>
      <c r="C2548" s="1" t="n">
        <v>45640</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33232-2024</t>
        </is>
      </c>
      <c r="B2549" s="1" t="n">
        <v>45518</v>
      </c>
      <c r="C2549" s="1" t="n">
        <v>45640</v>
      </c>
      <c r="D2549" t="inlineStr">
        <is>
          <t>VÄRMLANDS LÄN</t>
        </is>
      </c>
      <c r="E2549" t="inlineStr">
        <is>
          <t>TORSBY</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33133-2024</t>
        </is>
      </c>
      <c r="B2550" s="1" t="n">
        <v>45518</v>
      </c>
      <c r="C2550" s="1" t="n">
        <v>45640</v>
      </c>
      <c r="D2550" t="inlineStr">
        <is>
          <t>VÄRMLANDS LÄN</t>
        </is>
      </c>
      <c r="E2550" t="inlineStr">
        <is>
          <t>TORSBY</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33227-2024</t>
        </is>
      </c>
      <c r="B2551" s="1" t="n">
        <v>45518</v>
      </c>
      <c r="C2551" s="1" t="n">
        <v>45640</v>
      </c>
      <c r="D2551" t="inlineStr">
        <is>
          <t>VÄRMLANDS LÄN</t>
        </is>
      </c>
      <c r="E2551" t="inlineStr">
        <is>
          <t>TORSBY</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33220-2024</t>
        </is>
      </c>
      <c r="B2552" s="1" t="n">
        <v>45518</v>
      </c>
      <c r="C2552" s="1" t="n">
        <v>45640</v>
      </c>
      <c r="D2552" t="inlineStr">
        <is>
          <t>VÄRMLANDS LÄN</t>
        </is>
      </c>
      <c r="E2552" t="inlineStr">
        <is>
          <t>TORSBY</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33172-2024</t>
        </is>
      </c>
      <c r="B2553" s="1" t="n">
        <v>45518</v>
      </c>
      <c r="C2553" s="1" t="n">
        <v>45640</v>
      </c>
      <c r="D2553" t="inlineStr">
        <is>
          <t>VÄRMLANDS LÄN</t>
        </is>
      </c>
      <c r="E2553" t="inlineStr">
        <is>
          <t>TORSBY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33151-2024</t>
        </is>
      </c>
      <c r="B2554" s="1" t="n">
        <v>45518</v>
      </c>
      <c r="C2554" s="1" t="n">
        <v>45640</v>
      </c>
      <c r="D2554" t="inlineStr">
        <is>
          <t>VÄRMLANDS LÄN</t>
        </is>
      </c>
      <c r="E2554" t="inlineStr">
        <is>
          <t>TORSBY</t>
        </is>
      </c>
      <c r="F2554" t="inlineStr">
        <is>
          <t>Bergvik skog väst AB</t>
        </is>
      </c>
      <c r="G2554" t="n">
        <v>28.2</v>
      </c>
      <c r="H2554" t="n">
        <v>0</v>
      </c>
      <c r="I2554" t="n">
        <v>0</v>
      </c>
      <c r="J2554" t="n">
        <v>0</v>
      </c>
      <c r="K2554" t="n">
        <v>0</v>
      </c>
      <c r="L2554" t="n">
        <v>0</v>
      </c>
      <c r="M2554" t="n">
        <v>0</v>
      </c>
      <c r="N2554" t="n">
        <v>0</v>
      </c>
      <c r="O2554" t="n">
        <v>0</v>
      </c>
      <c r="P2554" t="n">
        <v>0</v>
      </c>
      <c r="Q2554" t="n">
        <v>0</v>
      </c>
      <c r="R2554" s="2" t="inlineStr"/>
    </row>
    <row r="2555" ht="15" customHeight="1">
      <c r="A2555" t="inlineStr">
        <is>
          <t>A 33338-2024</t>
        </is>
      </c>
      <c r="B2555" s="1" t="n">
        <v>45519</v>
      </c>
      <c r="C2555" s="1" t="n">
        <v>45640</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33370-2024</t>
        </is>
      </c>
      <c r="B2556" s="1" t="n">
        <v>45519</v>
      </c>
      <c r="C2556" s="1" t="n">
        <v>45640</v>
      </c>
      <c r="D2556" t="inlineStr">
        <is>
          <t>VÄRMLANDS LÄN</t>
        </is>
      </c>
      <c r="E2556" t="inlineStr">
        <is>
          <t>TORSBY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33337-2024</t>
        </is>
      </c>
      <c r="B2557" s="1" t="n">
        <v>45519</v>
      </c>
      <c r="C2557" s="1" t="n">
        <v>45640</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33341-2024</t>
        </is>
      </c>
      <c r="B2558" s="1" t="n">
        <v>45519</v>
      </c>
      <c r="C2558" s="1" t="n">
        <v>45640</v>
      </c>
      <c r="D2558" t="inlineStr">
        <is>
          <t>VÄRMLANDS LÄN</t>
        </is>
      </c>
      <c r="E2558" t="inlineStr">
        <is>
          <t>TORSBY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33425-2024</t>
        </is>
      </c>
      <c r="B2559" s="1" t="n">
        <v>45519</v>
      </c>
      <c r="C2559" s="1" t="n">
        <v>45640</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33429-2024</t>
        </is>
      </c>
      <c r="B2560" s="1" t="n">
        <v>45519</v>
      </c>
      <c r="C2560" s="1" t="n">
        <v>45640</v>
      </c>
      <c r="D2560" t="inlineStr">
        <is>
          <t>VÄRMLANDS LÄN</t>
        </is>
      </c>
      <c r="E2560" t="inlineStr">
        <is>
          <t>TORSBY</t>
        </is>
      </c>
      <c r="F2560" t="inlineStr">
        <is>
          <t>Bergvik skog väst AB</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33469-2024</t>
        </is>
      </c>
      <c r="B2561" s="1" t="n">
        <v>45519</v>
      </c>
      <c r="C2561" s="1" t="n">
        <v>45640</v>
      </c>
      <c r="D2561" t="inlineStr">
        <is>
          <t>VÄRMLANDS LÄN</t>
        </is>
      </c>
      <c r="E2561" t="inlineStr">
        <is>
          <t>TORSBY</t>
        </is>
      </c>
      <c r="F2561" t="inlineStr">
        <is>
          <t>Bergvik skog väst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33546-2024</t>
        </is>
      </c>
      <c r="B2562" s="1" t="n">
        <v>45519</v>
      </c>
      <c r="C2562" s="1" t="n">
        <v>45640</v>
      </c>
      <c r="D2562" t="inlineStr">
        <is>
          <t>VÄRMLANDS LÄN</t>
        </is>
      </c>
      <c r="E2562" t="inlineStr">
        <is>
          <t>TORSBY</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33418-2024</t>
        </is>
      </c>
      <c r="B2563" s="1" t="n">
        <v>45519</v>
      </c>
      <c r="C2563" s="1" t="n">
        <v>45640</v>
      </c>
      <c r="D2563" t="inlineStr">
        <is>
          <t>VÄRMLANDS LÄN</t>
        </is>
      </c>
      <c r="E2563" t="inlineStr">
        <is>
          <t>TORSBY</t>
        </is>
      </c>
      <c r="F2563" t="inlineStr">
        <is>
          <t>Bergvik skog väst AB</t>
        </is>
      </c>
      <c r="G2563" t="n">
        <v>27.6</v>
      </c>
      <c r="H2563" t="n">
        <v>0</v>
      </c>
      <c r="I2563" t="n">
        <v>0</v>
      </c>
      <c r="J2563" t="n">
        <v>0</v>
      </c>
      <c r="K2563" t="n">
        <v>0</v>
      </c>
      <c r="L2563" t="n">
        <v>0</v>
      </c>
      <c r="M2563" t="n">
        <v>0</v>
      </c>
      <c r="N2563" t="n">
        <v>0</v>
      </c>
      <c r="O2563" t="n">
        <v>0</v>
      </c>
      <c r="P2563" t="n">
        <v>0</v>
      </c>
      <c r="Q2563" t="n">
        <v>0</v>
      </c>
      <c r="R2563" s="2" t="inlineStr"/>
    </row>
    <row r="2564" ht="15" customHeight="1">
      <c r="A2564" t="inlineStr">
        <is>
          <t>A 33511-2024</t>
        </is>
      </c>
      <c r="B2564" s="1" t="n">
        <v>45519</v>
      </c>
      <c r="C2564" s="1" t="n">
        <v>45640</v>
      </c>
      <c r="D2564" t="inlineStr">
        <is>
          <t>VÄRMLANDS LÄN</t>
        </is>
      </c>
      <c r="E2564" t="inlineStr">
        <is>
          <t>TORSBY</t>
        </is>
      </c>
      <c r="F2564" t="inlineStr">
        <is>
          <t>Bergvik skog väst AB</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33547-2024</t>
        </is>
      </c>
      <c r="B2565" s="1" t="n">
        <v>45519</v>
      </c>
      <c r="C2565" s="1" t="n">
        <v>45640</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33495-2024</t>
        </is>
      </c>
      <c r="B2566" s="1" t="n">
        <v>45519</v>
      </c>
      <c r="C2566" s="1" t="n">
        <v>45640</v>
      </c>
      <c r="D2566" t="inlineStr">
        <is>
          <t>VÄRMLANDS LÄN</t>
        </is>
      </c>
      <c r="E2566" t="inlineStr">
        <is>
          <t>TORSBY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33499-2024</t>
        </is>
      </c>
      <c r="B2567" s="1" t="n">
        <v>45519</v>
      </c>
      <c r="C2567" s="1" t="n">
        <v>45640</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33548-2024</t>
        </is>
      </c>
      <c r="B2568" s="1" t="n">
        <v>45519</v>
      </c>
      <c r="C2568" s="1" t="n">
        <v>45640</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33367-2024</t>
        </is>
      </c>
      <c r="B2569" s="1" t="n">
        <v>45519</v>
      </c>
      <c r="C2569" s="1" t="n">
        <v>45640</v>
      </c>
      <c r="D2569" t="inlineStr">
        <is>
          <t>VÄRMLANDS LÄN</t>
        </is>
      </c>
      <c r="E2569" t="inlineStr">
        <is>
          <t>TORSBY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33371-2024</t>
        </is>
      </c>
      <c r="B2570" s="1" t="n">
        <v>45519</v>
      </c>
      <c r="C2570" s="1" t="n">
        <v>45640</v>
      </c>
      <c r="D2570" t="inlineStr">
        <is>
          <t>VÄRMLANDS LÄN</t>
        </is>
      </c>
      <c r="E2570" t="inlineStr">
        <is>
          <t>TORSBY</t>
        </is>
      </c>
      <c r="F2570" t="inlineStr">
        <is>
          <t>Bergvik skog väst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33521-2024</t>
        </is>
      </c>
      <c r="B2571" s="1" t="n">
        <v>45519</v>
      </c>
      <c r="C2571" s="1" t="n">
        <v>45640</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33620-2024</t>
        </is>
      </c>
      <c r="B2572" s="1" t="n">
        <v>45520</v>
      </c>
      <c r="C2572" s="1" t="n">
        <v>45640</v>
      </c>
      <c r="D2572" t="inlineStr">
        <is>
          <t>VÄRMLANDS LÄN</t>
        </is>
      </c>
      <c r="E2572" t="inlineStr">
        <is>
          <t>TORSBY</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33649-2024</t>
        </is>
      </c>
      <c r="B2573" s="1" t="n">
        <v>45520</v>
      </c>
      <c r="C2573" s="1" t="n">
        <v>45640</v>
      </c>
      <c r="D2573" t="inlineStr">
        <is>
          <t>VÄRMLANDS LÄN</t>
        </is>
      </c>
      <c r="E2573" t="inlineStr">
        <is>
          <t>TORSBY</t>
        </is>
      </c>
      <c r="F2573" t="inlineStr">
        <is>
          <t>Bergvik skog väst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33769-2024</t>
        </is>
      </c>
      <c r="B2574" s="1" t="n">
        <v>45520</v>
      </c>
      <c r="C2574" s="1" t="n">
        <v>45640</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33862-2024</t>
        </is>
      </c>
      <c r="B2575" s="1" t="n">
        <v>45520</v>
      </c>
      <c r="C2575" s="1" t="n">
        <v>45640</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33791-2024</t>
        </is>
      </c>
      <c r="B2576" s="1" t="n">
        <v>45520</v>
      </c>
      <c r="C2576" s="1" t="n">
        <v>45640</v>
      </c>
      <c r="D2576" t="inlineStr">
        <is>
          <t>VÄRMLANDS LÄN</t>
        </is>
      </c>
      <c r="E2576" t="inlineStr">
        <is>
          <t>TORSBY</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33964-2024</t>
        </is>
      </c>
      <c r="B2577" s="1" t="n">
        <v>45523</v>
      </c>
      <c r="C2577" s="1" t="n">
        <v>45640</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34034-2024</t>
        </is>
      </c>
      <c r="B2578" s="1" t="n">
        <v>45523</v>
      </c>
      <c r="C2578" s="1" t="n">
        <v>45640</v>
      </c>
      <c r="D2578" t="inlineStr">
        <is>
          <t>VÄRMLANDS LÄN</t>
        </is>
      </c>
      <c r="E2578" t="inlineStr">
        <is>
          <t>TORSBY</t>
        </is>
      </c>
      <c r="F2578" t="inlineStr">
        <is>
          <t>Bergvik skog väst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34031-2024</t>
        </is>
      </c>
      <c r="B2579" s="1" t="n">
        <v>45523</v>
      </c>
      <c r="C2579" s="1" t="n">
        <v>45640</v>
      </c>
      <c r="D2579" t="inlineStr">
        <is>
          <t>VÄRMLANDS LÄN</t>
        </is>
      </c>
      <c r="E2579" t="inlineStr">
        <is>
          <t>TORSBY</t>
        </is>
      </c>
      <c r="F2579" t="inlineStr">
        <is>
          <t>Bergvik skog väst AB</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34081-2024</t>
        </is>
      </c>
      <c r="B2580" s="1" t="n">
        <v>45523</v>
      </c>
      <c r="C2580" s="1" t="n">
        <v>45640</v>
      </c>
      <c r="D2580" t="inlineStr">
        <is>
          <t>VÄRMLANDS LÄN</t>
        </is>
      </c>
      <c r="E2580" t="inlineStr">
        <is>
          <t>TORSBY</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34093-2024</t>
        </is>
      </c>
      <c r="B2581" s="1" t="n">
        <v>45523</v>
      </c>
      <c r="C2581" s="1" t="n">
        <v>45640</v>
      </c>
      <c r="D2581" t="inlineStr">
        <is>
          <t>VÄRMLANDS LÄN</t>
        </is>
      </c>
      <c r="E2581" t="inlineStr">
        <is>
          <t>TORSBY</t>
        </is>
      </c>
      <c r="F2581" t="inlineStr">
        <is>
          <t>Bergvik skog väst AB</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34207-2024</t>
        </is>
      </c>
      <c r="B2582" s="1" t="n">
        <v>45524</v>
      </c>
      <c r="C2582" s="1" t="n">
        <v>45640</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34219-2024</t>
        </is>
      </c>
      <c r="B2583" s="1" t="n">
        <v>45524</v>
      </c>
      <c r="C2583" s="1" t="n">
        <v>45640</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34164-2024</t>
        </is>
      </c>
      <c r="B2584" s="1" t="n">
        <v>45524</v>
      </c>
      <c r="C2584" s="1" t="n">
        <v>45640</v>
      </c>
      <c r="D2584" t="inlineStr">
        <is>
          <t>VÄRMLANDS LÄN</t>
        </is>
      </c>
      <c r="E2584" t="inlineStr">
        <is>
          <t>TORSBY</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34226-2024</t>
        </is>
      </c>
      <c r="B2585" s="1" t="n">
        <v>45524</v>
      </c>
      <c r="C2585" s="1" t="n">
        <v>45640</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34206-2024</t>
        </is>
      </c>
      <c r="B2586" s="1" t="n">
        <v>45524</v>
      </c>
      <c r="C2586" s="1" t="n">
        <v>45640</v>
      </c>
      <c r="D2586" t="inlineStr">
        <is>
          <t>VÄRMLANDS LÄN</t>
        </is>
      </c>
      <c r="E2586" t="inlineStr">
        <is>
          <t>TORSBY</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34236-2024</t>
        </is>
      </c>
      <c r="B2587" s="1" t="n">
        <v>45524</v>
      </c>
      <c r="C2587" s="1" t="n">
        <v>45640</v>
      </c>
      <c r="D2587" t="inlineStr">
        <is>
          <t>VÄRMLANDS LÄN</t>
        </is>
      </c>
      <c r="E2587" t="inlineStr">
        <is>
          <t>TORSBY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34256-2024</t>
        </is>
      </c>
      <c r="B2588" s="1" t="n">
        <v>45524</v>
      </c>
      <c r="C2588" s="1" t="n">
        <v>45640</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34281-2024</t>
        </is>
      </c>
      <c r="B2589" s="1" t="n">
        <v>45524</v>
      </c>
      <c r="C2589" s="1" t="n">
        <v>45640</v>
      </c>
      <c r="D2589" t="inlineStr">
        <is>
          <t>VÄRMLANDS LÄN</t>
        </is>
      </c>
      <c r="E2589" t="inlineStr">
        <is>
          <t>TORSBY</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34304-2024</t>
        </is>
      </c>
      <c r="B2590" s="1" t="n">
        <v>45524</v>
      </c>
      <c r="C2590" s="1" t="n">
        <v>45640</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34500-2024</t>
        </is>
      </c>
      <c r="B2591" s="1" t="n">
        <v>45525</v>
      </c>
      <c r="C2591" s="1" t="n">
        <v>45640</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34534-2024</t>
        </is>
      </c>
      <c r="B2592" s="1" t="n">
        <v>45525</v>
      </c>
      <c r="C2592" s="1" t="n">
        <v>45640</v>
      </c>
      <c r="D2592" t="inlineStr">
        <is>
          <t>VÄRMLANDS LÄN</t>
        </is>
      </c>
      <c r="E2592" t="inlineStr">
        <is>
          <t>TORSBY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34528-2024</t>
        </is>
      </c>
      <c r="B2593" s="1" t="n">
        <v>45525</v>
      </c>
      <c r="C2593" s="1" t="n">
        <v>45640</v>
      </c>
      <c r="D2593" t="inlineStr">
        <is>
          <t>VÄRMLANDS LÄN</t>
        </is>
      </c>
      <c r="E2593" t="inlineStr">
        <is>
          <t>TORSBY</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34554-2024</t>
        </is>
      </c>
      <c r="B2594" s="1" t="n">
        <v>45525</v>
      </c>
      <c r="C2594" s="1" t="n">
        <v>45640</v>
      </c>
      <c r="D2594" t="inlineStr">
        <is>
          <t>VÄRMLANDS LÄN</t>
        </is>
      </c>
      <c r="E2594" t="inlineStr">
        <is>
          <t>TORSBY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34472-2024</t>
        </is>
      </c>
      <c r="B2595" s="1" t="n">
        <v>45525</v>
      </c>
      <c r="C2595" s="1" t="n">
        <v>45640</v>
      </c>
      <c r="D2595" t="inlineStr">
        <is>
          <t>VÄRMLANDS LÄN</t>
        </is>
      </c>
      <c r="E2595" t="inlineStr">
        <is>
          <t>TORSBY</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34549-2024</t>
        </is>
      </c>
      <c r="B2596" s="1" t="n">
        <v>45525</v>
      </c>
      <c r="C2596" s="1" t="n">
        <v>45640</v>
      </c>
      <c r="D2596" t="inlineStr">
        <is>
          <t>VÄRMLANDS LÄN</t>
        </is>
      </c>
      <c r="E2596" t="inlineStr">
        <is>
          <t>TORSBY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34551-2024</t>
        </is>
      </c>
      <c r="B2597" s="1" t="n">
        <v>45525</v>
      </c>
      <c r="C2597" s="1" t="n">
        <v>45640</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34680-2024</t>
        </is>
      </c>
      <c r="B2598" s="1" t="n">
        <v>45526</v>
      </c>
      <c r="C2598" s="1" t="n">
        <v>45640</v>
      </c>
      <c r="D2598" t="inlineStr">
        <is>
          <t>VÄRMLANDS LÄN</t>
        </is>
      </c>
      <c r="E2598" t="inlineStr">
        <is>
          <t>TORSBY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34568-2024</t>
        </is>
      </c>
      <c r="B2599" s="1" t="n">
        <v>45526</v>
      </c>
      <c r="C2599" s="1" t="n">
        <v>45640</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34573-2024</t>
        </is>
      </c>
      <c r="B2600" s="1" t="n">
        <v>45526</v>
      </c>
      <c r="C2600" s="1" t="n">
        <v>45640</v>
      </c>
      <c r="D2600" t="inlineStr">
        <is>
          <t>VÄRMLANDS LÄN</t>
        </is>
      </c>
      <c r="E2600" t="inlineStr">
        <is>
          <t>TORSBY</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34697-2024</t>
        </is>
      </c>
      <c r="B2601" s="1" t="n">
        <v>45526</v>
      </c>
      <c r="C2601" s="1" t="n">
        <v>45640</v>
      </c>
      <c r="D2601" t="inlineStr">
        <is>
          <t>VÄRMLANDS LÄN</t>
        </is>
      </c>
      <c r="E2601" t="inlineStr">
        <is>
          <t>TORSBY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34717-2024</t>
        </is>
      </c>
      <c r="B2602" s="1" t="n">
        <v>45526</v>
      </c>
      <c r="C2602" s="1" t="n">
        <v>45640</v>
      </c>
      <c r="D2602" t="inlineStr">
        <is>
          <t>VÄRMLANDS LÄN</t>
        </is>
      </c>
      <c r="E2602" t="inlineStr">
        <is>
          <t>TORSBY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34824-2024</t>
        </is>
      </c>
      <c r="B2603" s="1" t="n">
        <v>45526</v>
      </c>
      <c r="C2603" s="1" t="n">
        <v>45640</v>
      </c>
      <c r="D2603" t="inlineStr">
        <is>
          <t>VÄRMLANDS LÄN</t>
        </is>
      </c>
      <c r="E2603" t="inlineStr">
        <is>
          <t>TORSBY</t>
        </is>
      </c>
      <c r="F2603" t="inlineStr">
        <is>
          <t>Bergvik skog väst AB</t>
        </is>
      </c>
      <c r="G2603" t="n">
        <v>27.5</v>
      </c>
      <c r="H2603" t="n">
        <v>0</v>
      </c>
      <c r="I2603" t="n">
        <v>0</v>
      </c>
      <c r="J2603" t="n">
        <v>0</v>
      </c>
      <c r="K2603" t="n">
        <v>0</v>
      </c>
      <c r="L2603" t="n">
        <v>0</v>
      </c>
      <c r="M2603" t="n">
        <v>0</v>
      </c>
      <c r="N2603" t="n">
        <v>0</v>
      </c>
      <c r="O2603" t="n">
        <v>0</v>
      </c>
      <c r="P2603" t="n">
        <v>0</v>
      </c>
      <c r="Q2603" t="n">
        <v>0</v>
      </c>
      <c r="R2603" s="2" t="inlineStr"/>
    </row>
    <row r="2604" ht="15" customHeight="1">
      <c r="A2604" t="inlineStr">
        <is>
          <t>A 34686-2024</t>
        </is>
      </c>
      <c r="B2604" s="1" t="n">
        <v>45526</v>
      </c>
      <c r="C2604" s="1" t="n">
        <v>45640</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35019-2024</t>
        </is>
      </c>
      <c r="B2605" s="1" t="n">
        <v>45527</v>
      </c>
      <c r="C2605" s="1" t="n">
        <v>45640</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35075-2024</t>
        </is>
      </c>
      <c r="B2606" s="1" t="n">
        <v>45527</v>
      </c>
      <c r="C2606" s="1" t="n">
        <v>45640</v>
      </c>
      <c r="D2606" t="inlineStr">
        <is>
          <t>VÄRMLANDS LÄN</t>
        </is>
      </c>
      <c r="E2606" t="inlineStr">
        <is>
          <t>TORSBY</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34970-2024</t>
        </is>
      </c>
      <c r="B2607" s="1" t="n">
        <v>45527</v>
      </c>
      <c r="C2607" s="1" t="n">
        <v>45640</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34966-2024</t>
        </is>
      </c>
      <c r="B2608" s="1" t="n">
        <v>45527</v>
      </c>
      <c r="C2608" s="1" t="n">
        <v>45640</v>
      </c>
      <c r="D2608" t="inlineStr">
        <is>
          <t>VÄRMLANDS LÄN</t>
        </is>
      </c>
      <c r="E2608" t="inlineStr">
        <is>
          <t>TORSBY</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34958-2024</t>
        </is>
      </c>
      <c r="B2609" s="1" t="n">
        <v>45527</v>
      </c>
      <c r="C2609" s="1" t="n">
        <v>45640</v>
      </c>
      <c r="D2609" t="inlineStr">
        <is>
          <t>VÄRMLANDS LÄN</t>
        </is>
      </c>
      <c r="E2609" t="inlineStr">
        <is>
          <t>TORSBY</t>
        </is>
      </c>
      <c r="F2609" t="inlineStr">
        <is>
          <t>Bergvik skog väst AB</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34946-2024</t>
        </is>
      </c>
      <c r="B2610" s="1" t="n">
        <v>45527</v>
      </c>
      <c r="C2610" s="1" t="n">
        <v>45640</v>
      </c>
      <c r="D2610" t="inlineStr">
        <is>
          <t>VÄRMLANDS LÄN</t>
        </is>
      </c>
      <c r="E2610" t="inlineStr">
        <is>
          <t>TORSBY</t>
        </is>
      </c>
      <c r="F2610" t="inlineStr">
        <is>
          <t>Bergvik skog väst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34906-2024</t>
        </is>
      </c>
      <c r="B2611" s="1" t="n">
        <v>45527</v>
      </c>
      <c r="C2611" s="1" t="n">
        <v>45640</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35066-2024</t>
        </is>
      </c>
      <c r="B2612" s="1" t="n">
        <v>45527</v>
      </c>
      <c r="C2612" s="1" t="n">
        <v>45640</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34961-2024</t>
        </is>
      </c>
      <c r="B2613" s="1" t="n">
        <v>45527</v>
      </c>
      <c r="C2613" s="1" t="n">
        <v>45640</v>
      </c>
      <c r="D2613" t="inlineStr">
        <is>
          <t>VÄRMLANDS LÄN</t>
        </is>
      </c>
      <c r="E2613" t="inlineStr">
        <is>
          <t>TORSBY</t>
        </is>
      </c>
      <c r="F2613" t="inlineStr">
        <is>
          <t>Bergvik skog väst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34921-2024</t>
        </is>
      </c>
      <c r="B2614" s="1" t="n">
        <v>45527</v>
      </c>
      <c r="C2614" s="1" t="n">
        <v>45640</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34968-2024</t>
        </is>
      </c>
      <c r="B2615" s="1" t="n">
        <v>45527</v>
      </c>
      <c r="C2615" s="1" t="n">
        <v>45640</v>
      </c>
      <c r="D2615" t="inlineStr">
        <is>
          <t>VÄRMLANDS LÄN</t>
        </is>
      </c>
      <c r="E2615" t="inlineStr">
        <is>
          <t>TORSBY</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34939-2024</t>
        </is>
      </c>
      <c r="B2616" s="1" t="n">
        <v>45527</v>
      </c>
      <c r="C2616" s="1" t="n">
        <v>45640</v>
      </c>
      <c r="D2616" t="inlineStr">
        <is>
          <t>VÄRMLANDS LÄN</t>
        </is>
      </c>
      <c r="E2616" t="inlineStr">
        <is>
          <t>TORSBY</t>
        </is>
      </c>
      <c r="F2616" t="inlineStr">
        <is>
          <t>Bergvik skog väst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35107-2024</t>
        </is>
      </c>
      <c r="B2617" s="1" t="n">
        <v>45529</v>
      </c>
      <c r="C2617" s="1" t="n">
        <v>45640</v>
      </c>
      <c r="D2617" t="inlineStr">
        <is>
          <t>VÄRMLANDS LÄN</t>
        </is>
      </c>
      <c r="E2617" t="inlineStr">
        <is>
          <t>TORSBY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35524-2024</t>
        </is>
      </c>
      <c r="B2618" s="1" t="n">
        <v>45531</v>
      </c>
      <c r="C2618" s="1" t="n">
        <v>45640</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35493-2024</t>
        </is>
      </c>
      <c r="B2619" s="1" t="n">
        <v>45531</v>
      </c>
      <c r="C2619" s="1" t="n">
        <v>45640</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35497-2024</t>
        </is>
      </c>
      <c r="B2620" s="1" t="n">
        <v>45531</v>
      </c>
      <c r="C2620" s="1" t="n">
        <v>45640</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35609-2024</t>
        </is>
      </c>
      <c r="B2621" s="1" t="n">
        <v>45531</v>
      </c>
      <c r="C2621" s="1" t="n">
        <v>45640</v>
      </c>
      <c r="D2621" t="inlineStr">
        <is>
          <t>VÄRMLANDS LÄN</t>
        </is>
      </c>
      <c r="E2621" t="inlineStr">
        <is>
          <t>TORSBY</t>
        </is>
      </c>
      <c r="G2621" t="n">
        <v>38.3</v>
      </c>
      <c r="H2621" t="n">
        <v>0</v>
      </c>
      <c r="I2621" t="n">
        <v>0</v>
      </c>
      <c r="J2621" t="n">
        <v>0</v>
      </c>
      <c r="K2621" t="n">
        <v>0</v>
      </c>
      <c r="L2621" t="n">
        <v>0</v>
      </c>
      <c r="M2621" t="n">
        <v>0</v>
      </c>
      <c r="N2621" t="n">
        <v>0</v>
      </c>
      <c r="O2621" t="n">
        <v>0</v>
      </c>
      <c r="P2621" t="n">
        <v>0</v>
      </c>
      <c r="Q2621" t="n">
        <v>0</v>
      </c>
      <c r="R2621" s="2" t="inlineStr"/>
    </row>
    <row r="2622" ht="15" customHeight="1">
      <c r="A2622" t="inlineStr">
        <is>
          <t>A 35632-2024</t>
        </is>
      </c>
      <c r="B2622" s="1" t="n">
        <v>45531</v>
      </c>
      <c r="C2622" s="1" t="n">
        <v>45640</v>
      </c>
      <c r="D2622" t="inlineStr">
        <is>
          <t>VÄRMLANDS LÄN</t>
        </is>
      </c>
      <c r="E2622" t="inlineStr">
        <is>
          <t>TORSBY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35762-2024</t>
        </is>
      </c>
      <c r="B2623" s="1" t="n">
        <v>45532</v>
      </c>
      <c r="C2623" s="1" t="n">
        <v>45640</v>
      </c>
      <c r="D2623" t="inlineStr">
        <is>
          <t>VÄRMLANDS LÄN</t>
        </is>
      </c>
      <c r="E2623" t="inlineStr">
        <is>
          <t>TORSBY</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35774-2024</t>
        </is>
      </c>
      <c r="B2624" s="1" t="n">
        <v>45532</v>
      </c>
      <c r="C2624" s="1" t="n">
        <v>45640</v>
      </c>
      <c r="D2624" t="inlineStr">
        <is>
          <t>VÄRMLANDS LÄN</t>
        </is>
      </c>
      <c r="E2624" t="inlineStr">
        <is>
          <t>TORSBY</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35787-2024</t>
        </is>
      </c>
      <c r="B2625" s="1" t="n">
        <v>45532</v>
      </c>
      <c r="C2625" s="1" t="n">
        <v>45640</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35769-2024</t>
        </is>
      </c>
      <c r="B2626" s="1" t="n">
        <v>45532</v>
      </c>
      <c r="C2626" s="1" t="n">
        <v>45640</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35777-2024</t>
        </is>
      </c>
      <c r="B2627" s="1" t="n">
        <v>45532</v>
      </c>
      <c r="C2627" s="1" t="n">
        <v>45640</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35967-2024</t>
        </is>
      </c>
      <c r="B2628" s="1" t="n">
        <v>45533</v>
      </c>
      <c r="C2628" s="1" t="n">
        <v>45640</v>
      </c>
      <c r="D2628" t="inlineStr">
        <is>
          <t>VÄRMLANDS LÄN</t>
        </is>
      </c>
      <c r="E2628" t="inlineStr">
        <is>
          <t>TORSBY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36057-2024</t>
        </is>
      </c>
      <c r="B2629" s="1" t="n">
        <v>45533</v>
      </c>
      <c r="C2629" s="1" t="n">
        <v>45640</v>
      </c>
      <c r="D2629" t="inlineStr">
        <is>
          <t>VÄRMLANDS LÄN</t>
        </is>
      </c>
      <c r="E2629" t="inlineStr">
        <is>
          <t>TORSBY</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36153-2024</t>
        </is>
      </c>
      <c r="B2630" s="1" t="n">
        <v>45534</v>
      </c>
      <c r="C2630" s="1" t="n">
        <v>45640</v>
      </c>
      <c r="D2630" t="inlineStr">
        <is>
          <t>VÄRMLANDS LÄN</t>
        </is>
      </c>
      <c r="E2630" t="inlineStr">
        <is>
          <t>TORSBY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36175-2024</t>
        </is>
      </c>
      <c r="B2631" s="1" t="n">
        <v>45534</v>
      </c>
      <c r="C2631" s="1" t="n">
        <v>45640</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36184-2024</t>
        </is>
      </c>
      <c r="B2632" s="1" t="n">
        <v>45534</v>
      </c>
      <c r="C2632" s="1" t="n">
        <v>45640</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36419-2024</t>
        </is>
      </c>
      <c r="B2633" s="1" t="n">
        <v>45536</v>
      </c>
      <c r="C2633" s="1" t="n">
        <v>45640</v>
      </c>
      <c r="D2633" t="inlineStr">
        <is>
          <t>VÄRMLANDS LÄN</t>
        </is>
      </c>
      <c r="E2633" t="inlineStr">
        <is>
          <t>TORSBY</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36558-2024</t>
        </is>
      </c>
      <c r="B2634" s="1" t="n">
        <v>45537</v>
      </c>
      <c r="C2634" s="1" t="n">
        <v>45640</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36578-2024</t>
        </is>
      </c>
      <c r="B2635" s="1" t="n">
        <v>45537</v>
      </c>
      <c r="C2635" s="1" t="n">
        <v>45640</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36540-2024</t>
        </is>
      </c>
      <c r="B2636" s="1" t="n">
        <v>45537</v>
      </c>
      <c r="C2636" s="1" t="n">
        <v>45640</v>
      </c>
      <c r="D2636" t="inlineStr">
        <is>
          <t>VÄRMLANDS LÄN</t>
        </is>
      </c>
      <c r="E2636" t="inlineStr">
        <is>
          <t>TORSBY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36445-2024</t>
        </is>
      </c>
      <c r="B2637" s="1" t="n">
        <v>45537</v>
      </c>
      <c r="C2637" s="1" t="n">
        <v>45640</v>
      </c>
      <c r="D2637" t="inlineStr">
        <is>
          <t>VÄRMLANDS LÄN</t>
        </is>
      </c>
      <c r="E2637" t="inlineStr">
        <is>
          <t>TORSBY</t>
        </is>
      </c>
      <c r="F2637" t="inlineStr">
        <is>
          <t>Bergvik skog väst AB</t>
        </is>
      </c>
      <c r="G2637" t="n">
        <v>78.3</v>
      </c>
      <c r="H2637" t="n">
        <v>0</v>
      </c>
      <c r="I2637" t="n">
        <v>0</v>
      </c>
      <c r="J2637" t="n">
        <v>0</v>
      </c>
      <c r="K2637" t="n">
        <v>0</v>
      </c>
      <c r="L2637" t="n">
        <v>0</v>
      </c>
      <c r="M2637" t="n">
        <v>0</v>
      </c>
      <c r="N2637" t="n">
        <v>0</v>
      </c>
      <c r="O2637" t="n">
        <v>0</v>
      </c>
      <c r="P2637" t="n">
        <v>0</v>
      </c>
      <c r="Q2637" t="n">
        <v>0</v>
      </c>
      <c r="R2637" s="2" t="inlineStr"/>
    </row>
    <row r="2638" ht="15" customHeight="1">
      <c r="A2638" t="inlineStr">
        <is>
          <t>A 36718-2024</t>
        </is>
      </c>
      <c r="B2638" s="1" t="n">
        <v>45537</v>
      </c>
      <c r="C2638" s="1" t="n">
        <v>45640</v>
      </c>
      <c r="D2638" t="inlineStr">
        <is>
          <t>VÄRMLANDS LÄN</t>
        </is>
      </c>
      <c r="E2638" t="inlineStr">
        <is>
          <t>TORSBY</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36765-2024</t>
        </is>
      </c>
      <c r="B2639" s="1" t="n">
        <v>45538</v>
      </c>
      <c r="C2639" s="1" t="n">
        <v>45640</v>
      </c>
      <c r="D2639" t="inlineStr">
        <is>
          <t>VÄRMLANDS LÄN</t>
        </is>
      </c>
      <c r="E2639" t="inlineStr">
        <is>
          <t>TORSBY</t>
        </is>
      </c>
      <c r="F2639" t="inlineStr">
        <is>
          <t>Bergvik skog väst AB</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36758-2024</t>
        </is>
      </c>
      <c r="B2640" s="1" t="n">
        <v>45538</v>
      </c>
      <c r="C2640" s="1" t="n">
        <v>45640</v>
      </c>
      <c r="D2640" t="inlineStr">
        <is>
          <t>VÄRMLANDS LÄN</t>
        </is>
      </c>
      <c r="E2640" t="inlineStr">
        <is>
          <t>TORSBY</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36782-2024</t>
        </is>
      </c>
      <c r="B2641" s="1" t="n">
        <v>45538</v>
      </c>
      <c r="C2641" s="1" t="n">
        <v>45640</v>
      </c>
      <c r="D2641" t="inlineStr">
        <is>
          <t>VÄRMLANDS LÄN</t>
        </is>
      </c>
      <c r="E2641" t="inlineStr">
        <is>
          <t>TORSBY</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36790-2024</t>
        </is>
      </c>
      <c r="B2642" s="1" t="n">
        <v>45538</v>
      </c>
      <c r="C2642" s="1" t="n">
        <v>45640</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36775-2024</t>
        </is>
      </c>
      <c r="B2643" s="1" t="n">
        <v>45538</v>
      </c>
      <c r="C2643" s="1" t="n">
        <v>45640</v>
      </c>
      <c r="D2643" t="inlineStr">
        <is>
          <t>VÄRMLANDS LÄN</t>
        </is>
      </c>
      <c r="E2643" t="inlineStr">
        <is>
          <t>TORSBY</t>
        </is>
      </c>
      <c r="F2643" t="inlineStr">
        <is>
          <t>Kyrkan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36850-2024</t>
        </is>
      </c>
      <c r="B2644" s="1" t="n">
        <v>45538</v>
      </c>
      <c r="C2644" s="1" t="n">
        <v>45640</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36879-2024</t>
        </is>
      </c>
      <c r="B2645" s="1" t="n">
        <v>45538</v>
      </c>
      <c r="C2645" s="1" t="n">
        <v>45640</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36922-2024</t>
        </is>
      </c>
      <c r="B2646" s="1" t="n">
        <v>45538</v>
      </c>
      <c r="C2646" s="1" t="n">
        <v>45640</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36939-2024</t>
        </is>
      </c>
      <c r="B2647" s="1" t="n">
        <v>45538</v>
      </c>
      <c r="C2647" s="1" t="n">
        <v>45640</v>
      </c>
      <c r="D2647" t="inlineStr">
        <is>
          <t>VÄRMLANDS LÄN</t>
        </is>
      </c>
      <c r="E2647" t="inlineStr">
        <is>
          <t>TORSBY</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36917-2024</t>
        </is>
      </c>
      <c r="B2648" s="1" t="n">
        <v>45538</v>
      </c>
      <c r="C2648" s="1" t="n">
        <v>45640</v>
      </c>
      <c r="D2648" t="inlineStr">
        <is>
          <t>VÄRMLANDS LÄN</t>
        </is>
      </c>
      <c r="E2648" t="inlineStr">
        <is>
          <t>TORSBY</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36964-2024</t>
        </is>
      </c>
      <c r="B2649" s="1" t="n">
        <v>45538</v>
      </c>
      <c r="C2649" s="1" t="n">
        <v>45640</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37153-2024</t>
        </is>
      </c>
      <c r="B2650" s="1" t="n">
        <v>45539</v>
      </c>
      <c r="C2650" s="1" t="n">
        <v>45640</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37194-2024</t>
        </is>
      </c>
      <c r="B2651" s="1" t="n">
        <v>45539</v>
      </c>
      <c r="C2651" s="1" t="n">
        <v>45640</v>
      </c>
      <c r="D2651" t="inlineStr">
        <is>
          <t>VÄRMLANDS LÄN</t>
        </is>
      </c>
      <c r="E2651" t="inlineStr">
        <is>
          <t>TORSBY</t>
        </is>
      </c>
      <c r="F2651" t="inlineStr">
        <is>
          <t>Bergvik skog väst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37238-2024</t>
        </is>
      </c>
      <c r="B2652" s="1" t="n">
        <v>45540</v>
      </c>
      <c r="C2652" s="1" t="n">
        <v>45640</v>
      </c>
      <c r="D2652" t="inlineStr">
        <is>
          <t>VÄRMLANDS LÄN</t>
        </is>
      </c>
      <c r="E2652" t="inlineStr">
        <is>
          <t>TORSBY</t>
        </is>
      </c>
      <c r="F2652" t="inlineStr">
        <is>
          <t>Bergvik skog väst AB</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37292-2024</t>
        </is>
      </c>
      <c r="B2653" s="1" t="n">
        <v>45540</v>
      </c>
      <c r="C2653" s="1" t="n">
        <v>45640</v>
      </c>
      <c r="D2653" t="inlineStr">
        <is>
          <t>VÄRMLANDS LÄN</t>
        </is>
      </c>
      <c r="E2653" t="inlineStr">
        <is>
          <t>TORSBY</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37477-2024</t>
        </is>
      </c>
      <c r="B2654" s="1" t="n">
        <v>45541</v>
      </c>
      <c r="C2654" s="1" t="n">
        <v>45640</v>
      </c>
      <c r="D2654" t="inlineStr">
        <is>
          <t>VÄRMLANDS LÄN</t>
        </is>
      </c>
      <c r="E2654" t="inlineStr">
        <is>
          <t>TORSBY</t>
        </is>
      </c>
      <c r="F2654" t="inlineStr">
        <is>
          <t>Bergvik skog väst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37580-2024</t>
        </is>
      </c>
      <c r="B2655" s="1" t="n">
        <v>45541</v>
      </c>
      <c r="C2655" s="1" t="n">
        <v>45640</v>
      </c>
      <c r="D2655" t="inlineStr">
        <is>
          <t>VÄRMLANDS LÄN</t>
        </is>
      </c>
      <c r="E2655" t="inlineStr">
        <is>
          <t>TORSBY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37665-2024</t>
        </is>
      </c>
      <c r="B2656" s="1" t="n">
        <v>45541</v>
      </c>
      <c r="C2656" s="1" t="n">
        <v>45640</v>
      </c>
      <c r="D2656" t="inlineStr">
        <is>
          <t>VÄRMLANDS LÄN</t>
        </is>
      </c>
      <c r="E2656" t="inlineStr">
        <is>
          <t>TORSBY</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37533-2024</t>
        </is>
      </c>
      <c r="B2657" s="1" t="n">
        <v>45541</v>
      </c>
      <c r="C2657" s="1" t="n">
        <v>45640</v>
      </c>
      <c r="D2657" t="inlineStr">
        <is>
          <t>VÄRMLANDS LÄN</t>
        </is>
      </c>
      <c r="E2657" t="inlineStr">
        <is>
          <t>TORSBY</t>
        </is>
      </c>
      <c r="F2657" t="inlineStr">
        <is>
          <t>Bergvik skog väst AB</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37733-2024</t>
        </is>
      </c>
      <c r="B2658" s="1" t="n">
        <v>45541</v>
      </c>
      <c r="C2658" s="1" t="n">
        <v>45640</v>
      </c>
      <c r="D2658" t="inlineStr">
        <is>
          <t>VÄRMLANDS LÄN</t>
        </is>
      </c>
      <c r="E2658" t="inlineStr">
        <is>
          <t>TORSBY</t>
        </is>
      </c>
      <c r="F2658" t="inlineStr">
        <is>
          <t>Bergvik skog väst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37884-2024</t>
        </is>
      </c>
      <c r="B2659" s="1" t="n">
        <v>45544</v>
      </c>
      <c r="C2659" s="1" t="n">
        <v>45640</v>
      </c>
      <c r="D2659" t="inlineStr">
        <is>
          <t>VÄRMLANDS LÄN</t>
        </is>
      </c>
      <c r="E2659" t="inlineStr">
        <is>
          <t>TORSBY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37948-2024</t>
        </is>
      </c>
      <c r="B2660" s="1" t="n">
        <v>45544</v>
      </c>
      <c r="C2660" s="1" t="n">
        <v>45640</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37853-2024</t>
        </is>
      </c>
      <c r="B2661" s="1" t="n">
        <v>45544</v>
      </c>
      <c r="C2661" s="1" t="n">
        <v>45640</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37901-2024</t>
        </is>
      </c>
      <c r="B2662" s="1" t="n">
        <v>45544</v>
      </c>
      <c r="C2662" s="1" t="n">
        <v>45640</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37913-2024</t>
        </is>
      </c>
      <c r="B2663" s="1" t="n">
        <v>45544</v>
      </c>
      <c r="C2663" s="1" t="n">
        <v>45640</v>
      </c>
      <c r="D2663" t="inlineStr">
        <is>
          <t>VÄRMLANDS LÄN</t>
        </is>
      </c>
      <c r="E2663" t="inlineStr">
        <is>
          <t>TORSBY</t>
        </is>
      </c>
      <c r="F2663" t="inlineStr">
        <is>
          <t>Bergvik skog väst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38062-2024</t>
        </is>
      </c>
      <c r="B2664" s="1" t="n">
        <v>45544</v>
      </c>
      <c r="C2664" s="1" t="n">
        <v>45640</v>
      </c>
      <c r="D2664" t="inlineStr">
        <is>
          <t>VÄRMLANDS LÄN</t>
        </is>
      </c>
      <c r="E2664" t="inlineStr">
        <is>
          <t>TORSBY</t>
        </is>
      </c>
      <c r="F2664" t="inlineStr">
        <is>
          <t>Bergvik skog väst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38076-2024</t>
        </is>
      </c>
      <c r="B2665" s="1" t="n">
        <v>45544</v>
      </c>
      <c r="C2665" s="1" t="n">
        <v>45640</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38100-2024</t>
        </is>
      </c>
      <c r="B2666" s="1" t="n">
        <v>45545</v>
      </c>
      <c r="C2666" s="1" t="n">
        <v>45640</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38085-2024</t>
        </is>
      </c>
      <c r="B2667" s="1" t="n">
        <v>45545</v>
      </c>
      <c r="C2667" s="1" t="n">
        <v>45640</v>
      </c>
      <c r="D2667" t="inlineStr">
        <is>
          <t>VÄRMLANDS LÄN</t>
        </is>
      </c>
      <c r="E2667" t="inlineStr">
        <is>
          <t>TORSBY</t>
        </is>
      </c>
      <c r="F2667" t="inlineStr">
        <is>
          <t>Bergvik skog väst AB</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38148-2024</t>
        </is>
      </c>
      <c r="B2668" s="1" t="n">
        <v>45545</v>
      </c>
      <c r="C2668" s="1" t="n">
        <v>45640</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38184-2024</t>
        </is>
      </c>
      <c r="B2669" s="1" t="n">
        <v>45545</v>
      </c>
      <c r="C2669" s="1" t="n">
        <v>45640</v>
      </c>
      <c r="D2669" t="inlineStr">
        <is>
          <t>VÄRMLANDS LÄN</t>
        </is>
      </c>
      <c r="E2669" t="inlineStr">
        <is>
          <t>TORSBY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38206-2024</t>
        </is>
      </c>
      <c r="B2670" s="1" t="n">
        <v>45545</v>
      </c>
      <c r="C2670" s="1" t="n">
        <v>45640</v>
      </c>
      <c r="D2670" t="inlineStr">
        <is>
          <t>VÄRMLANDS LÄN</t>
        </is>
      </c>
      <c r="E2670" t="inlineStr">
        <is>
          <t>TORSBY</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38353-2024</t>
        </is>
      </c>
      <c r="B2671" s="1" t="n">
        <v>45545</v>
      </c>
      <c r="C2671" s="1" t="n">
        <v>45640</v>
      </c>
      <c r="D2671" t="inlineStr">
        <is>
          <t>VÄRMLANDS LÄN</t>
        </is>
      </c>
      <c r="E2671" t="inlineStr">
        <is>
          <t>TORSBY</t>
        </is>
      </c>
      <c r="G2671" t="n">
        <v>20.8</v>
      </c>
      <c r="H2671" t="n">
        <v>0</v>
      </c>
      <c r="I2671" t="n">
        <v>0</v>
      </c>
      <c r="J2671" t="n">
        <v>0</v>
      </c>
      <c r="K2671" t="n">
        <v>0</v>
      </c>
      <c r="L2671" t="n">
        <v>0</v>
      </c>
      <c r="M2671" t="n">
        <v>0</v>
      </c>
      <c r="N2671" t="n">
        <v>0</v>
      </c>
      <c r="O2671" t="n">
        <v>0</v>
      </c>
      <c r="P2671" t="n">
        <v>0</v>
      </c>
      <c r="Q2671" t="n">
        <v>0</v>
      </c>
      <c r="R2671" s="2" t="inlineStr"/>
    </row>
    <row r="2672" ht="15" customHeight="1">
      <c r="A2672" t="inlineStr">
        <is>
          <t>A 38497-2024</t>
        </is>
      </c>
      <c r="B2672" s="1" t="n">
        <v>45546</v>
      </c>
      <c r="C2672" s="1" t="n">
        <v>45640</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38618-2024</t>
        </is>
      </c>
      <c r="B2673" s="1" t="n">
        <v>45546</v>
      </c>
      <c r="C2673" s="1" t="n">
        <v>45640</v>
      </c>
      <c r="D2673" t="inlineStr">
        <is>
          <t>VÄRMLANDS LÄN</t>
        </is>
      </c>
      <c r="E2673" t="inlineStr">
        <is>
          <t>TORSBY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38911-2024</t>
        </is>
      </c>
      <c r="B2674" s="1" t="n">
        <v>45547</v>
      </c>
      <c r="C2674" s="1" t="n">
        <v>45640</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38931-2024</t>
        </is>
      </c>
      <c r="B2675" s="1" t="n">
        <v>45548</v>
      </c>
      <c r="C2675" s="1" t="n">
        <v>45640</v>
      </c>
      <c r="D2675" t="inlineStr">
        <is>
          <t>VÄRMLANDS LÄN</t>
        </is>
      </c>
      <c r="E2675" t="inlineStr">
        <is>
          <t>TORSBY</t>
        </is>
      </c>
      <c r="F2675" t="inlineStr">
        <is>
          <t>Bergvik skog väst AB</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39075-2024</t>
        </is>
      </c>
      <c r="B2676" s="1" t="n">
        <v>45548</v>
      </c>
      <c r="C2676" s="1" t="n">
        <v>45640</v>
      </c>
      <c r="D2676" t="inlineStr">
        <is>
          <t>VÄRMLANDS LÄN</t>
        </is>
      </c>
      <c r="E2676" t="inlineStr">
        <is>
          <t>TORSBY</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39277-2024</t>
        </is>
      </c>
      <c r="B2677" s="1" t="n">
        <v>45551</v>
      </c>
      <c r="C2677" s="1" t="n">
        <v>45640</v>
      </c>
      <c r="D2677" t="inlineStr">
        <is>
          <t>VÄRMLANDS LÄN</t>
        </is>
      </c>
      <c r="E2677" t="inlineStr">
        <is>
          <t>TORSBY</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39378-2024</t>
        </is>
      </c>
      <c r="B2678" s="1" t="n">
        <v>45551</v>
      </c>
      <c r="C2678" s="1" t="n">
        <v>45640</v>
      </c>
      <c r="D2678" t="inlineStr">
        <is>
          <t>VÄRMLANDS LÄN</t>
        </is>
      </c>
      <c r="E2678" t="inlineStr">
        <is>
          <t>TORSBY</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39383-2024</t>
        </is>
      </c>
      <c r="B2679" s="1" t="n">
        <v>45551</v>
      </c>
      <c r="C2679" s="1" t="n">
        <v>45640</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39587-2024</t>
        </is>
      </c>
      <c r="B2680" s="1" t="n">
        <v>45551</v>
      </c>
      <c r="C2680" s="1" t="n">
        <v>45640</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39569-2024</t>
        </is>
      </c>
      <c r="B2681" s="1" t="n">
        <v>45551</v>
      </c>
      <c r="C2681" s="1" t="n">
        <v>45640</v>
      </c>
      <c r="D2681" t="inlineStr">
        <is>
          <t>VÄRMLANDS LÄN</t>
        </is>
      </c>
      <c r="E2681" t="inlineStr">
        <is>
          <t>TORSBY</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39567-2024</t>
        </is>
      </c>
      <c r="B2682" s="1" t="n">
        <v>45552</v>
      </c>
      <c r="C2682" s="1" t="n">
        <v>45640</v>
      </c>
      <c r="D2682" t="inlineStr">
        <is>
          <t>VÄRMLANDS LÄN</t>
        </is>
      </c>
      <c r="E2682" t="inlineStr">
        <is>
          <t>TORSBY</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39617-2024</t>
        </is>
      </c>
      <c r="B2683" s="1" t="n">
        <v>45552</v>
      </c>
      <c r="C2683" s="1" t="n">
        <v>45640</v>
      </c>
      <c r="D2683" t="inlineStr">
        <is>
          <t>VÄRMLANDS LÄN</t>
        </is>
      </c>
      <c r="E2683" t="inlineStr">
        <is>
          <t>TORSBY</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39767-2024</t>
        </is>
      </c>
      <c r="B2684" s="1" t="n">
        <v>45552</v>
      </c>
      <c r="C2684" s="1" t="n">
        <v>45640</v>
      </c>
      <c r="D2684" t="inlineStr">
        <is>
          <t>VÄRMLANDS LÄN</t>
        </is>
      </c>
      <c r="E2684" t="inlineStr">
        <is>
          <t>TORSBY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39771-2024</t>
        </is>
      </c>
      <c r="B2685" s="1" t="n">
        <v>45552</v>
      </c>
      <c r="C2685" s="1" t="n">
        <v>45640</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39746-2024</t>
        </is>
      </c>
      <c r="B2686" s="1" t="n">
        <v>45552</v>
      </c>
      <c r="C2686" s="1" t="n">
        <v>45640</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39770-2024</t>
        </is>
      </c>
      <c r="B2687" s="1" t="n">
        <v>45552</v>
      </c>
      <c r="C2687" s="1" t="n">
        <v>45640</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39768-2024</t>
        </is>
      </c>
      <c r="B2688" s="1" t="n">
        <v>45552</v>
      </c>
      <c r="C2688" s="1" t="n">
        <v>45640</v>
      </c>
      <c r="D2688" t="inlineStr">
        <is>
          <t>VÄRMLANDS LÄN</t>
        </is>
      </c>
      <c r="E2688" t="inlineStr">
        <is>
          <t>TORSBY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39772-2024</t>
        </is>
      </c>
      <c r="B2689" s="1" t="n">
        <v>45552</v>
      </c>
      <c r="C2689" s="1" t="n">
        <v>45640</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39769-2024</t>
        </is>
      </c>
      <c r="B2690" s="1" t="n">
        <v>45552</v>
      </c>
      <c r="C2690" s="1" t="n">
        <v>45640</v>
      </c>
      <c r="D2690" t="inlineStr">
        <is>
          <t>VÄRMLANDS LÄN</t>
        </is>
      </c>
      <c r="E2690" t="inlineStr">
        <is>
          <t>TORSBY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39953-2024</t>
        </is>
      </c>
      <c r="B2691" s="1" t="n">
        <v>45553</v>
      </c>
      <c r="C2691" s="1" t="n">
        <v>45640</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39985-2024</t>
        </is>
      </c>
      <c r="B2692" s="1" t="n">
        <v>45553</v>
      </c>
      <c r="C2692" s="1" t="n">
        <v>45640</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40180-2024</t>
        </is>
      </c>
      <c r="B2693" s="1" t="n">
        <v>45554</v>
      </c>
      <c r="C2693" s="1" t="n">
        <v>45640</v>
      </c>
      <c r="D2693" t="inlineStr">
        <is>
          <t>VÄRMLANDS LÄN</t>
        </is>
      </c>
      <c r="E2693" t="inlineStr">
        <is>
          <t>TORSBY</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40227-2024</t>
        </is>
      </c>
      <c r="B2694" s="1" t="n">
        <v>45554</v>
      </c>
      <c r="C2694" s="1" t="n">
        <v>45640</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40157-2024</t>
        </is>
      </c>
      <c r="B2695" s="1" t="n">
        <v>45554</v>
      </c>
      <c r="C2695" s="1" t="n">
        <v>45640</v>
      </c>
      <c r="D2695" t="inlineStr">
        <is>
          <t>VÄRMLANDS LÄN</t>
        </is>
      </c>
      <c r="E2695" t="inlineStr">
        <is>
          <t>TORSBY</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40301-2024</t>
        </is>
      </c>
      <c r="B2696" s="1" t="n">
        <v>45554</v>
      </c>
      <c r="C2696" s="1" t="n">
        <v>45640</v>
      </c>
      <c r="D2696" t="inlineStr">
        <is>
          <t>VÄRMLANDS LÄN</t>
        </is>
      </c>
      <c r="E2696" t="inlineStr">
        <is>
          <t>TORSBY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40541-2024</t>
        </is>
      </c>
      <c r="B2697" s="1" t="n">
        <v>45555</v>
      </c>
      <c r="C2697" s="1" t="n">
        <v>45640</v>
      </c>
      <c r="D2697" t="inlineStr">
        <is>
          <t>VÄRMLANDS LÄN</t>
        </is>
      </c>
      <c r="E2697" t="inlineStr">
        <is>
          <t>TORSBY</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40565-2024</t>
        </is>
      </c>
      <c r="B2698" s="1" t="n">
        <v>45555</v>
      </c>
      <c r="C2698" s="1" t="n">
        <v>45640</v>
      </c>
      <c r="D2698" t="inlineStr">
        <is>
          <t>VÄRMLANDS LÄN</t>
        </is>
      </c>
      <c r="E2698" t="inlineStr">
        <is>
          <t>TORSBY</t>
        </is>
      </c>
      <c r="F2698" t="inlineStr">
        <is>
          <t>Bergvik skog väst AB</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40573-2024</t>
        </is>
      </c>
      <c r="B2699" s="1" t="n">
        <v>45555</v>
      </c>
      <c r="C2699" s="1" t="n">
        <v>45640</v>
      </c>
      <c r="D2699" t="inlineStr">
        <is>
          <t>VÄRMLANDS LÄN</t>
        </is>
      </c>
      <c r="E2699" t="inlineStr">
        <is>
          <t>TORSBY</t>
        </is>
      </c>
      <c r="F2699" t="inlineStr">
        <is>
          <t>Bergvik skog väst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40546-2024</t>
        </is>
      </c>
      <c r="B2700" s="1" t="n">
        <v>45555</v>
      </c>
      <c r="C2700" s="1" t="n">
        <v>45640</v>
      </c>
      <c r="D2700" t="inlineStr">
        <is>
          <t>VÄRMLANDS LÄN</t>
        </is>
      </c>
      <c r="E2700" t="inlineStr">
        <is>
          <t>TORSBY</t>
        </is>
      </c>
      <c r="F2700" t="inlineStr">
        <is>
          <t>Bergvik skog väst AB</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40914-2024</t>
        </is>
      </c>
      <c r="B2701" s="1" t="n">
        <v>45558</v>
      </c>
      <c r="C2701" s="1" t="n">
        <v>45640</v>
      </c>
      <c r="D2701" t="inlineStr">
        <is>
          <t>VÄRMLANDS LÄN</t>
        </is>
      </c>
      <c r="E2701" t="inlineStr">
        <is>
          <t>TORSBY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40807-2024</t>
        </is>
      </c>
      <c r="B2702" s="1" t="n">
        <v>45558</v>
      </c>
      <c r="C2702" s="1" t="n">
        <v>45640</v>
      </c>
      <c r="D2702" t="inlineStr">
        <is>
          <t>VÄRMLANDS LÄN</t>
        </is>
      </c>
      <c r="E2702" t="inlineStr">
        <is>
          <t>TORSBY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40810-2024</t>
        </is>
      </c>
      <c r="B2703" s="1" t="n">
        <v>45558</v>
      </c>
      <c r="C2703" s="1" t="n">
        <v>45640</v>
      </c>
      <c r="D2703" t="inlineStr">
        <is>
          <t>VÄRMLANDS LÄN</t>
        </is>
      </c>
      <c r="E2703" t="inlineStr">
        <is>
          <t>TORSBY</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40987-2024</t>
        </is>
      </c>
      <c r="B2704" s="1" t="n">
        <v>45558</v>
      </c>
      <c r="C2704" s="1" t="n">
        <v>45640</v>
      </c>
      <c r="D2704" t="inlineStr">
        <is>
          <t>VÄRMLANDS LÄN</t>
        </is>
      </c>
      <c r="E2704" t="inlineStr">
        <is>
          <t>TORSBY</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41161-2024</t>
        </is>
      </c>
      <c r="B2705" s="1" t="n">
        <v>45559</v>
      </c>
      <c r="C2705" s="1" t="n">
        <v>45640</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41162-2024</t>
        </is>
      </c>
      <c r="B2706" s="1" t="n">
        <v>45559</v>
      </c>
      <c r="C2706" s="1" t="n">
        <v>45640</v>
      </c>
      <c r="D2706" t="inlineStr">
        <is>
          <t>VÄRMLANDS LÄN</t>
        </is>
      </c>
      <c r="E2706" t="inlineStr">
        <is>
          <t>TORSBY</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41518-2024</t>
        </is>
      </c>
      <c r="B2707" s="1" t="n">
        <v>45560</v>
      </c>
      <c r="C2707" s="1" t="n">
        <v>45640</v>
      </c>
      <c r="D2707" t="inlineStr">
        <is>
          <t>VÄRMLANDS LÄN</t>
        </is>
      </c>
      <c r="E2707" t="inlineStr">
        <is>
          <t>TORSBY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41504-2024</t>
        </is>
      </c>
      <c r="B2708" s="1" t="n">
        <v>45560</v>
      </c>
      <c r="C2708" s="1" t="n">
        <v>45640</v>
      </c>
      <c r="D2708" t="inlineStr">
        <is>
          <t>VÄRMLANDS LÄN</t>
        </is>
      </c>
      <c r="E2708" t="inlineStr">
        <is>
          <t>TORSBY</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41529-2024</t>
        </is>
      </c>
      <c r="B2709" s="1" t="n">
        <v>45560</v>
      </c>
      <c r="C2709" s="1" t="n">
        <v>45640</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41501-2024</t>
        </is>
      </c>
      <c r="B2710" s="1" t="n">
        <v>45560</v>
      </c>
      <c r="C2710" s="1" t="n">
        <v>45640</v>
      </c>
      <c r="D2710" t="inlineStr">
        <is>
          <t>VÄRMLANDS LÄN</t>
        </is>
      </c>
      <c r="E2710" t="inlineStr">
        <is>
          <t>TORSBY</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41720-2024</t>
        </is>
      </c>
      <c r="B2711" s="1" t="n">
        <v>45560</v>
      </c>
      <c r="C2711" s="1" t="n">
        <v>45640</v>
      </c>
      <c r="D2711" t="inlineStr">
        <is>
          <t>VÄRMLANDS LÄN</t>
        </is>
      </c>
      <c r="E2711" t="inlineStr">
        <is>
          <t>TORSBY</t>
        </is>
      </c>
      <c r="F2711" t="inlineStr">
        <is>
          <t>Bergvik skog väst AB</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41534-2024</t>
        </is>
      </c>
      <c r="B2712" s="1" t="n">
        <v>45560</v>
      </c>
      <c r="C2712" s="1" t="n">
        <v>45640</v>
      </c>
      <c r="D2712" t="inlineStr">
        <is>
          <t>VÄRMLANDS LÄN</t>
        </is>
      </c>
      <c r="E2712" t="inlineStr">
        <is>
          <t>TORSBY</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41631-2024</t>
        </is>
      </c>
      <c r="B2713" s="1" t="n">
        <v>45560</v>
      </c>
      <c r="C2713" s="1" t="n">
        <v>45640</v>
      </c>
      <c r="D2713" t="inlineStr">
        <is>
          <t>VÄRMLANDS LÄN</t>
        </is>
      </c>
      <c r="E2713" t="inlineStr">
        <is>
          <t>TORSBY</t>
        </is>
      </c>
      <c r="F2713" t="inlineStr">
        <is>
          <t>Bergvik skog väst AB</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41745-2024</t>
        </is>
      </c>
      <c r="B2714" s="1" t="n">
        <v>45561</v>
      </c>
      <c r="C2714" s="1" t="n">
        <v>45640</v>
      </c>
      <c r="D2714" t="inlineStr">
        <is>
          <t>VÄRMLANDS LÄN</t>
        </is>
      </c>
      <c r="E2714" t="inlineStr">
        <is>
          <t>TORSBY</t>
        </is>
      </c>
      <c r="F2714" t="inlineStr">
        <is>
          <t>Bergvik skog väst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41743-2024</t>
        </is>
      </c>
      <c r="B2715" s="1" t="n">
        <v>45561</v>
      </c>
      <c r="C2715" s="1" t="n">
        <v>45640</v>
      </c>
      <c r="D2715" t="inlineStr">
        <is>
          <t>VÄRMLANDS LÄN</t>
        </is>
      </c>
      <c r="E2715" t="inlineStr">
        <is>
          <t>TORSBY</t>
        </is>
      </c>
      <c r="F2715" t="inlineStr">
        <is>
          <t>Bergvik skog väst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41936-2024</t>
        </is>
      </c>
      <c r="B2716" s="1" t="n">
        <v>45561</v>
      </c>
      <c r="C2716" s="1" t="n">
        <v>45640</v>
      </c>
      <c r="D2716" t="inlineStr">
        <is>
          <t>VÄRMLANDS LÄN</t>
        </is>
      </c>
      <c r="E2716" t="inlineStr">
        <is>
          <t>TORSBY</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42283-2024</t>
        </is>
      </c>
      <c r="B2717" s="1" t="n">
        <v>45562</v>
      </c>
      <c r="C2717" s="1" t="n">
        <v>45640</v>
      </c>
      <c r="D2717" t="inlineStr">
        <is>
          <t>VÄRMLANDS LÄN</t>
        </is>
      </c>
      <c r="E2717" t="inlineStr">
        <is>
          <t>TORSBY</t>
        </is>
      </c>
      <c r="F2717" t="inlineStr">
        <is>
          <t>Bergvik skog väst AB</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42250-2024</t>
        </is>
      </c>
      <c r="B2718" s="1" t="n">
        <v>45562</v>
      </c>
      <c r="C2718" s="1" t="n">
        <v>45640</v>
      </c>
      <c r="D2718" t="inlineStr">
        <is>
          <t>VÄRMLANDS LÄN</t>
        </is>
      </c>
      <c r="E2718" t="inlineStr">
        <is>
          <t>TORSBY</t>
        </is>
      </c>
      <c r="F2718" t="inlineStr">
        <is>
          <t>Bergvik skog väst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42176-2024</t>
        </is>
      </c>
      <c r="B2719" s="1" t="n">
        <v>45562</v>
      </c>
      <c r="C2719" s="1" t="n">
        <v>45640</v>
      </c>
      <c r="D2719" t="inlineStr">
        <is>
          <t>VÄRMLANDS LÄN</t>
        </is>
      </c>
      <c r="E2719" t="inlineStr">
        <is>
          <t>TORSBY</t>
        </is>
      </c>
      <c r="F2719" t="inlineStr">
        <is>
          <t>Kommuner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42405-2024</t>
        </is>
      </c>
      <c r="B2720" s="1" t="n">
        <v>45565</v>
      </c>
      <c r="C2720" s="1" t="n">
        <v>45640</v>
      </c>
      <c r="D2720" t="inlineStr">
        <is>
          <t>VÄRMLANDS LÄN</t>
        </is>
      </c>
      <c r="E2720" t="inlineStr">
        <is>
          <t>TORSBY</t>
        </is>
      </c>
      <c r="F2720" t="inlineStr">
        <is>
          <t>Bergvik skog väst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42414-2024</t>
        </is>
      </c>
      <c r="B2721" s="1" t="n">
        <v>45565</v>
      </c>
      <c r="C2721" s="1" t="n">
        <v>45640</v>
      </c>
      <c r="D2721" t="inlineStr">
        <is>
          <t>VÄRMLANDS LÄN</t>
        </is>
      </c>
      <c r="E2721" t="inlineStr">
        <is>
          <t>TORSBY</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42424-2024</t>
        </is>
      </c>
      <c r="B2722" s="1" t="n">
        <v>45565</v>
      </c>
      <c r="C2722" s="1" t="n">
        <v>45640</v>
      </c>
      <c r="D2722" t="inlineStr">
        <is>
          <t>VÄRMLANDS LÄN</t>
        </is>
      </c>
      <c r="E2722" t="inlineStr">
        <is>
          <t>TORSBY</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42428-2024</t>
        </is>
      </c>
      <c r="B2723" s="1" t="n">
        <v>45565</v>
      </c>
      <c r="C2723" s="1" t="n">
        <v>45640</v>
      </c>
      <c r="D2723" t="inlineStr">
        <is>
          <t>VÄRMLANDS LÄN</t>
        </is>
      </c>
      <c r="E2723" t="inlineStr">
        <is>
          <t>TORSBY</t>
        </is>
      </c>
      <c r="F2723" t="inlineStr">
        <is>
          <t>Bergvik skog väst AB</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42457-2024</t>
        </is>
      </c>
      <c r="B2724" s="1" t="n">
        <v>45565</v>
      </c>
      <c r="C2724" s="1" t="n">
        <v>45640</v>
      </c>
      <c r="D2724" t="inlineStr">
        <is>
          <t>VÄRMLANDS LÄN</t>
        </is>
      </c>
      <c r="E2724" t="inlineStr">
        <is>
          <t>TORSBY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42834-2024</t>
        </is>
      </c>
      <c r="B2725" s="1" t="n">
        <v>45566</v>
      </c>
      <c r="C2725" s="1" t="n">
        <v>45640</v>
      </c>
      <c r="D2725" t="inlineStr">
        <is>
          <t>VÄRMLANDS LÄN</t>
        </is>
      </c>
      <c r="E2725" t="inlineStr">
        <is>
          <t>TORSBY</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42662-2024</t>
        </is>
      </c>
      <c r="B2726" s="1" t="n">
        <v>45566</v>
      </c>
      <c r="C2726" s="1" t="n">
        <v>45640</v>
      </c>
      <c r="D2726" t="inlineStr">
        <is>
          <t>VÄRMLANDS LÄN</t>
        </is>
      </c>
      <c r="E2726" t="inlineStr">
        <is>
          <t>TORSBY</t>
        </is>
      </c>
      <c r="F2726" t="inlineStr">
        <is>
          <t>Bergvik skog väst AB</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43037-2024</t>
        </is>
      </c>
      <c r="B2727" s="1" t="n">
        <v>45567</v>
      </c>
      <c r="C2727" s="1" t="n">
        <v>45640</v>
      </c>
      <c r="D2727" t="inlineStr">
        <is>
          <t>VÄRMLANDS LÄN</t>
        </is>
      </c>
      <c r="E2727" t="inlineStr">
        <is>
          <t>TORSBY</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42945-2024</t>
        </is>
      </c>
      <c r="B2728" s="1" t="n">
        <v>45567</v>
      </c>
      <c r="C2728" s="1" t="n">
        <v>45640</v>
      </c>
      <c r="D2728" t="inlineStr">
        <is>
          <t>VÄRMLANDS LÄN</t>
        </is>
      </c>
      <c r="E2728" t="inlineStr">
        <is>
          <t>TORSBY</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43137-2024</t>
        </is>
      </c>
      <c r="B2729" s="1" t="n">
        <v>45567</v>
      </c>
      <c r="C2729" s="1" t="n">
        <v>45640</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43044-2024</t>
        </is>
      </c>
      <c r="B2730" s="1" t="n">
        <v>45567</v>
      </c>
      <c r="C2730" s="1" t="n">
        <v>45640</v>
      </c>
      <c r="D2730" t="inlineStr">
        <is>
          <t>VÄRMLANDS LÄN</t>
        </is>
      </c>
      <c r="E2730" t="inlineStr">
        <is>
          <t>TORSBY</t>
        </is>
      </c>
      <c r="F2730" t="inlineStr">
        <is>
          <t>Bergvik skog väst AB</t>
        </is>
      </c>
      <c r="G2730" t="n">
        <v>42.7</v>
      </c>
      <c r="H2730" t="n">
        <v>0</v>
      </c>
      <c r="I2730" t="n">
        <v>0</v>
      </c>
      <c r="J2730" t="n">
        <v>0</v>
      </c>
      <c r="K2730" t="n">
        <v>0</v>
      </c>
      <c r="L2730" t="n">
        <v>0</v>
      </c>
      <c r="M2730" t="n">
        <v>0</v>
      </c>
      <c r="N2730" t="n">
        <v>0</v>
      </c>
      <c r="O2730" t="n">
        <v>0</v>
      </c>
      <c r="P2730" t="n">
        <v>0</v>
      </c>
      <c r="Q2730" t="n">
        <v>0</v>
      </c>
      <c r="R2730" s="2" t="inlineStr"/>
    </row>
    <row r="2731" ht="15" customHeight="1">
      <c r="A2731" t="inlineStr">
        <is>
          <t>A 43164-2024</t>
        </is>
      </c>
      <c r="B2731" s="1" t="n">
        <v>45567</v>
      </c>
      <c r="C2731" s="1" t="n">
        <v>45640</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43144-2024</t>
        </is>
      </c>
      <c r="B2732" s="1" t="n">
        <v>45567</v>
      </c>
      <c r="C2732" s="1" t="n">
        <v>45640</v>
      </c>
      <c r="D2732" t="inlineStr">
        <is>
          <t>VÄRMLANDS LÄN</t>
        </is>
      </c>
      <c r="E2732" t="inlineStr">
        <is>
          <t>TORSBY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43420-2024</t>
        </is>
      </c>
      <c r="B2733" s="1" t="n">
        <v>45568</v>
      </c>
      <c r="C2733" s="1" t="n">
        <v>45640</v>
      </c>
      <c r="D2733" t="inlineStr">
        <is>
          <t>VÄRMLANDS LÄN</t>
        </is>
      </c>
      <c r="E2733" t="inlineStr">
        <is>
          <t>TORSBY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43409-2024</t>
        </is>
      </c>
      <c r="B2734" s="1" t="n">
        <v>45568</v>
      </c>
      <c r="C2734" s="1" t="n">
        <v>45640</v>
      </c>
      <c r="D2734" t="inlineStr">
        <is>
          <t>VÄRMLANDS LÄN</t>
        </is>
      </c>
      <c r="E2734" t="inlineStr">
        <is>
          <t>TORSBY</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43295-2024</t>
        </is>
      </c>
      <c r="B2735" s="1" t="n">
        <v>45568</v>
      </c>
      <c r="C2735" s="1" t="n">
        <v>45640</v>
      </c>
      <c r="D2735" t="inlineStr">
        <is>
          <t>VÄRMLANDS LÄN</t>
        </is>
      </c>
      <c r="E2735" t="inlineStr">
        <is>
          <t>TORSBY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43336-2024</t>
        </is>
      </c>
      <c r="B2736" s="1" t="n">
        <v>45568</v>
      </c>
      <c r="C2736" s="1" t="n">
        <v>45640</v>
      </c>
      <c r="D2736" t="inlineStr">
        <is>
          <t>VÄRMLANDS LÄN</t>
        </is>
      </c>
      <c r="E2736" t="inlineStr">
        <is>
          <t>TORSBY</t>
        </is>
      </c>
      <c r="F2736" t="inlineStr">
        <is>
          <t>Bergvik skog väst AB</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43301-2024</t>
        </is>
      </c>
      <c r="B2737" s="1" t="n">
        <v>45568</v>
      </c>
      <c r="C2737" s="1" t="n">
        <v>45640</v>
      </c>
      <c r="D2737" t="inlineStr">
        <is>
          <t>VÄRMLANDS LÄN</t>
        </is>
      </c>
      <c r="E2737" t="inlineStr">
        <is>
          <t>TORSBY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43256-2024</t>
        </is>
      </c>
      <c r="B2738" s="1" t="n">
        <v>45568</v>
      </c>
      <c r="C2738" s="1" t="n">
        <v>45640</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43538-2024</t>
        </is>
      </c>
      <c r="B2739" s="1" t="n">
        <v>45569</v>
      </c>
      <c r="C2739" s="1" t="n">
        <v>45640</v>
      </c>
      <c r="D2739" t="inlineStr">
        <is>
          <t>VÄRMLANDS LÄN</t>
        </is>
      </c>
      <c r="E2739" t="inlineStr">
        <is>
          <t>TORSBY</t>
        </is>
      </c>
      <c r="F2739" t="inlineStr">
        <is>
          <t>Bergvik skog väst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43718-2024</t>
        </is>
      </c>
      <c r="B2740" s="1" t="n">
        <v>45569</v>
      </c>
      <c r="C2740" s="1" t="n">
        <v>45640</v>
      </c>
      <c r="D2740" t="inlineStr">
        <is>
          <t>VÄRMLANDS LÄN</t>
        </is>
      </c>
      <c r="E2740" t="inlineStr">
        <is>
          <t>TORSBY</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43545-2024</t>
        </is>
      </c>
      <c r="B2741" s="1" t="n">
        <v>45569</v>
      </c>
      <c r="C2741" s="1" t="n">
        <v>45640</v>
      </c>
      <c r="D2741" t="inlineStr">
        <is>
          <t>VÄRMLANDS LÄN</t>
        </is>
      </c>
      <c r="E2741" t="inlineStr">
        <is>
          <t>TORSBY</t>
        </is>
      </c>
      <c r="F2741" t="inlineStr">
        <is>
          <t>Bergvik skog väst AB</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43739-2024</t>
        </is>
      </c>
      <c r="B2742" s="1" t="n">
        <v>45569</v>
      </c>
      <c r="C2742" s="1" t="n">
        <v>45640</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43864-2024</t>
        </is>
      </c>
      <c r="B2743" s="1" t="n">
        <v>45572</v>
      </c>
      <c r="C2743" s="1" t="n">
        <v>45640</v>
      </c>
      <c r="D2743" t="inlineStr">
        <is>
          <t>VÄRMLANDS LÄN</t>
        </is>
      </c>
      <c r="E2743" t="inlineStr">
        <is>
          <t>TORSBY</t>
        </is>
      </c>
      <c r="F2743" t="inlineStr">
        <is>
          <t>Kommuner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43988-2024</t>
        </is>
      </c>
      <c r="B2744" s="1" t="n">
        <v>45572</v>
      </c>
      <c r="C2744" s="1" t="n">
        <v>45640</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44081-2024</t>
        </is>
      </c>
      <c r="B2745" s="1" t="n">
        <v>45572</v>
      </c>
      <c r="C2745" s="1" t="n">
        <v>45640</v>
      </c>
      <c r="D2745" t="inlineStr">
        <is>
          <t>VÄRMLANDS LÄN</t>
        </is>
      </c>
      <c r="E2745" t="inlineStr">
        <is>
          <t>TORSBY</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44059-2024</t>
        </is>
      </c>
      <c r="B2746" s="1" t="n">
        <v>45572</v>
      </c>
      <c r="C2746" s="1" t="n">
        <v>45640</v>
      </c>
      <c r="D2746" t="inlineStr">
        <is>
          <t>VÄRMLANDS LÄN</t>
        </is>
      </c>
      <c r="E2746" t="inlineStr">
        <is>
          <t>TORSBY</t>
        </is>
      </c>
      <c r="F2746" t="inlineStr">
        <is>
          <t>Bergvik skog väst AB</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44349-2024</t>
        </is>
      </c>
      <c r="B2747" s="1" t="n">
        <v>45573</v>
      </c>
      <c r="C2747" s="1" t="n">
        <v>45640</v>
      </c>
      <c r="D2747" t="inlineStr">
        <is>
          <t>VÄRMLANDS LÄN</t>
        </is>
      </c>
      <c r="E2747" t="inlineStr">
        <is>
          <t>TORSBY</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44352-2024</t>
        </is>
      </c>
      <c r="B2748" s="1" t="n">
        <v>45573</v>
      </c>
      <c r="C2748" s="1" t="n">
        <v>45640</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44276-2024</t>
        </is>
      </c>
      <c r="B2749" s="1" t="n">
        <v>45573</v>
      </c>
      <c r="C2749" s="1" t="n">
        <v>45640</v>
      </c>
      <c r="D2749" t="inlineStr">
        <is>
          <t>VÄRMLANDS LÄN</t>
        </is>
      </c>
      <c r="E2749" t="inlineStr">
        <is>
          <t>TORSBY</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44241-2024</t>
        </is>
      </c>
      <c r="B2750" s="1" t="n">
        <v>45573</v>
      </c>
      <c r="C2750" s="1" t="n">
        <v>45640</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44303-2024</t>
        </is>
      </c>
      <c r="B2751" s="1" t="n">
        <v>45573</v>
      </c>
      <c r="C2751" s="1" t="n">
        <v>45640</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44424-2024</t>
        </is>
      </c>
      <c r="B2752" s="1" t="n">
        <v>45573</v>
      </c>
      <c r="C2752" s="1" t="n">
        <v>45640</v>
      </c>
      <c r="D2752" t="inlineStr">
        <is>
          <t>VÄRMLANDS LÄN</t>
        </is>
      </c>
      <c r="E2752" t="inlineStr">
        <is>
          <t>TORSBY</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44325-2024</t>
        </is>
      </c>
      <c r="B2753" s="1" t="n">
        <v>45573</v>
      </c>
      <c r="C2753" s="1" t="n">
        <v>45640</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44422-2024</t>
        </is>
      </c>
      <c r="B2754" s="1" t="n">
        <v>45573</v>
      </c>
      <c r="C2754" s="1" t="n">
        <v>45640</v>
      </c>
      <c r="D2754" t="inlineStr">
        <is>
          <t>VÄRMLANDS LÄN</t>
        </is>
      </c>
      <c r="E2754" t="inlineStr">
        <is>
          <t>TORSBY</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44423-2024</t>
        </is>
      </c>
      <c r="B2755" s="1" t="n">
        <v>45573</v>
      </c>
      <c r="C2755" s="1" t="n">
        <v>45640</v>
      </c>
      <c r="D2755" t="inlineStr">
        <is>
          <t>VÄRMLANDS LÄN</t>
        </is>
      </c>
      <c r="E2755" t="inlineStr">
        <is>
          <t>TORSBY</t>
        </is>
      </c>
      <c r="G2755" t="n">
        <v>34.1</v>
      </c>
      <c r="H2755" t="n">
        <v>0</v>
      </c>
      <c r="I2755" t="n">
        <v>0</v>
      </c>
      <c r="J2755" t="n">
        <v>0</v>
      </c>
      <c r="K2755" t="n">
        <v>0</v>
      </c>
      <c r="L2755" t="n">
        <v>0</v>
      </c>
      <c r="M2755" t="n">
        <v>0</v>
      </c>
      <c r="N2755" t="n">
        <v>0</v>
      </c>
      <c r="O2755" t="n">
        <v>0</v>
      </c>
      <c r="P2755" t="n">
        <v>0</v>
      </c>
      <c r="Q2755" t="n">
        <v>0</v>
      </c>
      <c r="R2755" s="2" t="inlineStr"/>
    </row>
    <row r="2756" ht="15" customHeight="1">
      <c r="A2756" t="inlineStr">
        <is>
          <t>A 44278-2024</t>
        </is>
      </c>
      <c r="B2756" s="1" t="n">
        <v>45573</v>
      </c>
      <c r="C2756" s="1" t="n">
        <v>45640</v>
      </c>
      <c r="D2756" t="inlineStr">
        <is>
          <t>VÄRMLANDS LÄN</t>
        </is>
      </c>
      <c r="E2756" t="inlineStr">
        <is>
          <t>TORSBY</t>
        </is>
      </c>
      <c r="F2756" t="inlineStr">
        <is>
          <t>Bergvik skog väst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44204-2024</t>
        </is>
      </c>
      <c r="B2757" s="1" t="n">
        <v>45573</v>
      </c>
      <c r="C2757" s="1" t="n">
        <v>45640</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44338-2024</t>
        </is>
      </c>
      <c r="B2758" s="1" t="n">
        <v>45573</v>
      </c>
      <c r="C2758" s="1" t="n">
        <v>45640</v>
      </c>
      <c r="D2758" t="inlineStr">
        <is>
          <t>VÄRMLANDS LÄN</t>
        </is>
      </c>
      <c r="E2758" t="inlineStr">
        <is>
          <t>TORSBY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44342-2024</t>
        </is>
      </c>
      <c r="B2759" s="1" t="n">
        <v>45573</v>
      </c>
      <c r="C2759" s="1" t="n">
        <v>45640</v>
      </c>
      <c r="D2759" t="inlineStr">
        <is>
          <t>VÄRMLANDS LÄN</t>
        </is>
      </c>
      <c r="E2759" t="inlineStr">
        <is>
          <t>TORSBY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44448-2024</t>
        </is>
      </c>
      <c r="B2760" s="1" t="n">
        <v>45574</v>
      </c>
      <c r="C2760" s="1" t="n">
        <v>45640</v>
      </c>
      <c r="D2760" t="inlineStr">
        <is>
          <t>VÄRMLANDS LÄN</t>
        </is>
      </c>
      <c r="E2760" t="inlineStr">
        <is>
          <t>TORSBY</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44697-2024</t>
        </is>
      </c>
      <c r="B2761" s="1" t="n">
        <v>45574</v>
      </c>
      <c r="C2761" s="1" t="n">
        <v>45640</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44685-2024</t>
        </is>
      </c>
      <c r="B2762" s="1" t="n">
        <v>45574</v>
      </c>
      <c r="C2762" s="1" t="n">
        <v>45640</v>
      </c>
      <c r="D2762" t="inlineStr">
        <is>
          <t>VÄRMLANDS LÄN</t>
        </is>
      </c>
      <c r="E2762" t="inlineStr">
        <is>
          <t>TORSBY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44690-2024</t>
        </is>
      </c>
      <c r="B2763" s="1" t="n">
        <v>45574</v>
      </c>
      <c r="C2763" s="1" t="n">
        <v>45640</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44702-2024</t>
        </is>
      </c>
      <c r="B2764" s="1" t="n">
        <v>45574</v>
      </c>
      <c r="C2764" s="1" t="n">
        <v>45640</v>
      </c>
      <c r="D2764" t="inlineStr">
        <is>
          <t>VÄRMLANDS LÄN</t>
        </is>
      </c>
      <c r="E2764" t="inlineStr">
        <is>
          <t>TORSBY</t>
        </is>
      </c>
      <c r="F2764" t="inlineStr">
        <is>
          <t>Bergvik skog väst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44770-2024</t>
        </is>
      </c>
      <c r="B2765" s="1" t="n">
        <v>45574</v>
      </c>
      <c r="C2765" s="1" t="n">
        <v>45640</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44786-2024</t>
        </is>
      </c>
      <c r="B2766" s="1" t="n">
        <v>45574</v>
      </c>
      <c r="C2766" s="1" t="n">
        <v>45640</v>
      </c>
      <c r="D2766" t="inlineStr">
        <is>
          <t>VÄRMLANDS LÄN</t>
        </is>
      </c>
      <c r="E2766" t="inlineStr">
        <is>
          <t>TORSBY</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44659-2024</t>
        </is>
      </c>
      <c r="B2767" s="1" t="n">
        <v>45574</v>
      </c>
      <c r="C2767" s="1" t="n">
        <v>45640</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44683-2024</t>
        </is>
      </c>
      <c r="B2768" s="1" t="n">
        <v>45574</v>
      </c>
      <c r="C2768" s="1" t="n">
        <v>45640</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44470-2024</t>
        </is>
      </c>
      <c r="B2769" s="1" t="n">
        <v>45574</v>
      </c>
      <c r="C2769" s="1" t="n">
        <v>45640</v>
      </c>
      <c r="D2769" t="inlineStr">
        <is>
          <t>VÄRMLANDS LÄN</t>
        </is>
      </c>
      <c r="E2769" t="inlineStr">
        <is>
          <t>TORSBY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44764-2024</t>
        </is>
      </c>
      <c r="B2770" s="1" t="n">
        <v>45574</v>
      </c>
      <c r="C2770" s="1" t="n">
        <v>45640</v>
      </c>
      <c r="D2770" t="inlineStr">
        <is>
          <t>VÄRMLANDS LÄN</t>
        </is>
      </c>
      <c r="E2770" t="inlineStr">
        <is>
          <t>TORSBY</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44838-2024</t>
        </is>
      </c>
      <c r="B2771" s="1" t="n">
        <v>45574</v>
      </c>
      <c r="C2771" s="1" t="n">
        <v>45640</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45134-2024</t>
        </is>
      </c>
      <c r="B2772" s="1" t="n">
        <v>45575</v>
      </c>
      <c r="C2772" s="1" t="n">
        <v>45640</v>
      </c>
      <c r="D2772" t="inlineStr">
        <is>
          <t>VÄRMLANDS LÄN</t>
        </is>
      </c>
      <c r="E2772" t="inlineStr">
        <is>
          <t>TORSBY</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45114-2024</t>
        </is>
      </c>
      <c r="B2773" s="1" t="n">
        <v>45575</v>
      </c>
      <c r="C2773" s="1" t="n">
        <v>45640</v>
      </c>
      <c r="D2773" t="inlineStr">
        <is>
          <t>VÄRMLANDS LÄN</t>
        </is>
      </c>
      <c r="E2773" t="inlineStr">
        <is>
          <t>TORSBY</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45129-2024</t>
        </is>
      </c>
      <c r="B2774" s="1" t="n">
        <v>45575</v>
      </c>
      <c r="C2774" s="1" t="n">
        <v>45640</v>
      </c>
      <c r="D2774" t="inlineStr">
        <is>
          <t>VÄRMLANDS LÄN</t>
        </is>
      </c>
      <c r="E2774" t="inlineStr">
        <is>
          <t>TORSBY</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45132-2024</t>
        </is>
      </c>
      <c r="B2775" s="1" t="n">
        <v>45575</v>
      </c>
      <c r="C2775" s="1" t="n">
        <v>45640</v>
      </c>
      <c r="D2775" t="inlineStr">
        <is>
          <t>VÄRMLANDS LÄN</t>
        </is>
      </c>
      <c r="E2775" t="inlineStr">
        <is>
          <t>TORSBY</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45022-2024</t>
        </is>
      </c>
      <c r="B2776" s="1" t="n">
        <v>45575</v>
      </c>
      <c r="C2776" s="1" t="n">
        <v>45640</v>
      </c>
      <c r="D2776" t="inlineStr">
        <is>
          <t>VÄRMLANDS LÄN</t>
        </is>
      </c>
      <c r="E2776" t="inlineStr">
        <is>
          <t>TORSBY</t>
        </is>
      </c>
      <c r="F2776" t="inlineStr">
        <is>
          <t>Bergvik skog väst AB</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45227-2024</t>
        </is>
      </c>
      <c r="B2777" s="1" t="n">
        <v>45575</v>
      </c>
      <c r="C2777" s="1" t="n">
        <v>45640</v>
      </c>
      <c r="D2777" t="inlineStr">
        <is>
          <t>VÄRMLANDS LÄN</t>
        </is>
      </c>
      <c r="E2777" t="inlineStr">
        <is>
          <t>TORSBY</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44965-2024</t>
        </is>
      </c>
      <c r="B2778" s="1" t="n">
        <v>45575</v>
      </c>
      <c r="C2778" s="1" t="n">
        <v>45640</v>
      </c>
      <c r="D2778" t="inlineStr">
        <is>
          <t>VÄRMLANDS LÄN</t>
        </is>
      </c>
      <c r="E2778" t="inlineStr">
        <is>
          <t>TORSBY</t>
        </is>
      </c>
      <c r="F2778" t="inlineStr">
        <is>
          <t>Bergvik skog väst AB</t>
        </is>
      </c>
      <c r="G2778" t="n">
        <v>15.1</v>
      </c>
      <c r="H2778" t="n">
        <v>0</v>
      </c>
      <c r="I2778" t="n">
        <v>0</v>
      </c>
      <c r="J2778" t="n">
        <v>0</v>
      </c>
      <c r="K2778" t="n">
        <v>0</v>
      </c>
      <c r="L2778" t="n">
        <v>0</v>
      </c>
      <c r="M2778" t="n">
        <v>0</v>
      </c>
      <c r="N2778" t="n">
        <v>0</v>
      </c>
      <c r="O2778" t="n">
        <v>0</v>
      </c>
      <c r="P2778" t="n">
        <v>0</v>
      </c>
      <c r="Q2778" t="n">
        <v>0</v>
      </c>
      <c r="R2778" s="2" t="inlineStr"/>
    </row>
    <row r="2779" ht="15" customHeight="1">
      <c r="A2779" t="inlineStr">
        <is>
          <t>A 45389-2024</t>
        </is>
      </c>
      <c r="B2779" s="1" t="n">
        <v>45576</v>
      </c>
      <c r="C2779" s="1" t="n">
        <v>45640</v>
      </c>
      <c r="D2779" t="inlineStr">
        <is>
          <t>VÄRMLANDS LÄN</t>
        </is>
      </c>
      <c r="E2779" t="inlineStr">
        <is>
          <t>TORSBY</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45448-2024</t>
        </is>
      </c>
      <c r="B2780" s="1" t="n">
        <v>45576</v>
      </c>
      <c r="C2780" s="1" t="n">
        <v>45640</v>
      </c>
      <c r="D2780" t="inlineStr">
        <is>
          <t>VÄRMLANDS LÄN</t>
        </is>
      </c>
      <c r="E2780" t="inlineStr">
        <is>
          <t>TORSBY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45385-2024</t>
        </is>
      </c>
      <c r="B2781" s="1" t="n">
        <v>45576</v>
      </c>
      <c r="C2781" s="1" t="n">
        <v>45640</v>
      </c>
      <c r="D2781" t="inlineStr">
        <is>
          <t>VÄRMLANDS LÄN</t>
        </is>
      </c>
      <c r="E2781" t="inlineStr">
        <is>
          <t>TORSBY</t>
        </is>
      </c>
      <c r="F2781" t="inlineStr">
        <is>
          <t>Bergvik skog väst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45669-2024</t>
        </is>
      </c>
      <c r="B2782" s="1" t="n">
        <v>45579</v>
      </c>
      <c r="C2782" s="1" t="n">
        <v>45640</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45548-2024</t>
        </is>
      </c>
      <c r="B2783" s="1" t="n">
        <v>45579</v>
      </c>
      <c r="C2783" s="1" t="n">
        <v>45640</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45812-2024</t>
        </is>
      </c>
      <c r="B2784" s="1" t="n">
        <v>45579</v>
      </c>
      <c r="C2784" s="1" t="n">
        <v>45640</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45849-2024</t>
        </is>
      </c>
      <c r="B2785" s="1" t="n">
        <v>45580</v>
      </c>
      <c r="C2785" s="1" t="n">
        <v>45640</v>
      </c>
      <c r="D2785" t="inlineStr">
        <is>
          <t>VÄRMLANDS LÄN</t>
        </is>
      </c>
      <c r="E2785" t="inlineStr">
        <is>
          <t>TORSBY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46239-2024</t>
        </is>
      </c>
      <c r="B2786" s="1" t="n">
        <v>45581</v>
      </c>
      <c r="C2786" s="1" t="n">
        <v>45640</v>
      </c>
      <c r="D2786" t="inlineStr">
        <is>
          <t>VÄRMLANDS LÄN</t>
        </is>
      </c>
      <c r="E2786" t="inlineStr">
        <is>
          <t>TORSBY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46152-2024</t>
        </is>
      </c>
      <c r="B2787" s="1" t="n">
        <v>45581</v>
      </c>
      <c r="C2787" s="1" t="n">
        <v>45640</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46166-2024</t>
        </is>
      </c>
      <c r="B2788" s="1" t="n">
        <v>45581</v>
      </c>
      <c r="C2788" s="1" t="n">
        <v>45640</v>
      </c>
      <c r="D2788" t="inlineStr">
        <is>
          <t>VÄRMLANDS LÄN</t>
        </is>
      </c>
      <c r="E2788" t="inlineStr">
        <is>
          <t>TORSBY</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46471-2024</t>
        </is>
      </c>
      <c r="B2789" s="1" t="n">
        <v>45582</v>
      </c>
      <c r="C2789" s="1" t="n">
        <v>45640</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46503-2024</t>
        </is>
      </c>
      <c r="B2790" s="1" t="n">
        <v>45582</v>
      </c>
      <c r="C2790" s="1" t="n">
        <v>45640</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46456-2024</t>
        </is>
      </c>
      <c r="B2791" s="1" t="n">
        <v>45582</v>
      </c>
      <c r="C2791" s="1" t="n">
        <v>45640</v>
      </c>
      <c r="D2791" t="inlineStr">
        <is>
          <t>VÄRMLANDS LÄN</t>
        </is>
      </c>
      <c r="E2791" t="inlineStr">
        <is>
          <t>TORSBY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46343-2024</t>
        </is>
      </c>
      <c r="B2792" s="1" t="n">
        <v>45582</v>
      </c>
      <c r="C2792" s="1" t="n">
        <v>45640</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46914-2024</t>
        </is>
      </c>
      <c r="B2793" s="1" t="n">
        <v>45583</v>
      </c>
      <c r="C2793" s="1" t="n">
        <v>45640</v>
      </c>
      <c r="D2793" t="inlineStr">
        <is>
          <t>VÄRMLANDS LÄN</t>
        </is>
      </c>
      <c r="E2793" t="inlineStr">
        <is>
          <t>TORSBY</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46698-2024</t>
        </is>
      </c>
      <c r="B2794" s="1" t="n">
        <v>45583</v>
      </c>
      <c r="C2794" s="1" t="n">
        <v>45640</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46909-2024</t>
        </is>
      </c>
      <c r="B2795" s="1" t="n">
        <v>45583</v>
      </c>
      <c r="C2795" s="1" t="n">
        <v>45640</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46917-2024</t>
        </is>
      </c>
      <c r="B2796" s="1" t="n">
        <v>45583</v>
      </c>
      <c r="C2796" s="1" t="n">
        <v>45640</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46912-2024</t>
        </is>
      </c>
      <c r="B2797" s="1" t="n">
        <v>45583</v>
      </c>
      <c r="C2797" s="1" t="n">
        <v>45640</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46915-2024</t>
        </is>
      </c>
      <c r="B2798" s="1" t="n">
        <v>45583</v>
      </c>
      <c r="C2798" s="1" t="n">
        <v>45640</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47005-2024</t>
        </is>
      </c>
      <c r="B2799" s="1" t="n">
        <v>45586</v>
      </c>
      <c r="C2799" s="1" t="n">
        <v>45640</v>
      </c>
      <c r="D2799" t="inlineStr">
        <is>
          <t>VÄRMLANDS LÄN</t>
        </is>
      </c>
      <c r="E2799" t="inlineStr">
        <is>
          <t>TORSBY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47006-2024</t>
        </is>
      </c>
      <c r="B2800" s="1" t="n">
        <v>45586</v>
      </c>
      <c r="C2800" s="1" t="n">
        <v>45640</v>
      </c>
      <c r="D2800" t="inlineStr">
        <is>
          <t>VÄRMLANDS LÄN</t>
        </is>
      </c>
      <c r="E2800" t="inlineStr">
        <is>
          <t>TORSBY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47553-2024</t>
        </is>
      </c>
      <c r="B2801" s="1" t="n">
        <v>45587</v>
      </c>
      <c r="C2801" s="1" t="n">
        <v>45640</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47465-2024</t>
        </is>
      </c>
      <c r="B2802" s="1" t="n">
        <v>45587</v>
      </c>
      <c r="C2802" s="1" t="n">
        <v>45640</v>
      </c>
      <c r="D2802" t="inlineStr">
        <is>
          <t>VÄRMLANDS LÄN</t>
        </is>
      </c>
      <c r="E2802" t="inlineStr">
        <is>
          <t>TORSBY</t>
        </is>
      </c>
      <c r="F2802" t="inlineStr">
        <is>
          <t>Övriga Aktiebolag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47316-2024</t>
        </is>
      </c>
      <c r="B2803" s="1" t="n">
        <v>45587</v>
      </c>
      <c r="C2803" s="1" t="n">
        <v>45640</v>
      </c>
      <c r="D2803" t="inlineStr">
        <is>
          <t>VÄRMLANDS LÄN</t>
        </is>
      </c>
      <c r="E2803" t="inlineStr">
        <is>
          <t>TORSBY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47452-2024</t>
        </is>
      </c>
      <c r="B2804" s="1" t="n">
        <v>45587</v>
      </c>
      <c r="C2804" s="1" t="n">
        <v>45640</v>
      </c>
      <c r="D2804" t="inlineStr">
        <is>
          <t>VÄRMLANDS LÄN</t>
        </is>
      </c>
      <c r="E2804" t="inlineStr">
        <is>
          <t>TORSBY</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47755-2024</t>
        </is>
      </c>
      <c r="B2805" s="1" t="n">
        <v>45588</v>
      </c>
      <c r="C2805" s="1" t="n">
        <v>45640</v>
      </c>
      <c r="D2805" t="inlineStr">
        <is>
          <t>VÄRMLANDS LÄN</t>
        </is>
      </c>
      <c r="E2805" t="inlineStr">
        <is>
          <t>TORSBY</t>
        </is>
      </c>
      <c r="F2805" t="inlineStr">
        <is>
          <t>Bergvik skog väst AB</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47651-2024</t>
        </is>
      </c>
      <c r="B2806" s="1" t="n">
        <v>45588</v>
      </c>
      <c r="C2806" s="1" t="n">
        <v>45640</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47619-2024</t>
        </is>
      </c>
      <c r="B2807" s="1" t="n">
        <v>45588</v>
      </c>
      <c r="C2807" s="1" t="n">
        <v>45640</v>
      </c>
      <c r="D2807" t="inlineStr">
        <is>
          <t>VÄRMLANDS LÄN</t>
        </is>
      </c>
      <c r="E2807" t="inlineStr">
        <is>
          <t>TORSBY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47835-2024</t>
        </is>
      </c>
      <c r="B2808" s="1" t="n">
        <v>45588</v>
      </c>
      <c r="C2808" s="1" t="n">
        <v>45640</v>
      </c>
      <c r="D2808" t="inlineStr">
        <is>
          <t>VÄRMLANDS LÄN</t>
        </is>
      </c>
      <c r="E2808" t="inlineStr">
        <is>
          <t>TORSBY</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47839-2024</t>
        </is>
      </c>
      <c r="B2809" s="1" t="n">
        <v>45588</v>
      </c>
      <c r="C2809" s="1" t="n">
        <v>45640</v>
      </c>
      <c r="D2809" t="inlineStr">
        <is>
          <t>VÄRMLANDS LÄN</t>
        </is>
      </c>
      <c r="E2809" t="inlineStr">
        <is>
          <t>TORSBY</t>
        </is>
      </c>
      <c r="F2809" t="inlineStr">
        <is>
          <t>Bergvik skog väst AB</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47863-2024</t>
        </is>
      </c>
      <c r="B2810" s="1" t="n">
        <v>45588</v>
      </c>
      <c r="C2810" s="1" t="n">
        <v>45640</v>
      </c>
      <c r="D2810" t="inlineStr">
        <is>
          <t>VÄRMLANDS LÄN</t>
        </is>
      </c>
      <c r="E2810" t="inlineStr">
        <is>
          <t>TORSBY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48185-2024</t>
        </is>
      </c>
      <c r="B2811" s="1" t="n">
        <v>45589</v>
      </c>
      <c r="C2811" s="1" t="n">
        <v>45640</v>
      </c>
      <c r="D2811" t="inlineStr">
        <is>
          <t>VÄRMLANDS LÄN</t>
        </is>
      </c>
      <c r="E2811" t="inlineStr">
        <is>
          <t>TORSBY</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48160-2024</t>
        </is>
      </c>
      <c r="B2812" s="1" t="n">
        <v>45589</v>
      </c>
      <c r="C2812" s="1" t="n">
        <v>45640</v>
      </c>
      <c r="D2812" t="inlineStr">
        <is>
          <t>VÄRMLANDS LÄN</t>
        </is>
      </c>
      <c r="E2812" t="inlineStr">
        <is>
          <t>TORSBY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48305-2024</t>
        </is>
      </c>
      <c r="B2813" s="1" t="n">
        <v>45590</v>
      </c>
      <c r="C2813" s="1" t="n">
        <v>45640</v>
      </c>
      <c r="D2813" t="inlineStr">
        <is>
          <t>VÄRMLANDS LÄN</t>
        </is>
      </c>
      <c r="E2813" t="inlineStr">
        <is>
          <t>TORSBY</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48253-2024</t>
        </is>
      </c>
      <c r="B2814" s="1" t="n">
        <v>45590</v>
      </c>
      <c r="C2814" s="1" t="n">
        <v>45640</v>
      </c>
      <c r="D2814" t="inlineStr">
        <is>
          <t>VÄRMLANDS LÄN</t>
        </is>
      </c>
      <c r="E2814" t="inlineStr">
        <is>
          <t>TORSBY</t>
        </is>
      </c>
      <c r="F2814" t="inlineStr">
        <is>
          <t>Bergvik skog väst AB</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48629-2024</t>
        </is>
      </c>
      <c r="B2815" s="1" t="n">
        <v>45593</v>
      </c>
      <c r="C2815" s="1" t="n">
        <v>45640</v>
      </c>
      <c r="D2815" t="inlineStr">
        <is>
          <t>VÄRMLANDS LÄN</t>
        </is>
      </c>
      <c r="E2815" t="inlineStr">
        <is>
          <t>TORSBY</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48540-2024</t>
        </is>
      </c>
      <c r="B2816" s="1" t="n">
        <v>45593</v>
      </c>
      <c r="C2816" s="1" t="n">
        <v>45640</v>
      </c>
      <c r="D2816" t="inlineStr">
        <is>
          <t>VÄRMLANDS LÄN</t>
        </is>
      </c>
      <c r="E2816" t="inlineStr">
        <is>
          <t>TORSBY</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48721-2024</t>
        </is>
      </c>
      <c r="B2817" s="1" t="n">
        <v>45593</v>
      </c>
      <c r="C2817" s="1" t="n">
        <v>45640</v>
      </c>
      <c r="D2817" t="inlineStr">
        <is>
          <t>VÄRMLANDS LÄN</t>
        </is>
      </c>
      <c r="E2817" t="inlineStr">
        <is>
          <t>TORSBY</t>
        </is>
      </c>
      <c r="F2817" t="inlineStr">
        <is>
          <t>Bergvik skog väst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48840-2024</t>
        </is>
      </c>
      <c r="B2818" s="1" t="n">
        <v>45593</v>
      </c>
      <c r="C2818" s="1" t="n">
        <v>45640</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48627-2024</t>
        </is>
      </c>
      <c r="B2819" s="1" t="n">
        <v>45593</v>
      </c>
      <c r="C2819" s="1" t="n">
        <v>45640</v>
      </c>
      <c r="D2819" t="inlineStr">
        <is>
          <t>VÄRMLANDS LÄN</t>
        </is>
      </c>
      <c r="E2819" t="inlineStr">
        <is>
          <t>TORSBY</t>
        </is>
      </c>
      <c r="F2819" t="inlineStr">
        <is>
          <t>Bergvik skog väst AB</t>
        </is>
      </c>
      <c r="G2819" t="n">
        <v>42.6</v>
      </c>
      <c r="H2819" t="n">
        <v>0</v>
      </c>
      <c r="I2819" t="n">
        <v>0</v>
      </c>
      <c r="J2819" t="n">
        <v>0</v>
      </c>
      <c r="K2819" t="n">
        <v>0</v>
      </c>
      <c r="L2819" t="n">
        <v>0</v>
      </c>
      <c r="M2819" t="n">
        <v>0</v>
      </c>
      <c r="N2819" t="n">
        <v>0</v>
      </c>
      <c r="O2819" t="n">
        <v>0</v>
      </c>
      <c r="P2819" t="n">
        <v>0</v>
      </c>
      <c r="Q2819" t="n">
        <v>0</v>
      </c>
      <c r="R2819" s="2" t="inlineStr"/>
    </row>
    <row r="2820" ht="15" customHeight="1">
      <c r="A2820" t="inlineStr">
        <is>
          <t>A 48558-2024</t>
        </is>
      </c>
      <c r="B2820" s="1" t="n">
        <v>45593</v>
      </c>
      <c r="C2820" s="1" t="n">
        <v>45640</v>
      </c>
      <c r="D2820" t="inlineStr">
        <is>
          <t>VÄRMLANDS LÄN</t>
        </is>
      </c>
      <c r="E2820" t="inlineStr">
        <is>
          <t>TORSBY</t>
        </is>
      </c>
      <c r="F2820" t="inlineStr">
        <is>
          <t>Bergvik skog väst AB</t>
        </is>
      </c>
      <c r="G2820" t="n">
        <v>14.2</v>
      </c>
      <c r="H2820" t="n">
        <v>0</v>
      </c>
      <c r="I2820" t="n">
        <v>0</v>
      </c>
      <c r="J2820" t="n">
        <v>0</v>
      </c>
      <c r="K2820" t="n">
        <v>0</v>
      </c>
      <c r="L2820" t="n">
        <v>0</v>
      </c>
      <c r="M2820" t="n">
        <v>0</v>
      </c>
      <c r="N2820" t="n">
        <v>0</v>
      </c>
      <c r="O2820" t="n">
        <v>0</v>
      </c>
      <c r="P2820" t="n">
        <v>0</v>
      </c>
      <c r="Q2820" t="n">
        <v>0</v>
      </c>
      <c r="R2820" s="2" t="inlineStr"/>
    </row>
    <row r="2821" ht="15" customHeight="1">
      <c r="A2821" t="inlineStr">
        <is>
          <t>A 48874-2024</t>
        </is>
      </c>
      <c r="B2821" s="1" t="n">
        <v>45594</v>
      </c>
      <c r="C2821" s="1" t="n">
        <v>45640</v>
      </c>
      <c r="D2821" t="inlineStr">
        <is>
          <t>VÄRMLANDS LÄN</t>
        </is>
      </c>
      <c r="E2821" t="inlineStr">
        <is>
          <t>TORSBY</t>
        </is>
      </c>
      <c r="F2821" t="inlineStr">
        <is>
          <t>Bergvik skog väst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48963-2024</t>
        </is>
      </c>
      <c r="B2822" s="1" t="n">
        <v>45594</v>
      </c>
      <c r="C2822" s="1" t="n">
        <v>45640</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48903-2024</t>
        </is>
      </c>
      <c r="B2823" s="1" t="n">
        <v>45594</v>
      </c>
      <c r="C2823" s="1" t="n">
        <v>45640</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49163-2024</t>
        </is>
      </c>
      <c r="B2824" s="1" t="n">
        <v>45594</v>
      </c>
      <c r="C2824" s="1" t="n">
        <v>45640</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49195-2024</t>
        </is>
      </c>
      <c r="B2825" s="1" t="n">
        <v>45595</v>
      </c>
      <c r="C2825" s="1" t="n">
        <v>45640</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49383-2024</t>
        </is>
      </c>
      <c r="B2826" s="1" t="n">
        <v>45595</v>
      </c>
      <c r="C2826" s="1" t="n">
        <v>45640</v>
      </c>
      <c r="D2826" t="inlineStr">
        <is>
          <t>VÄRMLANDS LÄN</t>
        </is>
      </c>
      <c r="E2826" t="inlineStr">
        <is>
          <t>TORSBY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49298-2024</t>
        </is>
      </c>
      <c r="B2827" s="1" t="n">
        <v>45595</v>
      </c>
      <c r="C2827" s="1" t="n">
        <v>45640</v>
      </c>
      <c r="D2827" t="inlineStr">
        <is>
          <t>VÄRMLANDS LÄN</t>
        </is>
      </c>
      <c r="E2827" t="inlineStr">
        <is>
          <t>TORSBY</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49524-2024</t>
        </is>
      </c>
      <c r="B2828" s="1" t="n">
        <v>45596</v>
      </c>
      <c r="C2828" s="1" t="n">
        <v>45640</v>
      </c>
      <c r="D2828" t="inlineStr">
        <is>
          <t>VÄRMLANDS LÄN</t>
        </is>
      </c>
      <c r="E2828" t="inlineStr">
        <is>
          <t>TORSBY</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49912-2024</t>
        </is>
      </c>
      <c r="B2829" s="1" t="n">
        <v>45597</v>
      </c>
      <c r="C2829" s="1" t="n">
        <v>45640</v>
      </c>
      <c r="D2829" t="inlineStr">
        <is>
          <t>VÄRMLANDS LÄN</t>
        </is>
      </c>
      <c r="E2829" t="inlineStr">
        <is>
          <t>TORSBY</t>
        </is>
      </c>
      <c r="F2829" t="inlineStr">
        <is>
          <t>Bergvik skog väst AB</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49845-2024</t>
        </is>
      </c>
      <c r="B2830" s="1" t="n">
        <v>45597</v>
      </c>
      <c r="C2830" s="1" t="n">
        <v>45640</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49936-2024</t>
        </is>
      </c>
      <c r="B2831" s="1" t="n">
        <v>45597</v>
      </c>
      <c r="C2831" s="1" t="n">
        <v>45640</v>
      </c>
      <c r="D2831" t="inlineStr">
        <is>
          <t>VÄRMLANDS LÄN</t>
        </is>
      </c>
      <c r="E2831" t="inlineStr">
        <is>
          <t>TORSBY</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49840-2024</t>
        </is>
      </c>
      <c r="B2832" s="1" t="n">
        <v>45597</v>
      </c>
      <c r="C2832" s="1" t="n">
        <v>45640</v>
      </c>
      <c r="D2832" t="inlineStr">
        <is>
          <t>VÄRMLANDS LÄN</t>
        </is>
      </c>
      <c r="E2832" t="inlineStr">
        <is>
          <t>TORSBY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50147-2024</t>
        </is>
      </c>
      <c r="B2833" s="1" t="n">
        <v>45600</v>
      </c>
      <c r="C2833" s="1" t="n">
        <v>45640</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50235-2024</t>
        </is>
      </c>
      <c r="B2834" s="1" t="n">
        <v>45600</v>
      </c>
      <c r="C2834" s="1" t="n">
        <v>45640</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50318-2024</t>
        </is>
      </c>
      <c r="B2835" s="1" t="n">
        <v>45600</v>
      </c>
      <c r="C2835" s="1" t="n">
        <v>45640</v>
      </c>
      <c r="D2835" t="inlineStr">
        <is>
          <t>VÄRMLANDS LÄN</t>
        </is>
      </c>
      <c r="E2835" t="inlineStr">
        <is>
          <t>TORSBY</t>
        </is>
      </c>
      <c r="F2835" t="inlineStr">
        <is>
          <t>Bergvik skog väst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50568-2024</t>
        </is>
      </c>
      <c r="B2836" s="1" t="n">
        <v>45601</v>
      </c>
      <c r="C2836" s="1" t="n">
        <v>45640</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50386-2024</t>
        </is>
      </c>
      <c r="B2837" s="1" t="n">
        <v>45601</v>
      </c>
      <c r="C2837" s="1" t="n">
        <v>45640</v>
      </c>
      <c r="D2837" t="inlineStr">
        <is>
          <t>VÄRMLANDS LÄN</t>
        </is>
      </c>
      <c r="E2837" t="inlineStr">
        <is>
          <t>TORSBY</t>
        </is>
      </c>
      <c r="F2837" t="inlineStr">
        <is>
          <t>Övriga Aktiebolag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50373-2024</t>
        </is>
      </c>
      <c r="B2838" s="1" t="n">
        <v>45601</v>
      </c>
      <c r="C2838" s="1" t="n">
        <v>45640</v>
      </c>
      <c r="D2838" t="inlineStr">
        <is>
          <t>VÄRMLANDS LÄN</t>
        </is>
      </c>
      <c r="E2838" t="inlineStr">
        <is>
          <t>TORSBY</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50372-2024</t>
        </is>
      </c>
      <c r="B2839" s="1" t="n">
        <v>45601</v>
      </c>
      <c r="C2839" s="1" t="n">
        <v>45640</v>
      </c>
      <c r="D2839" t="inlineStr">
        <is>
          <t>VÄRMLANDS LÄN</t>
        </is>
      </c>
      <c r="E2839" t="inlineStr">
        <is>
          <t>TORSBY</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50376-2024</t>
        </is>
      </c>
      <c r="B2840" s="1" t="n">
        <v>45601</v>
      </c>
      <c r="C2840" s="1" t="n">
        <v>45640</v>
      </c>
      <c r="D2840" t="inlineStr">
        <is>
          <t>VÄRMLANDS LÄN</t>
        </is>
      </c>
      <c r="E2840" t="inlineStr">
        <is>
          <t>TORSBY</t>
        </is>
      </c>
      <c r="F2840" t="inlineStr">
        <is>
          <t>Övriga Aktiebolag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50380-2024</t>
        </is>
      </c>
      <c r="B2841" s="1" t="n">
        <v>45601</v>
      </c>
      <c r="C2841" s="1" t="n">
        <v>45640</v>
      </c>
      <c r="D2841" t="inlineStr">
        <is>
          <t>VÄRMLANDS LÄN</t>
        </is>
      </c>
      <c r="E2841" t="inlineStr">
        <is>
          <t>TORSBY</t>
        </is>
      </c>
      <c r="F2841" t="inlineStr">
        <is>
          <t>Bergvik skog väst AB</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50494-2024</t>
        </is>
      </c>
      <c r="B2842" s="1" t="n">
        <v>45601</v>
      </c>
      <c r="C2842" s="1" t="n">
        <v>45640</v>
      </c>
      <c r="D2842" t="inlineStr">
        <is>
          <t>VÄRMLANDS LÄN</t>
        </is>
      </c>
      <c r="E2842" t="inlineStr">
        <is>
          <t>TORSBY</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50832-2024</t>
        </is>
      </c>
      <c r="B2843" s="1" t="n">
        <v>45602</v>
      </c>
      <c r="C2843" s="1" t="n">
        <v>45640</v>
      </c>
      <c r="D2843" t="inlineStr">
        <is>
          <t>VÄRMLANDS LÄN</t>
        </is>
      </c>
      <c r="E2843" t="inlineStr">
        <is>
          <t>TORSBY</t>
        </is>
      </c>
      <c r="F2843" t="inlineStr">
        <is>
          <t>Bergvik skog väst AB</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51271-2024</t>
        </is>
      </c>
      <c r="B2844" s="1" t="n">
        <v>45603</v>
      </c>
      <c r="C2844" s="1" t="n">
        <v>45640</v>
      </c>
      <c r="D2844" t="inlineStr">
        <is>
          <t>VÄRMLANDS LÄN</t>
        </is>
      </c>
      <c r="E2844" t="inlineStr">
        <is>
          <t>TORSBY</t>
        </is>
      </c>
      <c r="F2844" t="inlineStr">
        <is>
          <t>Bergvik skog väst AB</t>
        </is>
      </c>
      <c r="G2844" t="n">
        <v>22.5</v>
      </c>
      <c r="H2844" t="n">
        <v>0</v>
      </c>
      <c r="I2844" t="n">
        <v>0</v>
      </c>
      <c r="J2844" t="n">
        <v>0</v>
      </c>
      <c r="K2844" t="n">
        <v>0</v>
      </c>
      <c r="L2844" t="n">
        <v>0</v>
      </c>
      <c r="M2844" t="n">
        <v>0</v>
      </c>
      <c r="N2844" t="n">
        <v>0</v>
      </c>
      <c r="O2844" t="n">
        <v>0</v>
      </c>
      <c r="P2844" t="n">
        <v>0</v>
      </c>
      <c r="Q2844" t="n">
        <v>0</v>
      </c>
      <c r="R2844" s="2" t="inlineStr"/>
    </row>
    <row r="2845" ht="15" customHeight="1">
      <c r="A2845" t="inlineStr">
        <is>
          <t>A 51369-2024</t>
        </is>
      </c>
      <c r="B2845" s="1" t="n">
        <v>45604</v>
      </c>
      <c r="C2845" s="1" t="n">
        <v>45640</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51469-2024</t>
        </is>
      </c>
      <c r="B2846" s="1" t="n">
        <v>45604</v>
      </c>
      <c r="C2846" s="1" t="n">
        <v>45640</v>
      </c>
      <c r="D2846" t="inlineStr">
        <is>
          <t>VÄRMLANDS LÄN</t>
        </is>
      </c>
      <c r="E2846" t="inlineStr">
        <is>
          <t>TORSBY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45640</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51662-2024</t>
        </is>
      </c>
      <c r="B2848" s="1" t="n">
        <v>45606</v>
      </c>
      <c r="C2848" s="1" t="n">
        <v>45640</v>
      </c>
      <c r="D2848" t="inlineStr">
        <is>
          <t>VÄRMLANDS LÄN</t>
        </is>
      </c>
      <c r="E2848" t="inlineStr">
        <is>
          <t>TORSBY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51663-2024</t>
        </is>
      </c>
      <c r="B2849" s="1" t="n">
        <v>45606</v>
      </c>
      <c r="C2849" s="1" t="n">
        <v>45640</v>
      </c>
      <c r="D2849" t="inlineStr">
        <is>
          <t>VÄRMLANDS LÄN</t>
        </is>
      </c>
      <c r="E2849" t="inlineStr">
        <is>
          <t>TORSBY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51660-2024</t>
        </is>
      </c>
      <c r="B2850" s="1" t="n">
        <v>45606</v>
      </c>
      <c r="C2850" s="1" t="n">
        <v>45640</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45640</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51836-2024</t>
        </is>
      </c>
      <c r="B2852" s="1" t="n">
        <v>45607</v>
      </c>
      <c r="C2852" s="1" t="n">
        <v>45640</v>
      </c>
      <c r="D2852" t="inlineStr">
        <is>
          <t>VÄRMLANDS LÄN</t>
        </is>
      </c>
      <c r="E2852" t="inlineStr">
        <is>
          <t>TORSBY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45640</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51785-2024</t>
        </is>
      </c>
      <c r="B2854" s="1" t="n">
        <v>45607</v>
      </c>
      <c r="C2854" s="1" t="n">
        <v>45640</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52223-2024</t>
        </is>
      </c>
      <c r="B2855" s="1" t="n">
        <v>45608</v>
      </c>
      <c r="C2855" s="1" t="n">
        <v>45640</v>
      </c>
      <c r="D2855" t="inlineStr">
        <is>
          <t>VÄRMLANDS LÄN</t>
        </is>
      </c>
      <c r="E2855" t="inlineStr">
        <is>
          <t>TORSBY</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52239-2024</t>
        </is>
      </c>
      <c r="B2856" s="1" t="n">
        <v>45608</v>
      </c>
      <c r="C2856" s="1" t="n">
        <v>45640</v>
      </c>
      <c r="D2856" t="inlineStr">
        <is>
          <t>VÄRMLANDS LÄN</t>
        </is>
      </c>
      <c r="E2856" t="inlineStr">
        <is>
          <t>TORSBY</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52257-2024</t>
        </is>
      </c>
      <c r="B2857" s="1" t="n">
        <v>45608</v>
      </c>
      <c r="C2857" s="1" t="n">
        <v>45640</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45640</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52062-2024</t>
        </is>
      </c>
      <c r="B2859" s="1" t="n">
        <v>45608</v>
      </c>
      <c r="C2859" s="1" t="n">
        <v>45640</v>
      </c>
      <c r="D2859" t="inlineStr">
        <is>
          <t>VÄRMLANDS LÄN</t>
        </is>
      </c>
      <c r="E2859" t="inlineStr">
        <is>
          <t>TORSBY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52262-2024</t>
        </is>
      </c>
      <c r="B2860" s="1" t="n">
        <v>45608</v>
      </c>
      <c r="C2860" s="1" t="n">
        <v>45640</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52051-2024</t>
        </is>
      </c>
      <c r="B2861" s="1" t="n">
        <v>45608</v>
      </c>
      <c r="C2861" s="1" t="n">
        <v>45640</v>
      </c>
      <c r="D2861" t="inlineStr">
        <is>
          <t>VÄRMLANDS LÄN</t>
        </is>
      </c>
      <c r="E2861" t="inlineStr">
        <is>
          <t>TORSBY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52057-2024</t>
        </is>
      </c>
      <c r="B2862" s="1" t="n">
        <v>45608</v>
      </c>
      <c r="C2862" s="1" t="n">
        <v>45640</v>
      </c>
      <c r="D2862" t="inlineStr">
        <is>
          <t>VÄRMLANDS LÄN</t>
        </is>
      </c>
      <c r="E2862" t="inlineStr">
        <is>
          <t>TORSBY</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45640</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52386-2024</t>
        </is>
      </c>
      <c r="B2864" s="1" t="n">
        <v>45609</v>
      </c>
      <c r="C2864" s="1" t="n">
        <v>45640</v>
      </c>
      <c r="D2864" t="inlineStr">
        <is>
          <t>VÄRMLANDS LÄN</t>
        </is>
      </c>
      <c r="E2864" t="inlineStr">
        <is>
          <t>TORSBY</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45640</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52592-2024</t>
        </is>
      </c>
      <c r="B2866" s="1" t="n">
        <v>45609</v>
      </c>
      <c r="C2866" s="1" t="n">
        <v>45640</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52581-2024</t>
        </is>
      </c>
      <c r="B2867" s="1" t="n">
        <v>45609</v>
      </c>
      <c r="C2867" s="1" t="n">
        <v>45640</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45640</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45640</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52689-2024</t>
        </is>
      </c>
      <c r="B2870" s="1" t="n">
        <v>45610</v>
      </c>
      <c r="C2870" s="1" t="n">
        <v>45640</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45640</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45640</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45640</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45640</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52949-2024</t>
        </is>
      </c>
      <c r="B2875" s="1" t="n">
        <v>45610</v>
      </c>
      <c r="C2875" s="1" t="n">
        <v>45640</v>
      </c>
      <c r="D2875" t="inlineStr">
        <is>
          <t>VÄRMLANDS LÄN</t>
        </is>
      </c>
      <c r="E2875" t="inlineStr">
        <is>
          <t>TORSBY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52957-2024</t>
        </is>
      </c>
      <c r="B2876" s="1" t="n">
        <v>45610</v>
      </c>
      <c r="C2876" s="1" t="n">
        <v>45640</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45640</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52750-2024</t>
        </is>
      </c>
      <c r="B2878" s="1" t="n">
        <v>45610</v>
      </c>
      <c r="C2878" s="1" t="n">
        <v>45640</v>
      </c>
      <c r="D2878" t="inlineStr">
        <is>
          <t>VÄRMLANDS LÄN</t>
        </is>
      </c>
      <c r="E2878" t="inlineStr">
        <is>
          <t>TORSBY</t>
        </is>
      </c>
      <c r="F2878" t="inlineStr">
        <is>
          <t>Kyrkan</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53025-2024</t>
        </is>
      </c>
      <c r="B2879" s="1" t="n">
        <v>45611</v>
      </c>
      <c r="C2879" s="1" t="n">
        <v>45640</v>
      </c>
      <c r="D2879" t="inlineStr">
        <is>
          <t>VÄRMLANDS LÄN</t>
        </is>
      </c>
      <c r="E2879" t="inlineStr">
        <is>
          <t>TORSBY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53035-2024</t>
        </is>
      </c>
      <c r="B2880" s="1" t="n">
        <v>45611</v>
      </c>
      <c r="C2880" s="1" t="n">
        <v>45640</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53099-2024</t>
        </is>
      </c>
      <c r="B2881" s="1" t="n">
        <v>45611</v>
      </c>
      <c r="C2881" s="1" t="n">
        <v>45640</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53460-2024</t>
        </is>
      </c>
      <c r="B2882" s="1" t="n">
        <v>45611</v>
      </c>
      <c r="C2882" s="1" t="n">
        <v>45640</v>
      </c>
      <c r="D2882" t="inlineStr">
        <is>
          <t>VÄRMLANDS LÄN</t>
        </is>
      </c>
      <c r="E2882" t="inlineStr">
        <is>
          <t>TORSBY</t>
        </is>
      </c>
      <c r="G2882" t="n">
        <v>12.7</v>
      </c>
      <c r="H2882" t="n">
        <v>0</v>
      </c>
      <c r="I2882" t="n">
        <v>0</v>
      </c>
      <c r="J2882" t="n">
        <v>0</v>
      </c>
      <c r="K2882" t="n">
        <v>0</v>
      </c>
      <c r="L2882" t="n">
        <v>0</v>
      </c>
      <c r="M2882" t="n">
        <v>0</v>
      </c>
      <c r="N2882" t="n">
        <v>0</v>
      </c>
      <c r="O2882" t="n">
        <v>0</v>
      </c>
      <c r="P2882" t="n">
        <v>0</v>
      </c>
      <c r="Q2882" t="n">
        <v>0</v>
      </c>
      <c r="R2882" s="2" t="inlineStr"/>
    </row>
    <row r="2883" ht="15" customHeight="1">
      <c r="A2883" t="inlineStr">
        <is>
          <t>A 53038-2024</t>
        </is>
      </c>
      <c r="B2883" s="1" t="n">
        <v>45611</v>
      </c>
      <c r="C2883" s="1" t="n">
        <v>45640</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53044-2024</t>
        </is>
      </c>
      <c r="B2884" s="1" t="n">
        <v>45611</v>
      </c>
      <c r="C2884" s="1" t="n">
        <v>45640</v>
      </c>
      <c r="D2884" t="inlineStr">
        <is>
          <t>VÄRMLANDS LÄN</t>
        </is>
      </c>
      <c r="E2884" t="inlineStr">
        <is>
          <t>TORSBY</t>
        </is>
      </c>
      <c r="F2884" t="inlineStr">
        <is>
          <t>Kyrkan</t>
        </is>
      </c>
      <c r="G2884" t="n">
        <v>25.8</v>
      </c>
      <c r="H2884" t="n">
        <v>0</v>
      </c>
      <c r="I2884" t="n">
        <v>0</v>
      </c>
      <c r="J2884" t="n">
        <v>0</v>
      </c>
      <c r="K2884" t="n">
        <v>0</v>
      </c>
      <c r="L2884" t="n">
        <v>0</v>
      </c>
      <c r="M2884" t="n">
        <v>0</v>
      </c>
      <c r="N2884" t="n">
        <v>0</v>
      </c>
      <c r="O2884" t="n">
        <v>0</v>
      </c>
      <c r="P2884" t="n">
        <v>0</v>
      </c>
      <c r="Q2884" t="n">
        <v>0</v>
      </c>
      <c r="R2884" s="2" t="inlineStr"/>
    </row>
    <row r="2885" ht="15" customHeight="1">
      <c r="A2885" t="inlineStr">
        <is>
          <t>A 53146-2024</t>
        </is>
      </c>
      <c r="B2885" s="1" t="n">
        <v>45611</v>
      </c>
      <c r="C2885" s="1" t="n">
        <v>45640</v>
      </c>
      <c r="D2885" t="inlineStr">
        <is>
          <t>VÄRMLANDS LÄN</t>
        </is>
      </c>
      <c r="E2885" t="inlineStr">
        <is>
          <t>TORSBY</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53211-2024</t>
        </is>
      </c>
      <c r="B2886" s="1" t="n">
        <v>45612</v>
      </c>
      <c r="C2886" s="1" t="n">
        <v>45640</v>
      </c>
      <c r="D2886" t="inlineStr">
        <is>
          <t>VÄRMLANDS LÄN</t>
        </is>
      </c>
      <c r="E2886" t="inlineStr">
        <is>
          <t>TORSBY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53297-2024</t>
        </is>
      </c>
      <c r="B2887" s="1" t="n">
        <v>45614</v>
      </c>
      <c r="C2887" s="1" t="n">
        <v>45640</v>
      </c>
      <c r="D2887" t="inlineStr">
        <is>
          <t>VÄRMLANDS LÄN</t>
        </is>
      </c>
      <c r="E2887" t="inlineStr">
        <is>
          <t>TORSBY</t>
        </is>
      </c>
      <c r="F2887" t="inlineStr">
        <is>
          <t>Bergvik skog väst AB</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53253-2024</t>
        </is>
      </c>
      <c r="B2888" s="1" t="n">
        <v>45614</v>
      </c>
      <c r="C2888" s="1" t="n">
        <v>45640</v>
      </c>
      <c r="D2888" t="inlineStr">
        <is>
          <t>VÄRMLANDS LÄN</t>
        </is>
      </c>
      <c r="E2888" t="inlineStr">
        <is>
          <t>TORSBY</t>
        </is>
      </c>
      <c r="F2888" t="inlineStr">
        <is>
          <t>Bergvik skog väst AB</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53331-2024</t>
        </is>
      </c>
      <c r="B2889" s="1" t="n">
        <v>45614</v>
      </c>
      <c r="C2889" s="1" t="n">
        <v>45640</v>
      </c>
      <c r="D2889" t="inlineStr">
        <is>
          <t>VÄRMLANDS LÄN</t>
        </is>
      </c>
      <c r="E2889" t="inlineStr">
        <is>
          <t>TORSBY</t>
        </is>
      </c>
      <c r="F2889" t="inlineStr">
        <is>
          <t>Bergvik skog väst AB</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53358-2024</t>
        </is>
      </c>
      <c r="B2890" s="1" t="n">
        <v>45614</v>
      </c>
      <c r="C2890" s="1" t="n">
        <v>45640</v>
      </c>
      <c r="D2890" t="inlineStr">
        <is>
          <t>VÄRMLANDS LÄN</t>
        </is>
      </c>
      <c r="E2890" t="inlineStr">
        <is>
          <t>TORSBY</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53368-2024</t>
        </is>
      </c>
      <c r="B2891" s="1" t="n">
        <v>45614</v>
      </c>
      <c r="C2891" s="1" t="n">
        <v>45640</v>
      </c>
      <c r="D2891" t="inlineStr">
        <is>
          <t>VÄRMLANDS LÄN</t>
        </is>
      </c>
      <c r="E2891" t="inlineStr">
        <is>
          <t>TORSBY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53506-2024</t>
        </is>
      </c>
      <c r="B2892" s="1" t="n">
        <v>45614</v>
      </c>
      <c r="C2892" s="1" t="n">
        <v>45640</v>
      </c>
      <c r="D2892" t="inlineStr">
        <is>
          <t>VÄRMLANDS LÄN</t>
        </is>
      </c>
      <c r="E2892" t="inlineStr">
        <is>
          <t>TORSBY</t>
        </is>
      </c>
      <c r="F2892" t="inlineStr">
        <is>
          <t>Bergvik skog väst AB</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53396-2024</t>
        </is>
      </c>
      <c r="B2893" s="1" t="n">
        <v>45614</v>
      </c>
      <c r="C2893" s="1" t="n">
        <v>45640</v>
      </c>
      <c r="D2893" t="inlineStr">
        <is>
          <t>VÄRMLANDS LÄN</t>
        </is>
      </c>
      <c r="E2893" t="inlineStr">
        <is>
          <t>TORSBY</t>
        </is>
      </c>
      <c r="F2893" t="inlineStr">
        <is>
          <t>Bergvik skog väst AB</t>
        </is>
      </c>
      <c r="G2893" t="n">
        <v>10.1</v>
      </c>
      <c r="H2893" t="n">
        <v>0</v>
      </c>
      <c r="I2893" t="n">
        <v>0</v>
      </c>
      <c r="J2893" t="n">
        <v>0</v>
      </c>
      <c r="K2893" t="n">
        <v>0</v>
      </c>
      <c r="L2893" t="n">
        <v>0</v>
      </c>
      <c r="M2893" t="n">
        <v>0</v>
      </c>
      <c r="N2893" t="n">
        <v>0</v>
      </c>
      <c r="O2893" t="n">
        <v>0</v>
      </c>
      <c r="P2893" t="n">
        <v>0</v>
      </c>
      <c r="Q2893" t="n">
        <v>0</v>
      </c>
      <c r="R2893" s="2" t="inlineStr"/>
    </row>
    <row r="2894" ht="15" customHeight="1">
      <c r="A2894" t="inlineStr">
        <is>
          <t>A 53593-2024</t>
        </is>
      </c>
      <c r="B2894" s="1" t="n">
        <v>45614</v>
      </c>
      <c r="C2894" s="1" t="n">
        <v>45640</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45640</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45640</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45640</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53627-2024</t>
        </is>
      </c>
      <c r="B2898" s="1" t="n">
        <v>45614</v>
      </c>
      <c r="C2898" s="1" t="n">
        <v>45640</v>
      </c>
      <c r="D2898" t="inlineStr">
        <is>
          <t>VÄRMLANDS LÄN</t>
        </is>
      </c>
      <c r="E2898" t="inlineStr">
        <is>
          <t>TORSBY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53667-2024</t>
        </is>
      </c>
      <c r="B2899" s="1" t="n">
        <v>45615</v>
      </c>
      <c r="C2899" s="1" t="n">
        <v>45640</v>
      </c>
      <c r="D2899" t="inlineStr">
        <is>
          <t>VÄRMLANDS LÄN</t>
        </is>
      </c>
      <c r="E2899" t="inlineStr">
        <is>
          <t>TORSBY</t>
        </is>
      </c>
      <c r="F2899" t="inlineStr">
        <is>
          <t>Bergvik skog väst AB</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45640</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45640</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54006-2024</t>
        </is>
      </c>
      <c r="B2902" s="1" t="n">
        <v>45616</v>
      </c>
      <c r="C2902" s="1" t="n">
        <v>45640</v>
      </c>
      <c r="D2902" t="inlineStr">
        <is>
          <t>VÄRMLANDS LÄN</t>
        </is>
      </c>
      <c r="E2902" t="inlineStr">
        <is>
          <t>TORSBY</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54014-2024</t>
        </is>
      </c>
      <c r="B2903" s="1" t="n">
        <v>45616</v>
      </c>
      <c r="C2903" s="1" t="n">
        <v>45640</v>
      </c>
      <c r="D2903" t="inlineStr">
        <is>
          <t>VÄRMLANDS LÄN</t>
        </is>
      </c>
      <c r="E2903" t="inlineStr">
        <is>
          <t>TORSBY</t>
        </is>
      </c>
      <c r="F2903" t="inlineStr">
        <is>
          <t>Kommuner</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54027-2024</t>
        </is>
      </c>
      <c r="B2904" s="1" t="n">
        <v>45616</v>
      </c>
      <c r="C2904" s="1" t="n">
        <v>45640</v>
      </c>
      <c r="D2904" t="inlineStr">
        <is>
          <t>VÄRMLANDS LÄN</t>
        </is>
      </c>
      <c r="E2904" t="inlineStr">
        <is>
          <t>TORSBY</t>
        </is>
      </c>
      <c r="F2904" t="inlineStr">
        <is>
          <t>Bergvik skog väst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45640</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54004-2024</t>
        </is>
      </c>
      <c r="B2906" s="1" t="n">
        <v>45616</v>
      </c>
      <c r="C2906" s="1" t="n">
        <v>45640</v>
      </c>
      <c r="D2906" t="inlineStr">
        <is>
          <t>VÄRMLANDS LÄN</t>
        </is>
      </c>
      <c r="E2906" t="inlineStr">
        <is>
          <t>TORSBY</t>
        </is>
      </c>
      <c r="F2906" t="inlineStr">
        <is>
          <t>Kommuner</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54011-2024</t>
        </is>
      </c>
      <c r="B2907" s="1" t="n">
        <v>45616</v>
      </c>
      <c r="C2907" s="1" t="n">
        <v>45640</v>
      </c>
      <c r="D2907" t="inlineStr">
        <is>
          <t>VÄRMLANDS LÄN</t>
        </is>
      </c>
      <c r="E2907" t="inlineStr">
        <is>
          <t>TORSBY</t>
        </is>
      </c>
      <c r="F2907" t="inlineStr">
        <is>
          <t>Kommuner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54026-2024</t>
        </is>
      </c>
      <c r="B2908" s="1" t="n">
        <v>45616</v>
      </c>
      <c r="C2908" s="1" t="n">
        <v>45640</v>
      </c>
      <c r="D2908" t="inlineStr">
        <is>
          <t>VÄRMLANDS LÄN</t>
        </is>
      </c>
      <c r="E2908" t="inlineStr">
        <is>
          <t>TORSBY</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45640</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54265-2024</t>
        </is>
      </c>
      <c r="B2910" s="1" t="n">
        <v>45616</v>
      </c>
      <c r="C2910" s="1" t="n">
        <v>45640</v>
      </c>
      <c r="D2910" t="inlineStr">
        <is>
          <t>VÄRMLANDS LÄN</t>
        </is>
      </c>
      <c r="E2910" t="inlineStr">
        <is>
          <t>TORSBY</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54306-2024</t>
        </is>
      </c>
      <c r="B2911" s="1" t="n">
        <v>45617</v>
      </c>
      <c r="C2911" s="1" t="n">
        <v>45640</v>
      </c>
      <c r="D2911" t="inlineStr">
        <is>
          <t>VÄRMLANDS LÄN</t>
        </is>
      </c>
      <c r="E2911" t="inlineStr">
        <is>
          <t>TORSBY</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54489-2024</t>
        </is>
      </c>
      <c r="B2912" s="1" t="n">
        <v>45617</v>
      </c>
      <c r="C2912" s="1" t="n">
        <v>45640</v>
      </c>
      <c r="D2912" t="inlineStr">
        <is>
          <t>VÄRMLANDS LÄN</t>
        </is>
      </c>
      <c r="E2912" t="inlineStr">
        <is>
          <t>TORSBY</t>
        </is>
      </c>
      <c r="F2912" t="inlineStr">
        <is>
          <t>Bergvik skog väst AB</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54328-2024</t>
        </is>
      </c>
      <c r="B2913" s="1" t="n">
        <v>45617</v>
      </c>
      <c r="C2913" s="1" t="n">
        <v>45640</v>
      </c>
      <c r="D2913" t="inlineStr">
        <is>
          <t>VÄRMLANDS LÄN</t>
        </is>
      </c>
      <c r="E2913" t="inlineStr">
        <is>
          <t>TORSBY</t>
        </is>
      </c>
      <c r="F2913" t="inlineStr">
        <is>
          <t>Bergvik skog väst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54618-2024</t>
        </is>
      </c>
      <c r="B2914" s="1" t="n">
        <v>45617</v>
      </c>
      <c r="C2914" s="1" t="n">
        <v>45640</v>
      </c>
      <c r="D2914" t="inlineStr">
        <is>
          <t>VÄRMLANDS LÄN</t>
        </is>
      </c>
      <c r="E2914" t="inlineStr">
        <is>
          <t>TORSBY</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54374-2024</t>
        </is>
      </c>
      <c r="B2915" s="1" t="n">
        <v>45617</v>
      </c>
      <c r="C2915" s="1" t="n">
        <v>45640</v>
      </c>
      <c r="D2915" t="inlineStr">
        <is>
          <t>VÄRMLANDS LÄN</t>
        </is>
      </c>
      <c r="E2915" t="inlineStr">
        <is>
          <t>TORSBY</t>
        </is>
      </c>
      <c r="F2915" t="inlineStr">
        <is>
          <t>Bergvik skog väst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54609-2024</t>
        </is>
      </c>
      <c r="B2916" s="1" t="n">
        <v>45617</v>
      </c>
      <c r="C2916" s="1" t="n">
        <v>45640</v>
      </c>
      <c r="D2916" t="inlineStr">
        <is>
          <t>VÄRMLANDS LÄN</t>
        </is>
      </c>
      <c r="E2916" t="inlineStr">
        <is>
          <t>TORSBY</t>
        </is>
      </c>
      <c r="F2916" t="inlineStr">
        <is>
          <t>Kommuner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45640</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54664-2024</t>
        </is>
      </c>
      <c r="B2918" s="1" t="n">
        <v>45618</v>
      </c>
      <c r="C2918" s="1" t="n">
        <v>45640</v>
      </c>
      <c r="D2918" t="inlineStr">
        <is>
          <t>VÄRMLANDS LÄN</t>
        </is>
      </c>
      <c r="E2918" t="inlineStr">
        <is>
          <t>TORSBY</t>
        </is>
      </c>
      <c r="F2918" t="inlineStr">
        <is>
          <t>Bergvik skog väst AB</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54790-2024</t>
        </is>
      </c>
      <c r="B2919" s="1" t="n">
        <v>45618</v>
      </c>
      <c r="C2919" s="1" t="n">
        <v>45640</v>
      </c>
      <c r="D2919" t="inlineStr">
        <is>
          <t>VÄRMLANDS LÄN</t>
        </is>
      </c>
      <c r="E2919" t="inlineStr">
        <is>
          <t>TORSBY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54796-2024</t>
        </is>
      </c>
      <c r="B2920" s="1" t="n">
        <v>45618</v>
      </c>
      <c r="C2920" s="1" t="n">
        <v>45640</v>
      </c>
      <c r="D2920" t="inlineStr">
        <is>
          <t>VÄRMLANDS LÄN</t>
        </is>
      </c>
      <c r="E2920" t="inlineStr">
        <is>
          <t>TORSBY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45640</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54813-2024</t>
        </is>
      </c>
      <c r="B2922" s="1" t="n">
        <v>45618</v>
      </c>
      <c r="C2922" s="1" t="n">
        <v>45640</v>
      </c>
      <c r="D2922" t="inlineStr">
        <is>
          <t>VÄRMLANDS LÄN</t>
        </is>
      </c>
      <c r="E2922" t="inlineStr">
        <is>
          <t>TORSBY</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55036-2024</t>
        </is>
      </c>
      <c r="B2923" s="1" t="n">
        <v>45621</v>
      </c>
      <c r="C2923" s="1" t="n">
        <v>45640</v>
      </c>
      <c r="D2923" t="inlineStr">
        <is>
          <t>VÄRMLANDS LÄN</t>
        </is>
      </c>
      <c r="E2923" t="inlineStr">
        <is>
          <t>TORSBY</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55072-2024</t>
        </is>
      </c>
      <c r="B2924" s="1" t="n">
        <v>45621</v>
      </c>
      <c r="C2924" s="1" t="n">
        <v>45640</v>
      </c>
      <c r="D2924" t="inlineStr">
        <is>
          <t>VÄRMLANDS LÄN</t>
        </is>
      </c>
      <c r="E2924" t="inlineStr">
        <is>
          <t>TORSBY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55386-2024</t>
        </is>
      </c>
      <c r="B2925" s="1" t="n">
        <v>45622</v>
      </c>
      <c r="C2925" s="1" t="n">
        <v>45640</v>
      </c>
      <c r="D2925" t="inlineStr">
        <is>
          <t>VÄRMLANDS LÄN</t>
        </is>
      </c>
      <c r="E2925" t="inlineStr">
        <is>
          <t>TORSBY</t>
        </is>
      </c>
      <c r="F2925" t="inlineStr">
        <is>
          <t>Bergvik skog väst AB</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45640</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45640</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45640</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55808-2024</t>
        </is>
      </c>
      <c r="B2929" s="1" t="n">
        <v>45622</v>
      </c>
      <c r="C2929" s="1" t="n">
        <v>45640</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55750-2024</t>
        </is>
      </c>
      <c r="B2930" s="1" t="n">
        <v>45623</v>
      </c>
      <c r="C2930" s="1" t="n">
        <v>45640</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55814-2024</t>
        </is>
      </c>
      <c r="B2931" s="1" t="n">
        <v>45623</v>
      </c>
      <c r="C2931" s="1" t="n">
        <v>45640</v>
      </c>
      <c r="D2931" t="inlineStr">
        <is>
          <t>VÄRMLANDS LÄN</t>
        </is>
      </c>
      <c r="E2931" t="inlineStr">
        <is>
          <t>TORSBY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55837-2024</t>
        </is>
      </c>
      <c r="B2932" s="1" t="n">
        <v>45623</v>
      </c>
      <c r="C2932" s="1" t="n">
        <v>45640</v>
      </c>
      <c r="D2932" t="inlineStr">
        <is>
          <t>VÄRMLANDS LÄN</t>
        </is>
      </c>
      <c r="E2932" t="inlineStr">
        <is>
          <t>TORSBY</t>
        </is>
      </c>
      <c r="F2932" t="inlineStr">
        <is>
          <t>Kommuner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55842-2024</t>
        </is>
      </c>
      <c r="B2933" s="1" t="n">
        <v>45623</v>
      </c>
      <c r="C2933" s="1" t="n">
        <v>45640</v>
      </c>
      <c r="D2933" t="inlineStr">
        <is>
          <t>VÄRMLANDS LÄN</t>
        </is>
      </c>
      <c r="E2933" t="inlineStr">
        <is>
          <t>TORSBY</t>
        </is>
      </c>
      <c r="F2933" t="inlineStr">
        <is>
          <t>Kommuner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55987-2024</t>
        </is>
      </c>
      <c r="B2934" s="1" t="n">
        <v>45623</v>
      </c>
      <c r="C2934" s="1" t="n">
        <v>45640</v>
      </c>
      <c r="D2934" t="inlineStr">
        <is>
          <t>VÄRMLANDS LÄN</t>
        </is>
      </c>
      <c r="E2934" t="inlineStr">
        <is>
          <t>TORSBY</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55836-2024</t>
        </is>
      </c>
      <c r="B2935" s="1" t="n">
        <v>45623</v>
      </c>
      <c r="C2935" s="1" t="n">
        <v>45640</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55845-2024</t>
        </is>
      </c>
      <c r="B2936" s="1" t="n">
        <v>45623</v>
      </c>
      <c r="C2936" s="1" t="n">
        <v>45640</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55834-2024</t>
        </is>
      </c>
      <c r="B2937" s="1" t="n">
        <v>45623</v>
      </c>
      <c r="C2937" s="1" t="n">
        <v>45640</v>
      </c>
      <c r="D2937" t="inlineStr">
        <is>
          <t>VÄRMLANDS LÄN</t>
        </is>
      </c>
      <c r="E2937" t="inlineStr">
        <is>
          <t>TORSBY</t>
        </is>
      </c>
      <c r="F2937" t="inlineStr">
        <is>
          <t>Kommuner</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55839-2024</t>
        </is>
      </c>
      <c r="B2938" s="1" t="n">
        <v>45623</v>
      </c>
      <c r="C2938" s="1" t="n">
        <v>45640</v>
      </c>
      <c r="D2938" t="inlineStr">
        <is>
          <t>VÄRMLANDS LÄN</t>
        </is>
      </c>
      <c r="E2938" t="inlineStr">
        <is>
          <t>TORSBY</t>
        </is>
      </c>
      <c r="F2938" t="inlineStr">
        <is>
          <t>Kommuner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56056-2024</t>
        </is>
      </c>
      <c r="B2939" s="1" t="n">
        <v>45624</v>
      </c>
      <c r="C2939" s="1" t="n">
        <v>45640</v>
      </c>
      <c r="D2939" t="inlineStr">
        <is>
          <t>VÄRMLANDS LÄN</t>
        </is>
      </c>
      <c r="E2939" t="inlineStr">
        <is>
          <t>TORSBY</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56098-2024</t>
        </is>
      </c>
      <c r="B2940" s="1" t="n">
        <v>45624</v>
      </c>
      <c r="C2940" s="1" t="n">
        <v>45640</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45640</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56107-2024</t>
        </is>
      </c>
      <c r="B2942" s="1" t="n">
        <v>45624</v>
      </c>
      <c r="C2942" s="1" t="n">
        <v>45640</v>
      </c>
      <c r="D2942" t="inlineStr">
        <is>
          <t>VÄRMLANDS LÄN</t>
        </is>
      </c>
      <c r="E2942" t="inlineStr">
        <is>
          <t>TORSBY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45640</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45640</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56509-2024</t>
        </is>
      </c>
      <c r="B2945" s="1" t="n">
        <v>45625</v>
      </c>
      <c r="C2945" s="1" t="n">
        <v>45640</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56534-2024</t>
        </is>
      </c>
      <c r="B2946" s="1" t="n">
        <v>45625</v>
      </c>
      <c r="C2946" s="1" t="n">
        <v>45640</v>
      </c>
      <c r="D2946" t="inlineStr">
        <is>
          <t>VÄRMLANDS LÄN</t>
        </is>
      </c>
      <c r="E2946" t="inlineStr">
        <is>
          <t>TORSBY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56571-2024</t>
        </is>
      </c>
      <c r="B2947" s="1" t="n">
        <v>45625</v>
      </c>
      <c r="C2947" s="1" t="n">
        <v>45640</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45640</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56630-2024</t>
        </is>
      </c>
      <c r="B2949" s="1" t="n">
        <v>45625</v>
      </c>
      <c r="C2949" s="1" t="n">
        <v>45640</v>
      </c>
      <c r="D2949" t="inlineStr">
        <is>
          <t>VÄRMLANDS LÄN</t>
        </is>
      </c>
      <c r="E2949" t="inlineStr">
        <is>
          <t>TORSBY</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56634-2024</t>
        </is>
      </c>
      <c r="B2950" s="1" t="n">
        <v>45625</v>
      </c>
      <c r="C2950" s="1" t="n">
        <v>45640</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45640</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56808-2024</t>
        </is>
      </c>
      <c r="B2952" s="1" t="n">
        <v>45628</v>
      </c>
      <c r="C2952" s="1" t="n">
        <v>45640</v>
      </c>
      <c r="D2952" t="inlineStr">
        <is>
          <t>VÄRMLANDS LÄN</t>
        </is>
      </c>
      <c r="E2952" t="inlineStr">
        <is>
          <t>TORSBY</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45640</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57190-2024</t>
        </is>
      </c>
      <c r="B2954" s="1" t="n">
        <v>45629</v>
      </c>
      <c r="C2954" s="1" t="n">
        <v>45640</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57502-2024</t>
        </is>
      </c>
      <c r="B2955" s="1" t="n">
        <v>45630</v>
      </c>
      <c r="C2955" s="1" t="n">
        <v>45640</v>
      </c>
      <c r="D2955" t="inlineStr">
        <is>
          <t>VÄRMLANDS LÄN</t>
        </is>
      </c>
      <c r="E2955" t="inlineStr">
        <is>
          <t>TORSBY</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57532-2024</t>
        </is>
      </c>
      <c r="B2956" s="1" t="n">
        <v>45630</v>
      </c>
      <c r="C2956" s="1" t="n">
        <v>45640</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57536-2024</t>
        </is>
      </c>
      <c r="B2957" s="1" t="n">
        <v>45630</v>
      </c>
      <c r="C2957" s="1" t="n">
        <v>45640</v>
      </c>
      <c r="D2957" t="inlineStr">
        <is>
          <t>VÄRMLANDS LÄN</t>
        </is>
      </c>
      <c r="E2957" t="inlineStr">
        <is>
          <t>TORSBY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57662-2024</t>
        </is>
      </c>
      <c r="B2958" s="1" t="n">
        <v>45630</v>
      </c>
      <c r="C2958" s="1" t="n">
        <v>45640</v>
      </c>
      <c r="D2958" t="inlineStr">
        <is>
          <t>VÄRMLANDS LÄN</t>
        </is>
      </c>
      <c r="E2958" t="inlineStr">
        <is>
          <t>TORSBY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57709-2024</t>
        </is>
      </c>
      <c r="B2959" s="1" t="n">
        <v>45630</v>
      </c>
      <c r="C2959" s="1" t="n">
        <v>45640</v>
      </c>
      <c r="D2959" t="inlineStr">
        <is>
          <t>VÄRMLANDS LÄN</t>
        </is>
      </c>
      <c r="E2959" t="inlineStr">
        <is>
          <t>TORSBY</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57725-2024</t>
        </is>
      </c>
      <c r="B2960" s="1" t="n">
        <v>45630</v>
      </c>
      <c r="C2960" s="1" t="n">
        <v>45640</v>
      </c>
      <c r="D2960" t="inlineStr">
        <is>
          <t>VÄRMLANDS LÄN</t>
        </is>
      </c>
      <c r="E2960" t="inlineStr">
        <is>
          <t>TORSBY</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45640</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45640</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57722-2024</t>
        </is>
      </c>
      <c r="B2963" s="1" t="n">
        <v>45630</v>
      </c>
      <c r="C2963" s="1" t="n">
        <v>45640</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57545-2024</t>
        </is>
      </c>
      <c r="B2964" s="1" t="n">
        <v>45630</v>
      </c>
      <c r="C2964" s="1" t="n">
        <v>45640</v>
      </c>
      <c r="D2964" t="inlineStr">
        <is>
          <t>VÄRMLANDS LÄN</t>
        </is>
      </c>
      <c r="E2964" t="inlineStr">
        <is>
          <t>TORSBY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57723-2024</t>
        </is>
      </c>
      <c r="B2965" s="1" t="n">
        <v>45630</v>
      </c>
      <c r="C2965" s="1" t="n">
        <v>45640</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57774-2024</t>
        </is>
      </c>
      <c r="B2966" s="1" t="n">
        <v>45630</v>
      </c>
      <c r="C2966" s="1" t="n">
        <v>45640</v>
      </c>
      <c r="D2966" t="inlineStr">
        <is>
          <t>VÄRMLANDS LÄN</t>
        </is>
      </c>
      <c r="E2966" t="inlineStr">
        <is>
          <t>TORSBY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57785-2024</t>
        </is>
      </c>
      <c r="B2967" s="1" t="n">
        <v>45631</v>
      </c>
      <c r="C2967" s="1" t="n">
        <v>45640</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57809-2024</t>
        </is>
      </c>
      <c r="B2968" s="1" t="n">
        <v>45631</v>
      </c>
      <c r="C2968" s="1" t="n">
        <v>45640</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58051-2024</t>
        </is>
      </c>
      <c r="B2969" s="1" t="n">
        <v>45631</v>
      </c>
      <c r="C2969" s="1" t="n">
        <v>45640</v>
      </c>
      <c r="D2969" t="inlineStr">
        <is>
          <t>VÄRMLANDS LÄN</t>
        </is>
      </c>
      <c r="E2969" t="inlineStr">
        <is>
          <t>TORSBY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58023-2024</t>
        </is>
      </c>
      <c r="B2970" s="1" t="n">
        <v>45631</v>
      </c>
      <c r="C2970" s="1" t="n">
        <v>45640</v>
      </c>
      <c r="D2970" t="inlineStr">
        <is>
          <t>VÄRMLANDS LÄN</t>
        </is>
      </c>
      <c r="E2970" t="inlineStr">
        <is>
          <t>TORSBY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58033-2024</t>
        </is>
      </c>
      <c r="B2971" s="1" t="n">
        <v>45631</v>
      </c>
      <c r="C2971" s="1" t="n">
        <v>45640</v>
      </c>
      <c r="D2971" t="inlineStr">
        <is>
          <t>VÄRMLANDS LÄN</t>
        </is>
      </c>
      <c r="E2971" t="inlineStr">
        <is>
          <t>TORSBY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45640</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58304-2024</t>
        </is>
      </c>
      <c r="B2973" s="1" t="n">
        <v>45632</v>
      </c>
      <c r="C2973" s="1" t="n">
        <v>45640</v>
      </c>
      <c r="D2973" t="inlineStr">
        <is>
          <t>VÄRMLANDS LÄN</t>
        </is>
      </c>
      <c r="E2973" t="inlineStr">
        <is>
          <t>TORSBY</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58255-2024</t>
        </is>
      </c>
      <c r="B2974" s="1" t="n">
        <v>45632</v>
      </c>
      <c r="C2974" s="1" t="n">
        <v>45640</v>
      </c>
      <c r="D2974" t="inlineStr">
        <is>
          <t>VÄRMLANDS LÄN</t>
        </is>
      </c>
      <c r="E2974" t="inlineStr">
        <is>
          <t>TORSBY</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58259-2024</t>
        </is>
      </c>
      <c r="B2975" s="1" t="n">
        <v>45632</v>
      </c>
      <c r="C2975" s="1" t="n">
        <v>45640</v>
      </c>
      <c r="D2975" t="inlineStr">
        <is>
          <t>VÄRMLANDS LÄN</t>
        </is>
      </c>
      <c r="E2975" t="inlineStr">
        <is>
          <t>TORSBY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58288-2024</t>
        </is>
      </c>
      <c r="B2976" s="1" t="n">
        <v>45632</v>
      </c>
      <c r="C2976" s="1" t="n">
        <v>45640</v>
      </c>
      <c r="D2976" t="inlineStr">
        <is>
          <t>VÄRMLANDS LÄN</t>
        </is>
      </c>
      <c r="E2976" t="inlineStr">
        <is>
          <t>TORSBY</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58707-2024</t>
        </is>
      </c>
      <c r="B2977" s="1" t="n">
        <v>45635</v>
      </c>
      <c r="C2977" s="1" t="n">
        <v>45640</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58786-2024</t>
        </is>
      </c>
      <c r="B2978" s="1" t="n">
        <v>45635</v>
      </c>
      <c r="C2978" s="1" t="n">
        <v>45640</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58976-2024</t>
        </is>
      </c>
      <c r="B2979" s="1" t="n">
        <v>45636</v>
      </c>
      <c r="C2979" s="1" t="n">
        <v>45640</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58945-2024</t>
        </is>
      </c>
      <c r="B2980" s="1" t="n">
        <v>45636</v>
      </c>
      <c r="C2980" s="1" t="n">
        <v>45640</v>
      </c>
      <c r="D2980" t="inlineStr">
        <is>
          <t>VÄRMLANDS LÄN</t>
        </is>
      </c>
      <c r="E2980" t="inlineStr">
        <is>
          <t>TORSBY</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58948-2024</t>
        </is>
      </c>
      <c r="B2981" s="1" t="n">
        <v>45636</v>
      </c>
      <c r="C2981" s="1" t="n">
        <v>45640</v>
      </c>
      <c r="D2981" t="inlineStr">
        <is>
          <t>VÄRMLANDS LÄN</t>
        </is>
      </c>
      <c r="E2981" t="inlineStr">
        <is>
          <t>TORSBY</t>
        </is>
      </c>
      <c r="F2981" t="inlineStr">
        <is>
          <t>Bergvik skog väst AB</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59005-2024</t>
        </is>
      </c>
      <c r="B2982" s="1" t="n">
        <v>45636</v>
      </c>
      <c r="C2982" s="1" t="n">
        <v>45640</v>
      </c>
      <c r="D2982" t="inlineStr">
        <is>
          <t>VÄRMLANDS LÄN</t>
        </is>
      </c>
      <c r="E2982" t="inlineStr">
        <is>
          <t>TORSBY</t>
        </is>
      </c>
      <c r="G2982" t="n">
        <v>9.6</v>
      </c>
      <c r="H2982" t="n">
        <v>0</v>
      </c>
      <c r="I2982" t="n">
        <v>0</v>
      </c>
      <c r="J2982" t="n">
        <v>0</v>
      </c>
      <c r="K2982" t="n">
        <v>0</v>
      </c>
      <c r="L2982" t="n">
        <v>0</v>
      </c>
      <c r="M2982" t="n">
        <v>0</v>
      </c>
      <c r="N2982" t="n">
        <v>0</v>
      </c>
      <c r="O2982" t="n">
        <v>0</v>
      </c>
      <c r="P2982" t="n">
        <v>0</v>
      </c>
      <c r="Q2982" t="n">
        <v>0</v>
      </c>
      <c r="R2982" s="2" t="inlineStr"/>
    </row>
    <row r="2983" ht="15" customHeight="1">
      <c r="A2983" t="inlineStr">
        <is>
          <t>A 59080-2024</t>
        </is>
      </c>
      <c r="B2983" s="1" t="n">
        <v>45637</v>
      </c>
      <c r="C2983" s="1" t="n">
        <v>45640</v>
      </c>
      <c r="D2983" t="inlineStr">
        <is>
          <t>VÄRMLANDS LÄN</t>
        </is>
      </c>
      <c r="E2983" t="inlineStr">
        <is>
          <t>TORSBY</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59423-2024</t>
        </is>
      </c>
      <c r="B2984" s="1" t="n">
        <v>45638</v>
      </c>
      <c r="C2984" s="1" t="n">
        <v>45640</v>
      </c>
      <c r="D2984" t="inlineStr">
        <is>
          <t>VÄRMLANDS LÄN</t>
        </is>
      </c>
      <c r="E2984" t="inlineStr">
        <is>
          <t>TORSBY</t>
        </is>
      </c>
      <c r="G2984" t="n">
        <v>23.7</v>
      </c>
      <c r="H2984" t="n">
        <v>0</v>
      </c>
      <c r="I2984" t="n">
        <v>0</v>
      </c>
      <c r="J2984" t="n">
        <v>0</v>
      </c>
      <c r="K2984" t="n">
        <v>0</v>
      </c>
      <c r="L2984" t="n">
        <v>0</v>
      </c>
      <c r="M2984" t="n">
        <v>0</v>
      </c>
      <c r="N2984" t="n">
        <v>0</v>
      </c>
      <c r="O2984" t="n">
        <v>0</v>
      </c>
      <c r="P2984" t="n">
        <v>0</v>
      </c>
      <c r="Q2984" t="n">
        <v>0</v>
      </c>
      <c r="R2984" s="2" t="inlineStr"/>
    </row>
    <row r="2985" ht="15" customHeight="1">
      <c r="A2985" t="inlineStr">
        <is>
          <t>A 59603-2024</t>
        </is>
      </c>
      <c r="B2985" s="1" t="n">
        <v>45638</v>
      </c>
      <c r="C2985" s="1" t="n">
        <v>45640</v>
      </c>
      <c r="D2985" t="inlineStr">
        <is>
          <t>VÄRMLANDS LÄN</t>
        </is>
      </c>
      <c r="E2985" t="inlineStr">
        <is>
          <t>TORSBY</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59428-2024</t>
        </is>
      </c>
      <c r="B2986" s="1" t="n">
        <v>45638</v>
      </c>
      <c r="C2986" s="1" t="n">
        <v>45640</v>
      </c>
      <c r="D2986" t="inlineStr">
        <is>
          <t>VÄRMLANDS LÄN</t>
        </is>
      </c>
      <c r="E2986" t="inlineStr">
        <is>
          <t>TORSBY</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59610-2024</t>
        </is>
      </c>
      <c r="B2987" s="1" t="n">
        <v>45638</v>
      </c>
      <c r="C2987" s="1" t="n">
        <v>45640</v>
      </c>
      <c r="D2987" t="inlineStr">
        <is>
          <t>VÄRMLANDS LÄN</t>
        </is>
      </c>
      <c r="E2987" t="inlineStr">
        <is>
          <t>TORSBY</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59613-2024</t>
        </is>
      </c>
      <c r="B2988" s="1" t="n">
        <v>45638</v>
      </c>
      <c r="C2988" s="1" t="n">
        <v>45640</v>
      </c>
      <c r="D2988" t="inlineStr">
        <is>
          <t>VÄRMLANDS LÄN</t>
        </is>
      </c>
      <c r="E2988" t="inlineStr">
        <is>
          <t>TORSBY</t>
        </is>
      </c>
      <c r="G2988" t="n">
        <v>4.6</v>
      </c>
      <c r="H2988" t="n">
        <v>0</v>
      </c>
      <c r="I2988" t="n">
        <v>0</v>
      </c>
      <c r="J2988" t="n">
        <v>0</v>
      </c>
      <c r="K2988" t="n">
        <v>0</v>
      </c>
      <c r="L2988" t="n">
        <v>0</v>
      </c>
      <c r="M2988" t="n">
        <v>0</v>
      </c>
      <c r="N2988" t="n">
        <v>0</v>
      </c>
      <c r="O2988" t="n">
        <v>0</v>
      </c>
      <c r="P2988" t="n">
        <v>0</v>
      </c>
      <c r="Q2988" t="n">
        <v>0</v>
      </c>
      <c r="R2988" s="2" t="inlineStr"/>
    </row>
    <row r="2989">
      <c r="A2989" t="inlineStr">
        <is>
          <t>A 59780-2024</t>
        </is>
      </c>
      <c r="B2989" s="1" t="n">
        <v>45639</v>
      </c>
      <c r="C2989" s="1" t="n">
        <v>45640</v>
      </c>
      <c r="D2989" t="inlineStr">
        <is>
          <t>VÄRMLANDS LÄN</t>
        </is>
      </c>
      <c r="E2989" t="inlineStr">
        <is>
          <t>TORSBY</t>
        </is>
      </c>
      <c r="G2989" t="n">
        <v>13.1</v>
      </c>
      <c r="H2989" t="n">
        <v>0</v>
      </c>
      <c r="I2989" t="n">
        <v>0</v>
      </c>
      <c r="J2989" t="n">
        <v>0</v>
      </c>
      <c r="K2989" t="n">
        <v>0</v>
      </c>
      <c r="L2989" t="n">
        <v>0</v>
      </c>
      <c r="M2989" t="n">
        <v>0</v>
      </c>
      <c r="N2989" t="n">
        <v>0</v>
      </c>
      <c r="O2989" t="n">
        <v>0</v>
      </c>
      <c r="P2989" t="n">
        <v>0</v>
      </c>
      <c r="Q2989" t="n">
        <v>0</v>
      </c>
      <c r="R2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2024-12-14T15:57:57Z</dcterms:created>
  <dcterms:modified xmlns:dcterms="http://purl.org/dc/terms/" xmlns:xsi="http://www.w3.org/2001/XMLSchema-instance" xsi:type="dcterms:W3CDTF">2024-12-14T15:58:00Z</dcterms:modified>
</cp:coreProperties>
</file>