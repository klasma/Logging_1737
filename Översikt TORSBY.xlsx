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45645</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45645</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45645</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45645</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45645</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45645</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45645</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45645</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45645</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45645</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45645</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45645</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45645</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45645</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45645</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45645</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45645</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45645</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45645</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45645</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45645</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45645</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45645</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45645</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45645</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45645</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45645</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45645</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45645</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45645</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45645</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45645</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45645</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45645</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45645</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45645</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45645</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45645</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45645</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45645</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45645</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45645</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45645</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45645</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45645</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45645</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45645</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45645</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45645</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45645</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45645</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45645</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45645</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45645</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45645</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45645</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45645</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45645</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45645</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45645</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45645</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45645</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45645</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45645</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45645</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45645</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45645</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45645</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45645</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45645</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45645</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45645</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45645</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45645</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45645</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45645</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45645</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45645</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45645</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45645</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45645</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45645</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45645</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45645</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45645</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45645</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45645</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45645</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45645</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45645</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45645</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45645</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45645</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45645</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45645</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45645</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45645</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45645</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45645</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45645</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45645</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45645</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45645</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45645</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45645</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45645</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45645</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45645</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45645</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45645</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45645</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45645</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45645</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45645</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45645</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45645</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45645</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45645</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45645</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45645</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45645</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45645</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45645</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45645</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45645</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45645</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45645</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45645</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45645</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45645</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45645</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45645</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45645</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45645</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45645</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45645</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45645</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45645</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45645</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45645</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45645</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45645</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45645</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45645</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45645</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45645</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45645</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54009-2024</t>
        </is>
      </c>
      <c r="B161" s="1" t="n">
        <v>45616</v>
      </c>
      <c r="C161" s="1" t="n">
        <v>45645</v>
      </c>
      <c r="D161" t="inlineStr">
        <is>
          <t>VÄRMLANDS LÄN</t>
        </is>
      </c>
      <c r="E161" t="inlineStr">
        <is>
          <t>TORSBY</t>
        </is>
      </c>
      <c r="F161" t="inlineStr">
        <is>
          <t>Bergvik skog väst AB</t>
        </is>
      </c>
      <c r="G161" t="n">
        <v>8.800000000000001</v>
      </c>
      <c r="H161" t="n">
        <v>1</v>
      </c>
      <c r="I161" t="n">
        <v>1</v>
      </c>
      <c r="J161" t="n">
        <v>0</v>
      </c>
      <c r="K161" t="n">
        <v>0</v>
      </c>
      <c r="L161" t="n">
        <v>0</v>
      </c>
      <c r="M161" t="n">
        <v>0</v>
      </c>
      <c r="N161" t="n">
        <v>0</v>
      </c>
      <c r="O161" t="n">
        <v>0</v>
      </c>
      <c r="P161" t="n">
        <v>0</v>
      </c>
      <c r="Q161" t="n">
        <v>1</v>
      </c>
      <c r="R161" s="2" t="inlineStr">
        <is>
          <t>Korallrot</t>
        </is>
      </c>
      <c r="S161">
        <f>HYPERLINK("https://klasma.github.io/Logging_1737/artfynd/A 54009-2024 artfynd.xlsx", "A 54009-2024")</f>
        <v/>
      </c>
      <c r="T161">
        <f>HYPERLINK("https://klasma.github.io/Logging_1737/kartor/A 54009-2024 karta.png", "A 54009-2024")</f>
        <v/>
      </c>
      <c r="V161">
        <f>HYPERLINK("https://klasma.github.io/Logging_1737/klagomål/A 54009-2024 FSC-klagomål.docx", "A 54009-2024")</f>
        <v/>
      </c>
      <c r="W161">
        <f>HYPERLINK("https://klasma.github.io/Logging_1737/klagomålsmail/A 54009-2024 FSC-klagomål mail.docx", "A 54009-2024")</f>
        <v/>
      </c>
      <c r="X161">
        <f>HYPERLINK("https://klasma.github.io/Logging_1737/tillsyn/A 54009-2024 tillsynsbegäran.docx", "A 54009-2024")</f>
        <v/>
      </c>
      <c r="Y161">
        <f>HYPERLINK("https://klasma.github.io/Logging_1737/tillsynsmail/A 54009-2024 tillsynsbegäran mail.docx", "A 54009-2024")</f>
        <v/>
      </c>
    </row>
    <row r="162" ht="15" customHeight="1">
      <c r="A162" t="inlineStr">
        <is>
          <t>A 54029-2024</t>
        </is>
      </c>
      <c r="B162" s="1" t="n">
        <v>45616</v>
      </c>
      <c r="C162" s="1" t="n">
        <v>45645</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54788-2024</t>
        </is>
      </c>
      <c r="B163" s="1" t="n">
        <v>45618</v>
      </c>
      <c r="C163" s="1" t="n">
        <v>45645</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54786-2024</t>
        </is>
      </c>
      <c r="B164" s="1" t="n">
        <v>45618</v>
      </c>
      <c r="C164" s="1" t="n">
        <v>45645</v>
      </c>
      <c r="D164" t="inlineStr">
        <is>
          <t>VÄRMLANDS LÄN</t>
        </is>
      </c>
      <c r="E164" t="inlineStr">
        <is>
          <t>TORSBY</t>
        </is>
      </c>
      <c r="G164" t="n">
        <v>3.8</v>
      </c>
      <c r="H164" t="n">
        <v>0</v>
      </c>
      <c r="I164" t="n">
        <v>0</v>
      </c>
      <c r="J164" t="n">
        <v>1</v>
      </c>
      <c r="K164" t="n">
        <v>0</v>
      </c>
      <c r="L164" t="n">
        <v>0</v>
      </c>
      <c r="M164" t="n">
        <v>0</v>
      </c>
      <c r="N164" t="n">
        <v>0</v>
      </c>
      <c r="O164" t="n">
        <v>1</v>
      </c>
      <c r="P164" t="n">
        <v>0</v>
      </c>
      <c r="Q164" t="n">
        <v>1</v>
      </c>
      <c r="R164" s="2" t="inlineStr">
        <is>
          <t>Dvärgbägarlav</t>
        </is>
      </c>
      <c r="S164">
        <f>HYPERLINK("https://klasma.github.io/Logging_1737/artfynd/A 54786-2024 artfynd.xlsx", "A 54786-2024")</f>
        <v/>
      </c>
      <c r="T164">
        <f>HYPERLINK("https://klasma.github.io/Logging_1737/kartor/A 54786-2024 karta.png", "A 54786-2024")</f>
        <v/>
      </c>
      <c r="V164">
        <f>HYPERLINK("https://klasma.github.io/Logging_1737/klagomål/A 54786-2024 FSC-klagomål.docx", "A 54786-2024")</f>
        <v/>
      </c>
      <c r="W164">
        <f>HYPERLINK("https://klasma.github.io/Logging_1737/klagomålsmail/A 54786-2024 FSC-klagomål mail.docx", "A 54786-2024")</f>
        <v/>
      </c>
      <c r="X164">
        <f>HYPERLINK("https://klasma.github.io/Logging_1737/tillsyn/A 54786-2024 tillsynsbegäran.docx", "A 54786-2024")</f>
        <v/>
      </c>
      <c r="Y164">
        <f>HYPERLINK("https://klasma.github.io/Logging_1737/tillsynsmail/A 54786-2024 tillsynsbegäran mail.docx", "A 54786-2024")</f>
        <v/>
      </c>
    </row>
    <row r="165" ht="15" customHeight="1">
      <c r="A165" t="inlineStr">
        <is>
          <t>A 56133-2024</t>
        </is>
      </c>
      <c r="B165" s="1" t="n">
        <v>45624</v>
      </c>
      <c r="C165" s="1" t="n">
        <v>45645</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45645</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45645</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45645</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45645</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45645</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45645</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45645</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45645</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45645</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45645</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45645</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45645</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45645</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45645</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45645</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45645</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45645</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45645</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45645</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45645</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45645</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45645</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45645</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45645</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45645</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45645</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45645</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45645</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45645</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45645</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45645</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45645</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45645</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45645</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45645</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45645</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45645</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45645</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45645</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45645</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45645</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45645</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45645</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45645</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45645</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45645</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45645</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45645</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45645</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45645</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45645</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45645</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45645</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45645</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45645</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45645</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45645</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45645</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45645</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45645</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45645</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45645</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45645</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45645</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45645</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45645</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45645</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45645</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45645</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45645</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45645</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45645</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45645</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45645</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45645</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45645</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45645</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45645</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45645</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45645</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45645</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45645</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45645</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45645</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45645</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45645</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45645</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45645</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45645</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45645</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45645</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45645</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45645</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45645</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45645</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45645</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45645</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45645</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45645</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45645</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45645</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45645</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45645</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45645</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45645</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45645</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45645</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45645</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45645</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45645</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45645</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45645</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45645</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45645</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45645</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45645</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45645</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45645</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45645</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45645</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45645</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45645</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45645</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45645</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45645</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45645</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45645</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45645</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45645</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45645</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45645</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45645</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45645</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45645</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45645</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45645</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45645</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45645</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45645</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45645</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45645</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45645</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45645</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45645</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45645</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45645</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45645</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45645</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45645</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45645</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45645</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45645</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45645</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45645</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45645</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45645</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45645</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45645</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45645</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45645</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45645</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45645</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45645</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45645</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45645</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45645</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45645</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45645</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45645</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45645</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45645</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45645</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45645</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45645</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45645</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45645</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45645</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45645</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45645</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45645</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45645</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45645</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45645</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45645</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45645</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45645</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45645</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45645</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45645</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45645</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45645</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45645</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45645</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45645</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45645</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45645</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45645</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45645</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45645</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45645</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45645</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45645</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45645</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45645</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45645</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45645</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45645</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45645</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45645</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45645</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45645</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45645</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45645</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45645</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45645</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45645</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45645</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45645</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45645</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45645</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45645</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45645</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45645</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45645</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45645</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45645</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45645</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45645</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45645</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45645</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45645</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45645</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45645</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45645</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45645</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45645</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45645</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45645</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45645</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45645</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45645</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45645</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45645</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45645</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45645</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45645</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45645</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45645</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45645</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45645</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45645</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45645</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45645</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45645</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45645</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45645</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45645</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45645</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45645</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45645</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45645</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45645</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45645</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45645</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45645</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45645</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45645</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45645</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45645</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45645</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45645</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45645</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45645</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45645</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45645</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45645</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45645</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45645</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45645</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45645</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45645</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45645</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45645</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45645</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45645</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45645</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45645</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45645</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45645</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45645</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45645</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45645</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45645</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45645</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45645</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45645</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45645</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45645</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45645</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45645</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45645</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45645</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45645</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45645</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45645</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45645</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45645</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45645</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45645</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45645</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45645</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45645</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45645</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45645</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45645</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45645</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45645</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45645</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45645</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45645</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45645</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45645</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45645</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45645</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45645</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45645</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45645</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45645</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45645</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45645</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45645</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45645</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45645</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45645</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45645</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45645</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45645</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45645</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45645</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45645</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45645</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45645</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45645</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45645</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45645</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45645</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45645</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45645</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45645</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45645</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45645</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45645</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45645</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45645</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45645</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45645</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45645</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45645</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45645</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45645</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45645</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45645</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45645</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45645</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45645</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45645</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45645</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45645</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45645</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45645</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45645</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45645</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45645</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45645</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45645</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45645</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45645</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45645</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45645</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45645</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45645</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45645</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45645</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45645</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45645</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45645</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45645</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45645</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45645</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45645</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45645</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45645</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45645</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45645</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45645</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45645</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45645</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45645</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45645</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45645</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45645</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45645</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45645</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45645</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45645</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45645</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45645</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45645</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45645</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45645</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45645</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45645</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45645</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45645</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45645</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45645</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45645</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45645</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45645</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45645</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45645</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45645</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45645</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45645</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45645</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45645</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45645</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45645</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45645</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45645</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45645</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45645</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45645</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45645</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45645</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45645</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45645</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45645</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45645</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45645</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45645</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45645</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45645</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45645</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45645</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45645</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45645</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45645</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45645</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45645</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45645</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45645</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45645</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45645</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45645</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45645</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45645</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45645</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45645</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45645</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45645</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45645</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45645</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45645</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45645</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45645</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45645</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45645</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45645</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45645</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45645</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45645</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45645</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45645</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45645</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45645</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45645</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45645</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45645</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45645</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45645</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45645</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45645</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45645</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45645</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45645</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45645</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45645</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45645</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45645</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45645</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45645</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45645</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45645</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45645</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45645</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45645</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45645</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45645</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45645</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45645</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45645</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45645</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45645</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45645</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45645</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45645</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45645</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45645</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45645</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45645</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45645</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45645</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45645</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45645</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45645</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45645</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45645</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45645</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45645</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45645</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45645</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45645</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45645</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45645</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45645</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45645</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45645</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45645</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45645</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45645</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45645</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45645</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45645</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45645</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45645</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45645</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45645</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45645</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45645</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45645</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45645</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45645</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45645</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45645</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45645</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45645</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45645</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45645</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45645</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45645</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45645</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45645</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45645</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45645</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45645</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45645</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45645</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45645</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45645</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45645</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45645</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45645</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45645</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45645</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45645</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45645</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45645</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45645</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45645</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45645</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45645</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45645</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45645</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45645</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45645</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45645</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45645</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45645</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45645</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45645</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45645</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45645</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45645</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45645</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45645</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45645</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45645</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45645</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45645</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45645</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45645</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45645</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45645</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45645</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45645</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45645</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45645</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45645</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45645</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45645</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45645</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45645</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45645</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45645</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45645</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45645</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45645</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45645</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45645</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45645</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45645</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45645</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45645</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45645</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45645</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45645</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45645</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45645</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45645</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45645</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45645</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45645</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45645</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45645</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45645</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45645</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45645</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45645</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45645</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45645</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45645</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45645</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45645</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45645</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45645</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45645</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45645</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45645</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45645</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45645</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45645</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45645</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45645</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45645</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45645</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45645</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45645</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45645</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45645</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45645</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45645</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45645</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45645</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45645</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45645</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45645</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45645</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45645</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45645</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45645</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45645</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45645</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45645</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45645</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45645</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45645</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45645</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45645</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45645</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45645</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45645</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45645</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45645</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45645</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45645</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45645</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45645</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45645</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45645</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45645</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45645</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45645</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45645</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45645</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45645</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45645</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45645</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45645</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45645</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45645</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45645</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45645</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45645</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45645</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45645</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45645</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45645</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45645</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45645</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45645</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45645</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45645</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45645</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45645</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45645</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45645</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45645</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45645</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45645</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45645</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45645</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45645</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45645</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45645</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45645</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45645</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45645</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45645</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45645</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45645</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45645</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45645</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45645</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45645</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45645</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45645</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45645</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45645</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45645</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45645</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45645</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45645</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45645</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45645</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45645</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45645</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45645</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45645</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45645</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45645</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45645</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45645</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45645</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45645</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45645</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45645</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45645</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45645</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45645</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45645</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45645</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45645</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45645</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45645</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45645</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45645</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45645</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45645</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45645</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45645</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45645</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45645</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45645</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45645</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45645</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45645</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45645</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45645</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45645</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45645</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45645</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45645</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45645</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45645</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45645</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45645</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45645</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45645</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45645</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45645</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45645</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45645</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45645</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45645</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45645</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45645</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45645</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45645</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45645</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45645</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45645</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45645</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45645</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45645</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45645</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45645</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45645</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45645</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45645</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45645</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45645</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45645</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45645</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45645</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45645</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45645</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45645</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45645</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45645</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45645</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45645</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45645</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45645</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45645</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45645</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45645</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45645</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45645</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45645</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45645</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45645</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45645</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45645</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45645</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45645</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45645</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45645</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45645</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45645</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45645</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45645</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45645</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45645</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45645</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45645</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45645</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45645</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45645</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45645</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45645</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45645</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45645</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45645</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45645</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45645</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45645</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45645</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45645</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45645</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45645</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45645</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45645</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45645</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45645</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45645</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45645</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45645</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45645</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45645</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45645</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45645</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45645</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45645</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45645</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45645</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45645</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45645</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45645</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45645</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45645</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45645</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45645</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45645</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45645</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45645</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45645</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45645</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45645</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45645</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45645</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45645</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45645</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45645</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45645</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45645</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45645</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45645</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45645</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45645</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45645</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45645</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45645</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45645</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45645</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45645</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45645</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45645</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45645</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45645</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45645</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45645</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45645</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45645</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45645</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45645</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45645</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45645</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45645</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45645</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45645</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45645</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45645</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45645</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45645</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45645</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45645</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45645</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45645</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45645</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45645</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45645</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45645</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45645</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45645</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45645</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45645</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45645</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45645</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45645</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45645</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45645</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45645</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45645</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45645</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45645</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45645</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45645</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45645</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45645</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45645</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45645</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45645</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45645</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45645</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45645</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45645</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45645</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45645</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45645</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45645</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45645</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45645</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45645</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45645</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45645</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45645</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45645</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45645</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45645</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45645</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45645</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45645</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45645</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45645</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45645</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45645</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45645</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45645</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45645</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45645</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45645</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45645</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45645</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45645</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45645</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45645</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45645</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45645</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45645</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45645</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45645</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45645</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45645</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45645</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45645</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45645</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45645</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45645</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45645</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45645</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45645</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45645</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45645</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45645</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45645</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45645</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45645</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45645</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45645</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45645</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45645</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45645</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45645</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45645</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45645</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45645</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45645</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45645</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45645</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45645</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45645</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45645</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45645</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45645</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45645</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45645</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45645</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45645</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45645</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45645</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45645</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45645</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45645</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45645</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45645</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45645</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45645</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45645</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45645</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45645</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45645</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45645</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45645</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45645</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45645</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45645</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45645</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45645</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45645</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45645</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45645</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45645</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45645</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45645</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45645</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45645</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45645</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45645</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45645</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45645</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45645</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45645</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45645</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45645</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45645</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45645</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45645</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45645</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45645</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45645</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45645</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45645</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45645</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45645</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45645</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45645</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45645</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45645</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45645</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45645</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45645</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45645</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45645</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45645</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45645</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45645</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45645</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45645</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45645</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45645</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45645</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45645</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45645</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45645</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45645</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45645</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45645</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45645</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45645</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45645</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45645</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45645</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45645</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45645</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45645</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45645</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45645</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45645</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45645</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45645</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45645</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45645</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45645</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45645</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45645</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45645</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45645</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45645</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45645</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45645</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45645</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45645</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45645</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45645</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45645</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45645</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45645</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45645</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45645</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45645</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45645</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45645</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45645</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45645</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45645</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45645</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45645</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45645</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45645</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45645</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45645</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45645</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45645</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45645</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45645</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45645</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45645</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45645</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45645</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45645</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45645</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45645</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45645</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45645</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45645</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45645</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45645</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45645</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45645</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45645</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45645</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45645</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45645</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45645</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45645</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45645</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45645</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45645</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45645</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45645</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45645</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45645</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45645</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45645</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45645</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45645</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45645</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45645</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45645</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45645</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45645</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45645</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45645</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45645</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45645</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45645</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45645</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45645</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45645</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45645</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45645</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45645</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45645</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45645</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45645</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45645</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45645</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45645</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45645</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45645</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45645</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45645</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45645</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45645</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45645</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45645</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45645</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45645</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45645</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45645</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45645</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45645</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45645</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45645</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45645</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45645</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45645</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45645</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45645</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45645</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45645</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45645</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45645</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45645</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45645</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45645</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45645</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45645</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45645</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45645</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45645</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45645</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45645</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45645</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45645</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45645</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45645</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45645</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45645</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45645</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45645</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45645</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45645</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45645</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45645</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45645</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45645</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45645</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45645</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45645</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45645</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45645</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45645</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45645</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45645</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45645</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45645</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45645</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45645</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45645</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45645</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45645</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45645</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45645</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45645</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45645</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45645</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45645</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45645</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45645</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45645</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45645</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45645</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45645</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45645</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45645</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45645</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45645</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45645</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45645</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45645</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45645</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45645</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45645</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45645</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45645</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45645</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45645</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45645</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45645</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45645</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45645</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45645</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45645</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45645</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45645</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45645</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45645</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45645</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45645</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45645</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45645</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45645</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45645</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45645</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45645</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45645</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45645</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45645</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45645</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45645</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45645</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45645</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45645</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45645</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45645</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45645</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45645</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45645</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45645</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45645</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45645</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45645</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45645</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45645</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45645</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45645</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45645</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45645</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45645</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45645</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45645</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45645</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45645</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45645</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45645</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45645</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45645</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45645</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45645</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45645</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45645</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45645</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45645</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45645</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45645</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45645</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45645</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45645</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45645</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45645</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45645</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45645</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45645</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45645</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45645</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45645</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45645</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45645</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45645</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45645</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45645</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45645</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45645</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45645</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45645</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45645</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45645</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45645</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45645</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45645</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45645</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45645</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45645</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45645</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45645</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45645</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45645</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45645</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45645</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45645</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45645</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45645</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45645</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45645</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45645</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45645</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45645</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45645</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45645</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45645</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45645</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45645</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45645</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45645</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45645</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45645</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45645</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45645</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45645</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45645</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45645</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45645</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45645</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45645</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45645</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45645</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45645</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45645</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45645</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45645</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45645</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45645</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45645</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45645</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45645</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45645</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45645</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45645</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45645</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45645</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45645</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45645</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45645</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45645</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45645</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45645</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45645</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45645</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45645</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45645</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45645</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45645</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45645</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45645</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45645</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45645</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45645</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45645</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45645</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45645</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45645</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45645</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45645</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45645</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45645</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45645</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45645</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45645</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45645</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45645</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45645</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45645</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45645</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45645</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45645</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45645</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45645</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45645</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45645</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45645</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45645</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45645</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45645</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45645</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45645</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45645</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45645</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45645</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45645</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45645</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45645</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45645</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45645</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45645</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45645</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45645</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45645</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45645</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45645</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45645</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45645</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45645</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45645</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45645</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45645</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45645</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45645</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45645</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45645</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45645</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45645</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45645</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45645</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45645</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45645</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45645</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45645</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45645</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45645</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45645</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45645</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45645</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45645</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45645</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45645</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45645</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45645</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45645</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45645</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45645</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45645</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45645</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45645</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45645</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45645</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45645</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45645</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45645</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45645</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45645</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45645</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45645</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45645</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45645</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45645</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45645</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45645</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45645</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45645</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45645</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45645</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45645</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45645</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45645</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45645</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45645</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45645</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45645</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45645</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45645</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45645</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45645</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45645</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45645</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45645</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45645</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45645</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45645</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45645</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45645</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45645</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45645</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45645</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45645</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45645</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45645</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45645</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45645</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45645</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45645</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45645</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45645</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45645</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45645</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45645</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45645</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45645</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45645</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45645</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45645</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45645</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45645</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45645</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45645</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45645</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45645</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45645</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45645</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45645</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45645</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45645</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45645</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45645</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45645</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45645</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45645</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45645</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45645</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45645</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45645</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45645</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45645</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45645</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45645</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45645</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45645</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45645</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45645</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45645</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45645</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45645</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45645</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45645</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45645</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45645</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45645</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45645</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45645</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45645</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45645</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45645</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45645</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45645</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45645</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45645</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45645</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45645</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45645</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45645</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45645</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45645</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45645</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45645</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45645</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45645</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45645</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45645</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45645</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45645</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45645</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45645</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45645</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45645</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45645</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45645</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45645</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45645</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45645</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45645</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45645</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45645</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45645</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45645</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45645</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45645</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45645</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45645</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45645</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45645</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45645</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45645</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45645</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45645</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45645</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45645</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45645</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45645</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45645</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45645</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45645</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45645</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45645</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45645</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45645</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45645</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45645</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45645</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45645</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45645</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45645</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45645</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45645</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45645</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45645</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45645</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45645</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45645</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45645</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45645</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45645</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45645</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45645</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45645</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45645</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45645</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45645</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45645</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45645</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45645</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45645</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45645</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45645</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45645</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45645</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45645</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45645</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45645</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45645</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45645</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45645</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45645</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45645</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45645</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45645</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45645</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45645</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45645</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45645</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45645</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45645</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45645</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45645</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45645</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45645</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45645</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45645</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45645</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45645</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45645</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45645</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45645</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45645</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45645</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45645</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45645</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45645</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45645</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45645</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45645</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45645</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45645</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45645</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45645</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45645</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45645</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45645</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45645</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45645</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45645</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45645</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45645</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45645</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45645</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45645</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45645</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45645</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45645</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45645</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45645</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45645</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45645</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45645</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45645</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45645</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45645</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45645</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45645</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45645</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45645</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45645</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45645</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45645</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45645</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45645</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45645</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45645</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45645</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45645</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45645</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45645</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45645</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45645</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45645</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45645</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45645</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45645</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45645</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45645</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45645</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45645</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45645</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45645</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45645</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45645</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45645</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45645</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45645</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45645</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45645</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45645</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45645</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45645</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45645</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45645</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45645</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45645</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45645</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45645</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45645</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45645</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45645</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45645</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45645</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45645</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45645</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45645</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45645</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45645</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45645</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45645</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45645</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45645</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45645</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45645</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45645</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45645</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45645</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45645</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45645</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45645</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45645</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45645</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45645</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45645</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45645</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45645</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45645</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45645</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45645</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45645</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45645</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45645</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45645</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45645</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45645</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45645</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45645</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45645</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45645</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45645</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45645</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45645</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45645</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45645</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45645</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45645</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45645</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45645</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45645</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45645</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45645</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45645</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45645</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45645</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45645</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45645</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45645</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45645</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45645</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45645</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45645</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45645</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45645</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45645</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45645</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45645</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45645</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45645</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45645</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45645</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45645</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45645</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45645</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45645</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45645</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45645</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45645</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45645</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45645</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45645</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45645</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45645</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45645</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45645</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45645</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45645</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45645</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45645</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45645</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45645</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45645</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45645</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45645</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45645</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45645</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45645</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45645</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45645</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45645</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45645</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45645</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45645</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45645</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45645</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45645</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45645</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45645</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45645</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45645</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45645</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45645</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45645</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45645</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45645</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45645</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45645</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45645</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45645</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45645</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45645</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45645</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45645</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45645</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45645</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45645</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45645</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45645</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45645</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45645</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45645</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45645</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45645</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45645</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45645</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45645</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45645</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45645</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45645</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45645</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45645</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45645</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45645</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45645</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45645</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45645</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45645</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45645</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45645</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45645</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45645</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45645</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45645</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45645</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45645</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45645</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45645</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45645</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45645</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45645</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45645</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45645</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45645</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45645</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45645</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45645</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45645</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45645</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45645</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45645</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45645</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45645</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45645</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45645</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45645</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45645</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45645</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45645</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45645</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45645</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45645</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45645</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45645</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45645</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45645</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45645</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45645</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45645</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45645</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45645</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45645</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45645</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45645</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45645</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45645</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45645</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45645</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45645</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45645</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45645</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45645</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45645</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45645</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45645</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45645</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45645</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45645</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45645</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45645</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45645</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45645</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45645</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45645</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45645</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45645</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45645</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45645</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45645</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45645</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45645</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45645</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45645</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45645</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45645</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45645</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45645</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45645</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45645</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45645</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45645</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45645</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45645</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45645</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45645</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45645</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45645</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45645</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45645</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45645</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45645</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45645</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45645</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45645</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45645</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45645</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45645</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45645</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45645</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45645</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45645</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45645</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45645</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45645</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45645</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45645</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45645</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45645</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45645</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45645</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45645</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45645</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45645</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45645</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45645</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45645</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45645</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45645</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45645</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45645</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45645</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45645</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45645</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45645</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45645</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45645</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45645</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45645</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45645</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45645</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45645</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45645</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45645</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45645</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45645</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45645</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45645</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45645</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45645</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45645</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45645</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45645</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45645</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45645</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45645</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45645</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45645</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45645</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45645</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45645</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45645</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45645</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45645</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45645</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45645</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45645</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45645</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45645</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45645</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45645</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45645</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45645</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45645</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45645</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45645</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45645</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45645</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45645</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45645</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45645</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45645</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45645</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45645</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45645</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45645</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45645</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45645</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45645</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45645</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45645</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45645</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45645</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45645</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45645</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45645</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45645</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45645</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45645</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45645</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45645</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45645</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45645</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45645</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45645</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45645</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45645</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45645</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45645</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45645</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45645</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45645</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45645</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45645</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45645</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45645</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45645</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45645</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45645</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45645</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45645</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45645</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45645</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45645</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45645</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45645</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45645</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45645</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45645</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45645</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45645</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45645</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45645</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45645</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45645</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45645</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45645</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45645</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45645</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45645</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45645</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45645</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45645</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45645</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45645</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45645</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45645</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45645</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45645</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45645</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45645</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45645</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45645</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45645</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45645</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45645</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45645</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45645</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45645</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45645</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45645</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45645</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45645</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45645</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45645</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45645</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45645</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45645</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45645</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45645</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45645</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45645</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45645</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45645</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45645</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45645</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45645</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45645</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45645</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45645</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45645</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45645</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45645</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45645</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45645</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45645</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45645</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45645</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45645</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45645</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45645</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45645</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45645</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45645</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45645</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45645</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45645</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45645</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45645</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45645</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45645</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45645</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45645</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45645</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45645</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45645</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45645</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45645</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45645</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45645</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45645</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45645</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45645</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45645</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45645</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45645</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45645</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45645</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45645</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45645</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45645</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45645</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45645</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45645</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45645</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45645</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45645</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45645</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45645</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45645</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45645</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45645</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45645</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45645</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45645</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45645</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45645</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45645</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45645</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45645</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45645</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45645</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45645</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45645</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45645</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45645</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45645</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45645</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45645</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45645</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45645</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45645</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45645</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45645</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45645</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45645</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45645</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45645</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45645</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45645</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45645</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45645</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45645</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45645</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45645</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45645</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45645</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45645</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45645</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45645</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45645</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45645</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45645</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45645</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45645</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45645</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45645</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45645</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45645</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45645</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45645</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45645</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45645</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45645</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45645</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45645</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45645</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45645</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45645</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45645</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45645</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45645</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45645</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45645</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45645</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45645</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45645</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45645</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45645</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45645</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45645</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45645</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45645</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45645</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45645</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45645</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45645</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45645</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45645</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45645</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45645</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45645</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45645</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45645</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45645</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45645</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45645</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45645</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45645</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45645</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45645</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45645</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45645</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45645</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45645</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45645</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45645</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45645</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45645</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45645</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45645</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45645</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45645</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45645</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45645</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45645</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45645</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45645</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45645</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45645</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45645</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45645</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45645</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45645</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45645</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45645</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45645</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45645</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45645</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45645</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45645</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45645</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45645</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45645</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45645</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45645</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45645</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45645</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45645</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45645</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45645</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45645</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45645</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45645</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45645</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45645</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45645</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45645</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45645</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45645</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45645</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45645</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45645</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45645</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45645</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45645</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45645</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45645</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45645</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45645</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45645</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45645</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45645</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45645</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45645</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45645</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45645</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45645</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45645</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45645</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45645</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45645</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45645</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45645</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45645</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45645</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45645</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45645</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45645</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45645</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45645</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45645</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45645</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45645</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45645</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45645</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45645</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45645</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45645</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45645</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45645</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45645</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45645</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45645</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45645</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45645</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45645</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45645</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45645</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45645</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45645</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45645</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45645</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45645</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45645</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45645</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45645</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45645</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45645</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45645</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45645</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45645</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45645</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45645</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45645</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45645</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45645</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45645</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45645</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45645</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45645</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45645</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45645</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45645</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45645</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45645</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45645</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45645</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45645</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45645</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45645</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45645</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45645</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45645</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45645</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45645</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45645</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45645</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45645</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45645</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45645</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45645</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45645</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45645</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45645</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45645</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45645</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45645</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45645</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45645</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45645</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45645</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45645</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45645</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45645</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45645</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45645</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45645</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45645</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45645</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45645</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45645</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45645</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45645</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45645</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45645</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45645</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45645</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45645</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45645</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45645</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45645</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45645</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45645</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45645</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45645</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45645</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45645</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45645</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45645</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45645</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45645</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45645</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45645</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45645</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45645</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45645</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45645</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45645</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45645</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45645</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45645</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45645</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45645</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45645</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45645</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45645</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45645</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45645</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45645</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45645</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45645</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45645</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45645</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45645</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45645</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45645</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45645</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45645</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45645</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45645</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45645</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45645</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45645</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45645</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45645</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45645</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45645</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45645</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45645</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45645</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45645</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45645</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45645</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45645</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45645</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45645</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45645</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45645</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45645</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45645</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45645</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45645</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45645</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45645</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45645</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45645</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45645</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45645</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45645</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45645</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45645</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45645</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45645</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45645</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45645</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45645</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45645</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45645</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45645</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45645</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45645</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45645</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45645</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45645</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45645</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45645</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45645</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45645</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45645</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45645</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45645</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45645</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45645</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45645</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45645</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45645</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45645</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45645</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45645</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45645</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45645</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45645</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45645</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45645</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45645</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45645</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45645</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45645</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45645</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45645</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45645</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45645</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45645</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45645</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45645</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45645</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45645</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45645</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45645</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45645</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45645</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45645</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45645</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45645</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45645</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45645</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45645</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45645</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45645</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45645</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45645</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45645</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45645</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45645</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45645</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45645</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45645</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45645</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45645</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45645</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45645</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45645</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45645</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45645</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45645</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45645</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45645</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45645</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45645</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45645</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45645</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45645</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45645</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45645</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45645</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45645</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45645</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45645</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45645</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45645</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45645</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45645</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45645</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45645</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45645</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45645</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45645</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45645</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45645</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45645</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45645</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45645</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45645</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45645</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45645</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45645</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45645</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45645</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45645</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45645</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45645</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45645</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45645</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45645</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45645</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45645</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45645</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45645</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45645</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45645</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45645</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53025-2024</t>
        </is>
      </c>
      <c r="B2884" s="1" t="n">
        <v>45611</v>
      </c>
      <c r="C2884" s="1" t="n">
        <v>45645</v>
      </c>
      <c r="D2884" t="inlineStr">
        <is>
          <t>VÄRMLANDS LÄN</t>
        </is>
      </c>
      <c r="E2884" t="inlineStr">
        <is>
          <t>TORSBY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53099-2024</t>
        </is>
      </c>
      <c r="B2885" s="1" t="n">
        <v>45611</v>
      </c>
      <c r="C2885" s="1" t="n">
        <v>45645</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45645</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53331-2024</t>
        </is>
      </c>
      <c r="B2887" s="1" t="n">
        <v>45614</v>
      </c>
      <c r="C2887" s="1" t="n">
        <v>45645</v>
      </c>
      <c r="D2887" t="inlineStr">
        <is>
          <t>VÄRMLANDS LÄN</t>
        </is>
      </c>
      <c r="E2887" t="inlineStr">
        <is>
          <t>TORSBY</t>
        </is>
      </c>
      <c r="F2887" t="inlineStr">
        <is>
          <t>Bergvik skog väst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53570-2024</t>
        </is>
      </c>
      <c r="B2888" s="1" t="n">
        <v>45614</v>
      </c>
      <c r="C2888" s="1" t="n">
        <v>45645</v>
      </c>
      <c r="D2888" t="inlineStr">
        <is>
          <t>VÄRMLANDS LÄN</t>
        </is>
      </c>
      <c r="E2888" t="inlineStr">
        <is>
          <t>TORSBY</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53583-2024</t>
        </is>
      </c>
      <c r="B2889" s="1" t="n">
        <v>45614</v>
      </c>
      <c r="C2889" s="1" t="n">
        <v>45645</v>
      </c>
      <c r="D2889" t="inlineStr">
        <is>
          <t>VÄRMLANDS LÄN</t>
        </is>
      </c>
      <c r="E2889" t="inlineStr">
        <is>
          <t>TORSBY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53627-2024</t>
        </is>
      </c>
      <c r="B2890" s="1" t="n">
        <v>45614</v>
      </c>
      <c r="C2890" s="1" t="n">
        <v>45645</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53253-2024</t>
        </is>
      </c>
      <c r="B2891" s="1" t="n">
        <v>45614</v>
      </c>
      <c r="C2891" s="1" t="n">
        <v>45645</v>
      </c>
      <c r="D2891" t="inlineStr">
        <is>
          <t>VÄRMLANDS LÄN</t>
        </is>
      </c>
      <c r="E2891" t="inlineStr">
        <is>
          <t>TORSBY</t>
        </is>
      </c>
      <c r="F2891" t="inlineStr">
        <is>
          <t>Bergvik skog väst AB</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53599-2024</t>
        </is>
      </c>
      <c r="B2892" s="1" t="n">
        <v>45614</v>
      </c>
      <c r="C2892" s="1" t="n">
        <v>45645</v>
      </c>
      <c r="D2892" t="inlineStr">
        <is>
          <t>VÄRMLANDS LÄN</t>
        </is>
      </c>
      <c r="E2892" t="inlineStr">
        <is>
          <t>TORSBY</t>
        </is>
      </c>
      <c r="F2892" t="inlineStr">
        <is>
          <t>Bergvik skog väst AB</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53396-2024</t>
        </is>
      </c>
      <c r="B2893" s="1" t="n">
        <v>45614</v>
      </c>
      <c r="C2893" s="1" t="n">
        <v>45645</v>
      </c>
      <c r="D2893" t="inlineStr">
        <is>
          <t>VÄRMLANDS LÄN</t>
        </is>
      </c>
      <c r="E2893" t="inlineStr">
        <is>
          <t>TORSBY</t>
        </is>
      </c>
      <c r="F2893" t="inlineStr">
        <is>
          <t>Bergvik skog väst AB</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45645</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53506-2024</t>
        </is>
      </c>
      <c r="B2895" s="1" t="n">
        <v>45614</v>
      </c>
      <c r="C2895" s="1" t="n">
        <v>45645</v>
      </c>
      <c r="D2895" t="inlineStr">
        <is>
          <t>VÄRMLANDS LÄN</t>
        </is>
      </c>
      <c r="E2895" t="inlineStr">
        <is>
          <t>TORSBY</t>
        </is>
      </c>
      <c r="F2895" t="inlineStr">
        <is>
          <t>Bergvik skog väst AB</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53368-2024</t>
        </is>
      </c>
      <c r="B2896" s="1" t="n">
        <v>45614</v>
      </c>
      <c r="C2896" s="1" t="n">
        <v>45645</v>
      </c>
      <c r="D2896" t="inlineStr">
        <is>
          <t>VÄRMLANDS LÄN</t>
        </is>
      </c>
      <c r="E2896" t="inlineStr">
        <is>
          <t>TORSBY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53358-2024</t>
        </is>
      </c>
      <c r="B2897" s="1" t="n">
        <v>45614</v>
      </c>
      <c r="C2897" s="1" t="n">
        <v>45645</v>
      </c>
      <c r="D2897" t="inlineStr">
        <is>
          <t>VÄRMLANDS LÄN</t>
        </is>
      </c>
      <c r="E2897" t="inlineStr">
        <is>
          <t>TORSBY</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53297-2024</t>
        </is>
      </c>
      <c r="B2898" s="1" t="n">
        <v>45614</v>
      </c>
      <c r="C2898" s="1" t="n">
        <v>45645</v>
      </c>
      <c r="D2898" t="inlineStr">
        <is>
          <t>VÄRMLANDS LÄN</t>
        </is>
      </c>
      <c r="E2898" t="inlineStr">
        <is>
          <t>TORSBY</t>
        </is>
      </c>
      <c r="F2898" t="inlineStr">
        <is>
          <t>Bergvik skog väst AB</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45645</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45645</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53667-2024</t>
        </is>
      </c>
      <c r="B2901" s="1" t="n">
        <v>45615</v>
      </c>
      <c r="C2901" s="1" t="n">
        <v>45645</v>
      </c>
      <c r="D2901" t="inlineStr">
        <is>
          <t>VÄRMLANDS LÄN</t>
        </is>
      </c>
      <c r="E2901" t="inlineStr">
        <is>
          <t>TORSBY</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54006-2024</t>
        </is>
      </c>
      <c r="B2902" s="1" t="n">
        <v>45616</v>
      </c>
      <c r="C2902" s="1" t="n">
        <v>45645</v>
      </c>
      <c r="D2902" t="inlineStr">
        <is>
          <t>VÄRMLANDS LÄN</t>
        </is>
      </c>
      <c r="E2902" t="inlineStr">
        <is>
          <t>TORSBY</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54014-2024</t>
        </is>
      </c>
      <c r="B2903" s="1" t="n">
        <v>45616</v>
      </c>
      <c r="C2903" s="1" t="n">
        <v>45645</v>
      </c>
      <c r="D2903" t="inlineStr">
        <is>
          <t>VÄRMLANDS LÄN</t>
        </is>
      </c>
      <c r="E2903" t="inlineStr">
        <is>
          <t>TORSBY</t>
        </is>
      </c>
      <c r="F2903" t="inlineStr">
        <is>
          <t>Kommuner</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54027-2024</t>
        </is>
      </c>
      <c r="B2904" s="1" t="n">
        <v>45616</v>
      </c>
      <c r="C2904" s="1" t="n">
        <v>45645</v>
      </c>
      <c r="D2904" t="inlineStr">
        <is>
          <t>VÄRMLANDS LÄN</t>
        </is>
      </c>
      <c r="E2904" t="inlineStr">
        <is>
          <t>TORSBY</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45645</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45645</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45645</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45645</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45645</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45645</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45645</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45645</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54374-2024</t>
        </is>
      </c>
      <c r="B2913" s="1" t="n">
        <v>45617</v>
      </c>
      <c r="C2913" s="1" t="n">
        <v>45645</v>
      </c>
      <c r="D2913" t="inlineStr">
        <is>
          <t>VÄRMLANDS LÄN</t>
        </is>
      </c>
      <c r="E2913" t="inlineStr">
        <is>
          <t>TORSBY</t>
        </is>
      </c>
      <c r="F2913" t="inlineStr">
        <is>
          <t>Bergvik skog väst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54489-2024</t>
        </is>
      </c>
      <c r="B2914" s="1" t="n">
        <v>45617</v>
      </c>
      <c r="C2914" s="1" t="n">
        <v>45645</v>
      </c>
      <c r="D2914" t="inlineStr">
        <is>
          <t>VÄRMLANDS LÄN</t>
        </is>
      </c>
      <c r="E2914" t="inlineStr">
        <is>
          <t>TORSBY</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54609-2024</t>
        </is>
      </c>
      <c r="B2915" s="1" t="n">
        <v>45617</v>
      </c>
      <c r="C2915" s="1" t="n">
        <v>45645</v>
      </c>
      <c r="D2915" t="inlineStr">
        <is>
          <t>VÄRMLANDS LÄN</t>
        </is>
      </c>
      <c r="E2915" t="inlineStr">
        <is>
          <t>TORSBY</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45645</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45645</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45645</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54664-2024</t>
        </is>
      </c>
      <c r="B2919" s="1" t="n">
        <v>45618</v>
      </c>
      <c r="C2919" s="1" t="n">
        <v>45645</v>
      </c>
      <c r="D2919" t="inlineStr">
        <is>
          <t>VÄRMLANDS LÄN</t>
        </is>
      </c>
      <c r="E2919" t="inlineStr">
        <is>
          <t>TORSBY</t>
        </is>
      </c>
      <c r="F2919" t="inlineStr">
        <is>
          <t>Bergvik skog väst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54813-2024</t>
        </is>
      </c>
      <c r="B2920" s="1" t="n">
        <v>45618</v>
      </c>
      <c r="C2920" s="1" t="n">
        <v>45645</v>
      </c>
      <c r="D2920" t="inlineStr">
        <is>
          <t>VÄRMLANDS LÄN</t>
        </is>
      </c>
      <c r="E2920" t="inlineStr">
        <is>
          <t>TORSBY</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45645</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54790-2024</t>
        </is>
      </c>
      <c r="B2922" s="1" t="n">
        <v>45618</v>
      </c>
      <c r="C2922" s="1" t="n">
        <v>45645</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45645</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45645</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45645</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55543-2024</t>
        </is>
      </c>
      <c r="B2926" s="1" t="n">
        <v>45622</v>
      </c>
      <c r="C2926" s="1" t="n">
        <v>45645</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55386-2024</t>
        </is>
      </c>
      <c r="B2927" s="1" t="n">
        <v>45622</v>
      </c>
      <c r="C2927" s="1" t="n">
        <v>45645</v>
      </c>
      <c r="D2927" t="inlineStr">
        <is>
          <t>VÄRMLANDS LÄN</t>
        </is>
      </c>
      <c r="E2927" t="inlineStr">
        <is>
          <t>TORSBY</t>
        </is>
      </c>
      <c r="F2927" t="inlineStr">
        <is>
          <t>Bergvik skog väst AB</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45645</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45645</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55837-2024</t>
        </is>
      </c>
      <c r="B2930" s="1" t="n">
        <v>45623</v>
      </c>
      <c r="C2930" s="1" t="n">
        <v>45645</v>
      </c>
      <c r="D2930" t="inlineStr">
        <is>
          <t>VÄRMLANDS LÄN</t>
        </is>
      </c>
      <c r="E2930" t="inlineStr">
        <is>
          <t>TORSBY</t>
        </is>
      </c>
      <c r="F2930" t="inlineStr">
        <is>
          <t>Kommuner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55842-2024</t>
        </is>
      </c>
      <c r="B2931" s="1" t="n">
        <v>45623</v>
      </c>
      <c r="C2931" s="1" t="n">
        <v>45645</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45645</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45645</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45645</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45645</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45645</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45645</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55987-2024</t>
        </is>
      </c>
      <c r="B2938" s="1" t="n">
        <v>45623</v>
      </c>
      <c r="C2938" s="1" t="n">
        <v>45645</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56101-2024</t>
        </is>
      </c>
      <c r="B2939" s="1" t="n">
        <v>45624</v>
      </c>
      <c r="C2939" s="1" t="n">
        <v>45645</v>
      </c>
      <c r="D2939" t="inlineStr">
        <is>
          <t>VÄRMLANDS LÄN</t>
        </is>
      </c>
      <c r="E2939" t="inlineStr">
        <is>
          <t>TORSBY</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56056-2024</t>
        </is>
      </c>
      <c r="B2940" s="1" t="n">
        <v>45624</v>
      </c>
      <c r="C2940" s="1" t="n">
        <v>45645</v>
      </c>
      <c r="D2940" t="inlineStr">
        <is>
          <t>VÄRMLANDS LÄN</t>
        </is>
      </c>
      <c r="E2940" t="inlineStr">
        <is>
          <t>TORSBY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56098-2024</t>
        </is>
      </c>
      <c r="B2941" s="1" t="n">
        <v>45624</v>
      </c>
      <c r="C2941" s="1" t="n">
        <v>45645</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56107-2024</t>
        </is>
      </c>
      <c r="B2942" s="1" t="n">
        <v>45624</v>
      </c>
      <c r="C2942" s="1" t="n">
        <v>45645</v>
      </c>
      <c r="D2942" t="inlineStr">
        <is>
          <t>VÄRMLANDS LÄN</t>
        </is>
      </c>
      <c r="E2942" t="inlineStr">
        <is>
          <t>TORSBY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45645</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45645</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45645</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45645</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45645</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45645</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56635-2024</t>
        </is>
      </c>
      <c r="B2949" s="1" t="n">
        <v>45625</v>
      </c>
      <c r="C2949" s="1" t="n">
        <v>45645</v>
      </c>
      <c r="D2949" t="inlineStr">
        <is>
          <t>VÄRMLANDS LÄN</t>
        </is>
      </c>
      <c r="E2949" t="inlineStr">
        <is>
          <t>TORSBY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56630-2024</t>
        </is>
      </c>
      <c r="B2950" s="1" t="n">
        <v>45625</v>
      </c>
      <c r="C2950" s="1" t="n">
        <v>45645</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56634-2024</t>
        </is>
      </c>
      <c r="B2951" s="1" t="n">
        <v>45625</v>
      </c>
      <c r="C2951" s="1" t="n">
        <v>45645</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45645</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45645</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57190-2024</t>
        </is>
      </c>
      <c r="B2954" s="1" t="n">
        <v>45629</v>
      </c>
      <c r="C2954" s="1" t="n">
        <v>45645</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57469-2024</t>
        </is>
      </c>
      <c r="B2955" s="1" t="n">
        <v>45630</v>
      </c>
      <c r="C2955" s="1" t="n">
        <v>45645</v>
      </c>
      <c r="D2955" t="inlineStr">
        <is>
          <t>VÄRMLANDS LÄN</t>
        </is>
      </c>
      <c r="E2955" t="inlineStr">
        <is>
          <t>TORSBY</t>
        </is>
      </c>
      <c r="F2955" t="inlineStr">
        <is>
          <t>Bergvik skog väst AB</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57481-2024</t>
        </is>
      </c>
      <c r="B2956" s="1" t="n">
        <v>45630</v>
      </c>
      <c r="C2956" s="1" t="n">
        <v>45645</v>
      </c>
      <c r="D2956" t="inlineStr">
        <is>
          <t>VÄRMLANDS LÄN</t>
        </is>
      </c>
      <c r="E2956" t="inlineStr">
        <is>
          <t>TORSBY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45645</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57502-2024</t>
        </is>
      </c>
      <c r="B2958" s="1" t="n">
        <v>45630</v>
      </c>
      <c r="C2958" s="1" t="n">
        <v>45645</v>
      </c>
      <c r="D2958" t="inlineStr">
        <is>
          <t>VÄRMLANDS LÄN</t>
        </is>
      </c>
      <c r="E2958" t="inlineStr">
        <is>
          <t>TORSBY</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57532-2024</t>
        </is>
      </c>
      <c r="B2959" s="1" t="n">
        <v>45630</v>
      </c>
      <c r="C2959" s="1" t="n">
        <v>45645</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57536-2024</t>
        </is>
      </c>
      <c r="B2960" s="1" t="n">
        <v>45630</v>
      </c>
      <c r="C2960" s="1" t="n">
        <v>45645</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57723-2024</t>
        </is>
      </c>
      <c r="B2961" s="1" t="n">
        <v>45630</v>
      </c>
      <c r="C2961" s="1" t="n">
        <v>45645</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57709-2024</t>
        </is>
      </c>
      <c r="B2962" s="1" t="n">
        <v>45630</v>
      </c>
      <c r="C2962" s="1" t="n">
        <v>45645</v>
      </c>
      <c r="D2962" t="inlineStr">
        <is>
          <t>VÄRMLANDS LÄN</t>
        </is>
      </c>
      <c r="E2962" t="inlineStr">
        <is>
          <t>TORSBY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57725-2024</t>
        </is>
      </c>
      <c r="B2963" s="1" t="n">
        <v>45630</v>
      </c>
      <c r="C2963" s="1" t="n">
        <v>45645</v>
      </c>
      <c r="D2963" t="inlineStr">
        <is>
          <t>VÄRMLANDS LÄN</t>
        </is>
      </c>
      <c r="E2963" t="inlineStr">
        <is>
          <t>TORSBY</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57774-2024</t>
        </is>
      </c>
      <c r="B2964" s="1" t="n">
        <v>45630</v>
      </c>
      <c r="C2964" s="1" t="n">
        <v>45645</v>
      </c>
      <c r="D2964" t="inlineStr">
        <is>
          <t>VÄRMLANDS LÄN</t>
        </is>
      </c>
      <c r="E2964" t="inlineStr">
        <is>
          <t>TORSBY</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45645</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45645</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57785-2024</t>
        </is>
      </c>
      <c r="B2967" s="1" t="n">
        <v>45631</v>
      </c>
      <c r="C2967" s="1" t="n">
        <v>45645</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57809-2024</t>
        </is>
      </c>
      <c r="B2968" s="1" t="n">
        <v>45631</v>
      </c>
      <c r="C2968" s="1" t="n">
        <v>45645</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58033-2024</t>
        </is>
      </c>
      <c r="B2969" s="1" t="n">
        <v>45631</v>
      </c>
      <c r="C2969" s="1" t="n">
        <v>45645</v>
      </c>
      <c r="D2969" t="inlineStr">
        <is>
          <t>VÄRMLANDS LÄN</t>
        </is>
      </c>
      <c r="E2969" t="inlineStr">
        <is>
          <t>TORSBY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45645</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58051-2024</t>
        </is>
      </c>
      <c r="B2971" s="1" t="n">
        <v>45631</v>
      </c>
      <c r="C2971" s="1" t="n">
        <v>45645</v>
      </c>
      <c r="D2971" t="inlineStr">
        <is>
          <t>VÄRMLANDS LÄN</t>
        </is>
      </c>
      <c r="E2971" t="inlineStr">
        <is>
          <t>TORSBY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58255-2024</t>
        </is>
      </c>
      <c r="B2972" s="1" t="n">
        <v>45632</v>
      </c>
      <c r="C2972" s="1" t="n">
        <v>45645</v>
      </c>
      <c r="D2972" t="inlineStr">
        <is>
          <t>VÄRMLANDS LÄN</t>
        </is>
      </c>
      <c r="E2972" t="inlineStr">
        <is>
          <t>TORSBY</t>
        </is>
      </c>
      <c r="F2972" t="inlineStr">
        <is>
          <t>Bergvik skog väst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58259-2024</t>
        </is>
      </c>
      <c r="B2973" s="1" t="n">
        <v>45632</v>
      </c>
      <c r="C2973" s="1" t="n">
        <v>45645</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58288-2024</t>
        </is>
      </c>
      <c r="B2974" s="1" t="n">
        <v>45632</v>
      </c>
      <c r="C2974" s="1" t="n">
        <v>45645</v>
      </c>
      <c r="D2974" t="inlineStr">
        <is>
          <t>VÄRMLANDS LÄN</t>
        </is>
      </c>
      <c r="E2974" t="inlineStr">
        <is>
          <t>TORSBY</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45645</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45645</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58707-2024</t>
        </is>
      </c>
      <c r="B2977" s="1" t="n">
        <v>45635</v>
      </c>
      <c r="C2977" s="1" t="n">
        <v>45645</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58786-2024</t>
        </is>
      </c>
      <c r="B2978" s="1" t="n">
        <v>45635</v>
      </c>
      <c r="C2978" s="1" t="n">
        <v>45645</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58976-2024</t>
        </is>
      </c>
      <c r="B2979" s="1" t="n">
        <v>45636</v>
      </c>
      <c r="C2979" s="1" t="n">
        <v>45645</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58945-2024</t>
        </is>
      </c>
      <c r="B2980" s="1" t="n">
        <v>45636</v>
      </c>
      <c r="C2980" s="1" t="n">
        <v>45645</v>
      </c>
      <c r="D2980" t="inlineStr">
        <is>
          <t>VÄRMLANDS LÄN</t>
        </is>
      </c>
      <c r="E2980" t="inlineStr">
        <is>
          <t>TORSBY</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59005-2024</t>
        </is>
      </c>
      <c r="B2981" s="1" t="n">
        <v>45636</v>
      </c>
      <c r="C2981" s="1" t="n">
        <v>45645</v>
      </c>
      <c r="D2981" t="inlineStr">
        <is>
          <t>VÄRMLANDS LÄN</t>
        </is>
      </c>
      <c r="E2981" t="inlineStr">
        <is>
          <t>TORSBY</t>
        </is>
      </c>
      <c r="G2981" t="n">
        <v>9.6</v>
      </c>
      <c r="H2981" t="n">
        <v>0</v>
      </c>
      <c r="I2981" t="n">
        <v>0</v>
      </c>
      <c r="J2981" t="n">
        <v>0</v>
      </c>
      <c r="K2981" t="n">
        <v>0</v>
      </c>
      <c r="L2981" t="n">
        <v>0</v>
      </c>
      <c r="M2981" t="n">
        <v>0</v>
      </c>
      <c r="N2981" t="n">
        <v>0</v>
      </c>
      <c r="O2981" t="n">
        <v>0</v>
      </c>
      <c r="P2981" t="n">
        <v>0</v>
      </c>
      <c r="Q2981" t="n">
        <v>0</v>
      </c>
      <c r="R2981" s="2" t="inlineStr"/>
    </row>
    <row r="2982" ht="15" customHeight="1">
      <c r="A2982" t="inlineStr">
        <is>
          <t>A 58948-2024</t>
        </is>
      </c>
      <c r="B2982" s="1" t="n">
        <v>45636</v>
      </c>
      <c r="C2982" s="1" t="n">
        <v>45645</v>
      </c>
      <c r="D2982" t="inlineStr">
        <is>
          <t>VÄRMLANDS LÄN</t>
        </is>
      </c>
      <c r="E2982" t="inlineStr">
        <is>
          <t>TORSBY</t>
        </is>
      </c>
      <c r="F2982" t="inlineStr">
        <is>
          <t>Bergvik skog väst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45645</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59613-2024</t>
        </is>
      </c>
      <c r="B2984" s="1" t="n">
        <v>45638</v>
      </c>
      <c r="C2984" s="1" t="n">
        <v>45645</v>
      </c>
      <c r="D2984" t="inlineStr">
        <is>
          <t>VÄRMLANDS LÄN</t>
        </is>
      </c>
      <c r="E2984" t="inlineStr">
        <is>
          <t>TORSBY</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45645</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45645</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59610-2024</t>
        </is>
      </c>
      <c r="B2987" s="1" t="n">
        <v>45638</v>
      </c>
      <c r="C2987" s="1" t="n">
        <v>45645</v>
      </c>
      <c r="D2987" t="inlineStr">
        <is>
          <t>VÄRMLANDS LÄN</t>
        </is>
      </c>
      <c r="E2987" t="inlineStr">
        <is>
          <t>TORSBY</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59603-2024</t>
        </is>
      </c>
      <c r="B2988" s="1" t="n">
        <v>45638</v>
      </c>
      <c r="C2988" s="1" t="n">
        <v>45645</v>
      </c>
      <c r="D2988" t="inlineStr">
        <is>
          <t>VÄRMLANDS LÄN</t>
        </is>
      </c>
      <c r="E2988" t="inlineStr">
        <is>
          <t>TORSBY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59780-2024</t>
        </is>
      </c>
      <c r="B2989" s="1" t="n">
        <v>45639</v>
      </c>
      <c r="C2989" s="1" t="n">
        <v>45645</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row r="2990" ht="15" customHeight="1">
      <c r="A2990" t="inlineStr">
        <is>
          <t>A 59927-2024</t>
        </is>
      </c>
      <c r="B2990" s="1" t="n">
        <v>45642</v>
      </c>
      <c r="C2990" s="1" t="n">
        <v>45645</v>
      </c>
      <c r="D2990" t="inlineStr">
        <is>
          <t>VÄRMLANDS LÄN</t>
        </is>
      </c>
      <c r="E2990" t="inlineStr">
        <is>
          <t>TORSBY</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59928-2024</t>
        </is>
      </c>
      <c r="B2991" s="1" t="n">
        <v>45642</v>
      </c>
      <c r="C2991" s="1" t="n">
        <v>45645</v>
      </c>
      <c r="D2991" t="inlineStr">
        <is>
          <t>VÄRMLANDS LÄN</t>
        </is>
      </c>
      <c r="E2991" t="inlineStr">
        <is>
          <t>TORSBY</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60148-2024</t>
        </is>
      </c>
      <c r="B2992" s="1" t="n">
        <v>45642</v>
      </c>
      <c r="C2992" s="1" t="n">
        <v>45645</v>
      </c>
      <c r="D2992" t="inlineStr">
        <is>
          <t>VÄRMLANDS LÄN</t>
        </is>
      </c>
      <c r="E2992" t="inlineStr">
        <is>
          <t>TORSBY</t>
        </is>
      </c>
      <c r="G2992" t="n">
        <v>12.4</v>
      </c>
      <c r="H2992" t="n">
        <v>0</v>
      </c>
      <c r="I2992" t="n">
        <v>0</v>
      </c>
      <c r="J2992" t="n">
        <v>0</v>
      </c>
      <c r="K2992" t="n">
        <v>0</v>
      </c>
      <c r="L2992" t="n">
        <v>0</v>
      </c>
      <c r="M2992" t="n">
        <v>0</v>
      </c>
      <c r="N2992" t="n">
        <v>0</v>
      </c>
      <c r="O2992" t="n">
        <v>0</v>
      </c>
      <c r="P2992" t="n">
        <v>0</v>
      </c>
      <c r="Q2992" t="n">
        <v>0</v>
      </c>
      <c r="R2992" s="2" t="inlineStr"/>
    </row>
    <row r="2993" ht="15" customHeight="1">
      <c r="A2993" t="inlineStr">
        <is>
          <t>A 60207-2024</t>
        </is>
      </c>
      <c r="B2993" s="1" t="n">
        <v>45642</v>
      </c>
      <c r="C2993" s="1" t="n">
        <v>45645</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60626-2024</t>
        </is>
      </c>
      <c r="B2994" s="1" t="n">
        <v>45642</v>
      </c>
      <c r="C2994" s="1" t="n">
        <v>45645</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45645</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60272-2024</t>
        </is>
      </c>
      <c r="B2996" s="1" t="n">
        <v>45642</v>
      </c>
      <c r="C2996" s="1" t="n">
        <v>45645</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45645</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45645</v>
      </c>
      <c r="D2998" t="inlineStr">
        <is>
          <t>VÄRMLANDS LÄN</t>
        </is>
      </c>
      <c r="E2998" t="inlineStr">
        <is>
          <t>TORSBY</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60385-2024</t>
        </is>
      </c>
      <c r="B2999" s="1" t="n">
        <v>45643</v>
      </c>
      <c r="C2999" s="1" t="n">
        <v>45645</v>
      </c>
      <c r="D2999" t="inlineStr">
        <is>
          <t>VÄRMLANDS LÄN</t>
        </is>
      </c>
      <c r="E2999" t="inlineStr">
        <is>
          <t>TORSBY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60710-2024</t>
        </is>
      </c>
      <c r="B3000" s="1" t="n">
        <v>45643</v>
      </c>
      <c r="C3000" s="1" t="n">
        <v>45645</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60383-2024</t>
        </is>
      </c>
      <c r="B3001" s="1" t="n">
        <v>45643</v>
      </c>
      <c r="C3001" s="1" t="n">
        <v>45645</v>
      </c>
      <c r="D3001" t="inlineStr">
        <is>
          <t>VÄRMLANDS LÄN</t>
        </is>
      </c>
      <c r="E3001" t="inlineStr">
        <is>
          <t>TORSBY</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60454-2024</t>
        </is>
      </c>
      <c r="B3002" s="1" t="n">
        <v>45643</v>
      </c>
      <c r="C3002" s="1" t="n">
        <v>45645</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60458-2024</t>
        </is>
      </c>
      <c r="B3003" s="1" t="n">
        <v>45643</v>
      </c>
      <c r="C3003" s="1" t="n">
        <v>45645</v>
      </c>
      <c r="D3003" t="inlineStr">
        <is>
          <t>VÄRMLANDS LÄN</t>
        </is>
      </c>
      <c r="E3003" t="inlineStr">
        <is>
          <t>TORSBY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60477-2024</t>
        </is>
      </c>
      <c r="B3004" s="1" t="n">
        <v>45643</v>
      </c>
      <c r="C3004" s="1" t="n">
        <v>45645</v>
      </c>
      <c r="D3004" t="inlineStr">
        <is>
          <t>VÄRMLANDS LÄN</t>
        </is>
      </c>
      <c r="E3004" t="inlineStr">
        <is>
          <t>TORSBY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60386-2024</t>
        </is>
      </c>
      <c r="B3005" s="1" t="n">
        <v>45643</v>
      </c>
      <c r="C3005" s="1" t="n">
        <v>45645</v>
      </c>
      <c r="D3005" t="inlineStr">
        <is>
          <t>VÄRMLANDS LÄN</t>
        </is>
      </c>
      <c r="E3005" t="inlineStr">
        <is>
          <t>TORSBY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60537-2024</t>
        </is>
      </c>
      <c r="B3006" s="1" t="n">
        <v>45643</v>
      </c>
      <c r="C3006" s="1" t="n">
        <v>45645</v>
      </c>
      <c r="D3006" t="inlineStr">
        <is>
          <t>VÄRMLANDS LÄN</t>
        </is>
      </c>
      <c r="E3006" t="inlineStr">
        <is>
          <t>TORSBY</t>
        </is>
      </c>
      <c r="G3006" t="n">
        <v>0.8</v>
      </c>
      <c r="H3006" t="n">
        <v>0</v>
      </c>
      <c r="I3006" t="n">
        <v>0</v>
      </c>
      <c r="J3006" t="n">
        <v>0</v>
      </c>
      <c r="K3006" t="n">
        <v>0</v>
      </c>
      <c r="L3006" t="n">
        <v>0</v>
      </c>
      <c r="M3006" t="n">
        <v>0</v>
      </c>
      <c r="N3006" t="n">
        <v>0</v>
      </c>
      <c r="O3006" t="n">
        <v>0</v>
      </c>
      <c r="P3006" t="n">
        <v>0</v>
      </c>
      <c r="Q3006" t="n">
        <v>0</v>
      </c>
      <c r="R3006" s="2" t="inlineStr"/>
    </row>
    <row r="3007">
      <c r="A3007" t="inlineStr">
        <is>
          <t>A 60854-2024</t>
        </is>
      </c>
      <c r="B3007" s="1" t="n">
        <v>45644</v>
      </c>
      <c r="C3007" s="1" t="n">
        <v>45645</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2024-12-19T14:51:39Z</dcterms:created>
  <dcterms:modified xmlns:dcterms="http://purl.org/dc/terms/" xmlns:xsi="http://www.w3.org/2001/XMLSchema-instance" xsi:type="dcterms:W3CDTF">2024-12-19T14:51:42Z</dcterms:modified>
</cp:coreProperties>
</file>