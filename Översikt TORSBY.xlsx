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45822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45822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45822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45822</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45822</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45822</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45822</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45822</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45822</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45822</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27265-2020</t>
        </is>
      </c>
      <c r="B13" s="1" t="n">
        <v>43992</v>
      </c>
      <c r="C13" s="1" t="n">
        <v>45822</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19458-2024</t>
        </is>
      </c>
      <c r="B14" s="1" t="n">
        <v>45429</v>
      </c>
      <c r="C14" s="1" t="n">
        <v>45822</v>
      </c>
      <c r="D14" t="inlineStr">
        <is>
          <t>VÄRMLANDS LÄN</t>
        </is>
      </c>
      <c r="E14" t="inlineStr">
        <is>
          <t>TORSBY</t>
        </is>
      </c>
      <c r="G14" t="n">
        <v>8.800000000000001</v>
      </c>
      <c r="H14" t="n">
        <v>4</v>
      </c>
      <c r="I14" t="n">
        <v>4</v>
      </c>
      <c r="J14" t="n">
        <v>8</v>
      </c>
      <c r="K14" t="n">
        <v>0</v>
      </c>
      <c r="L14" t="n">
        <v>0</v>
      </c>
      <c r="M14" t="n">
        <v>0</v>
      </c>
      <c r="N14" t="n">
        <v>0</v>
      </c>
      <c r="O14" t="n">
        <v>8</v>
      </c>
      <c r="P14" t="n">
        <v>0</v>
      </c>
      <c r="Q14" t="n">
        <v>14</v>
      </c>
      <c r="R14" s="2" t="inlineStr">
        <is>
          <t>Brunpudrad nållav
Gammelgransskål
Garnlav
Granticka
Lunglav
Ullticka
Vedtrappmossa
Violettgrå tagellav
Bårdlav
Korallrot
Spindelblomster
Vedticka
Grönsiska
Fläcknycklar</t>
        </is>
      </c>
      <c r="S14">
        <f>HYPERLINK("https://klasma.github.io/Logging_1737/artfynd/A 19458-2024 artfynd.xlsx", "A 19458-2024")</f>
        <v/>
      </c>
      <c r="T14">
        <f>HYPERLINK("https://klasma.github.io/Logging_1737/kartor/A 19458-2024 karta.png", "A 19458-2024")</f>
        <v/>
      </c>
      <c r="V14">
        <f>HYPERLINK("https://klasma.github.io/Logging_1737/klagomål/A 19458-2024 FSC-klagomål.docx", "A 19458-2024")</f>
        <v/>
      </c>
      <c r="W14">
        <f>HYPERLINK("https://klasma.github.io/Logging_1737/klagomålsmail/A 19458-2024 FSC-klagomål mail.docx", "A 19458-2024")</f>
        <v/>
      </c>
      <c r="X14">
        <f>HYPERLINK("https://klasma.github.io/Logging_1737/tillsyn/A 19458-2024 tillsynsbegäran.docx", "A 19458-2024")</f>
        <v/>
      </c>
      <c r="Y14">
        <f>HYPERLINK("https://klasma.github.io/Logging_1737/tillsynsmail/A 19458-2024 tillsynsbegäran mail.docx", "A 19458-2024")</f>
        <v/>
      </c>
      <c r="Z14">
        <f>HYPERLINK("https://klasma.github.io/Logging_1737/fåglar/A 19458-2024 prioriterade fågelarter.docx", "A 19458-2024")</f>
        <v/>
      </c>
    </row>
    <row r="15" ht="15" customHeight="1">
      <c r="A15" t="inlineStr">
        <is>
          <t>A 20895-2021</t>
        </is>
      </c>
      <c r="B15" s="1" t="n">
        <v>44319</v>
      </c>
      <c r="C15" s="1" t="n">
        <v>45822</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45822</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30301-2024</t>
        </is>
      </c>
      <c r="B17" s="1" t="n">
        <v>45490</v>
      </c>
      <c r="C17" s="1" t="n">
        <v>45822</v>
      </c>
      <c r="D17" t="inlineStr">
        <is>
          <t>VÄRMLANDS LÄN</t>
        </is>
      </c>
      <c r="E17" t="inlineStr">
        <is>
          <t>TORSBY</t>
        </is>
      </c>
      <c r="F17" t="inlineStr">
        <is>
          <t>Bergvik skog väst AB</t>
        </is>
      </c>
      <c r="G17" t="n">
        <v>16.3</v>
      </c>
      <c r="H17" t="n">
        <v>3</v>
      </c>
      <c r="I17" t="n">
        <v>8</v>
      </c>
      <c r="J17" t="n">
        <v>2</v>
      </c>
      <c r="K17" t="n">
        <v>0</v>
      </c>
      <c r="L17" t="n">
        <v>0</v>
      </c>
      <c r="M17" t="n">
        <v>0</v>
      </c>
      <c r="N17" t="n">
        <v>0</v>
      </c>
      <c r="O17" t="n">
        <v>2</v>
      </c>
      <c r="P17" t="n">
        <v>0</v>
      </c>
      <c r="Q17" t="n">
        <v>13</v>
      </c>
      <c r="R17" s="2" t="inlineStr">
        <is>
          <t>Dofttaggsvamp
Myskmåra
Bårdlav
Dvärghäxört
Fjällig taggsvamp s.str.
Kransrams
Skinnlav
Svart trolldruva
Underviol
Vårärt
Fläcknycklar
Nattviol
Blåsippa</t>
        </is>
      </c>
      <c r="S17">
        <f>HYPERLINK("https://klasma.github.io/Logging_1737/artfynd/A 30301-2024 artfynd.xlsx", "A 30301-2024")</f>
        <v/>
      </c>
      <c r="T17">
        <f>HYPERLINK("https://klasma.github.io/Logging_1737/kartor/A 30301-2024 karta.png", "A 30301-2024")</f>
        <v/>
      </c>
      <c r="V17">
        <f>HYPERLINK("https://klasma.github.io/Logging_1737/klagomål/A 30301-2024 FSC-klagomål.docx", "A 30301-2024")</f>
        <v/>
      </c>
      <c r="W17">
        <f>HYPERLINK("https://klasma.github.io/Logging_1737/klagomålsmail/A 30301-2024 FSC-klagomål mail.docx", "A 30301-2024")</f>
        <v/>
      </c>
      <c r="X17">
        <f>HYPERLINK("https://klasma.github.io/Logging_1737/tillsyn/A 30301-2024 tillsynsbegäran.docx", "A 30301-2024")</f>
        <v/>
      </c>
      <c r="Y17">
        <f>HYPERLINK("https://klasma.github.io/Logging_1737/tillsynsmail/A 30301-2024 tillsynsbegäran mail.docx", "A 30301-2024")</f>
        <v/>
      </c>
    </row>
    <row r="18" ht="15" customHeight="1">
      <c r="A18" t="inlineStr">
        <is>
          <t>A 33211-2024</t>
        </is>
      </c>
      <c r="B18" s="1" t="n">
        <v>45518</v>
      </c>
      <c r="C18" s="1" t="n">
        <v>45822</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45822</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20818-2025</t>
        </is>
      </c>
      <c r="B20" s="1" t="n">
        <v>45776</v>
      </c>
      <c r="C20" s="1" t="n">
        <v>45822</v>
      </c>
      <c r="D20" t="inlineStr">
        <is>
          <t>VÄRMLANDS LÄN</t>
        </is>
      </c>
      <c r="E20" t="inlineStr">
        <is>
          <t>TORSBY</t>
        </is>
      </c>
      <c r="G20" t="n">
        <v>13.9</v>
      </c>
      <c r="H20" t="n">
        <v>1</v>
      </c>
      <c r="I20" t="n">
        <v>4</v>
      </c>
      <c r="J20" t="n">
        <v>9</v>
      </c>
      <c r="K20" t="n">
        <v>0</v>
      </c>
      <c r="L20" t="n">
        <v>0</v>
      </c>
      <c r="M20" t="n">
        <v>0</v>
      </c>
      <c r="N20" t="n">
        <v>0</v>
      </c>
      <c r="O20" t="n">
        <v>9</v>
      </c>
      <c r="P20" t="n">
        <v>0</v>
      </c>
      <c r="Q20" t="n">
        <v>13</v>
      </c>
      <c r="R20" s="2" t="inlineStr">
        <is>
          <t>Dvärgbägarlav
Garnlav
Kortskaftad ärgspik
Lunglav
Skrovellav
Stiftgelélav
Tretåig hackspett
Vedskivlav
Vedtrappmossa
Barkticka
Bårdlav
Korallblylav
Stuplav</t>
        </is>
      </c>
      <c r="S20">
        <f>HYPERLINK("https://klasma.github.io/Logging_171737/artfynd/A 20818-2025 artfynd.xlsx", "A 20818-2025")</f>
        <v/>
      </c>
      <c r="T20">
        <f>HYPERLINK("https://klasma.github.io/Logging_171737/kartor/A 20818-2025 karta.png", "A 20818-2025")</f>
        <v/>
      </c>
      <c r="V20">
        <f>HYPERLINK("https://klasma.github.io/Logging_171737/klagomål/A 20818-2025 FSC-klagomål.docx", "A 20818-2025")</f>
        <v/>
      </c>
      <c r="W20">
        <f>HYPERLINK("https://klasma.github.io/Logging_171737/klagomålsmail/A 20818-2025 FSC-klagomål mail.docx", "A 20818-2025")</f>
        <v/>
      </c>
      <c r="X20">
        <f>HYPERLINK("https://klasma.github.io/Logging_171737/tillsyn/A 20818-2025 tillsynsbegäran.docx", "A 20818-2025")</f>
        <v/>
      </c>
      <c r="Y20">
        <f>HYPERLINK("https://klasma.github.io/Logging_171737/tillsynsmail/A 20818-2025 tillsynsbegäran mail.docx", "A 20818-2025")</f>
        <v/>
      </c>
      <c r="Z20">
        <f>HYPERLINK("https://klasma.github.io/Logging_171737/fåglar/A 20818-2025 prioriterade fågelarter.docx", "A 20818-2025")</f>
        <v/>
      </c>
    </row>
    <row r="21" ht="15" customHeight="1">
      <c r="A21" t="inlineStr">
        <is>
          <t>A 9075-2023</t>
        </is>
      </c>
      <c r="B21" s="1" t="n">
        <v>44979</v>
      </c>
      <c r="C21" s="1" t="n">
        <v>45822</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45822</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45822</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45822</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45822</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45822</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45822</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45822</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45822</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45822</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45822</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45822</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45822</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45822</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45822</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45822</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45822</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45822</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45822</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45822</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45822</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45822</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45822</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45822</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45822</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45822</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45822</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45822</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45822</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45822</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45822</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45822</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45822</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45822</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45822</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173-2021</t>
        </is>
      </c>
      <c r="B56" s="1" t="n">
        <v>44200</v>
      </c>
      <c r="C56" s="1" t="n">
        <v>45822</v>
      </c>
      <c r="D56" t="inlineStr">
        <is>
          <t>VÄRMLANDS LÄN</t>
        </is>
      </c>
      <c r="E56" t="inlineStr">
        <is>
          <t>TORSBY</t>
        </is>
      </c>
      <c r="G56" t="n">
        <v>6.8</v>
      </c>
      <c r="H56" t="n">
        <v>0</v>
      </c>
      <c r="I56" t="n">
        <v>1</v>
      </c>
      <c r="J56" t="n">
        <v>3</v>
      </c>
      <c r="K56" t="n">
        <v>0</v>
      </c>
      <c r="L56" t="n">
        <v>0</v>
      </c>
      <c r="M56" t="n">
        <v>0</v>
      </c>
      <c r="N56" t="n">
        <v>0</v>
      </c>
      <c r="O56" t="n">
        <v>3</v>
      </c>
      <c r="P56" t="n">
        <v>0</v>
      </c>
      <c r="Q56" t="n">
        <v>4</v>
      </c>
      <c r="R56" s="2" t="inlineStr">
        <is>
          <t>Gammelgransskål
Garnlav
Violettgrå tagellav
Vedticka</t>
        </is>
      </c>
      <c r="S56">
        <f>HYPERLINK("https://klasma.github.io/Logging_1737/artfynd/A 173-2021 artfynd.xlsx", "A 173-2021")</f>
        <v/>
      </c>
      <c r="T56">
        <f>HYPERLINK("https://klasma.github.io/Logging_1737/kartor/A 173-2021 karta.png", "A 173-2021")</f>
        <v/>
      </c>
      <c r="V56">
        <f>HYPERLINK("https://klasma.github.io/Logging_1737/klagomål/A 173-2021 FSC-klagomål.docx", "A 173-2021")</f>
        <v/>
      </c>
      <c r="W56">
        <f>HYPERLINK("https://klasma.github.io/Logging_1737/klagomålsmail/A 173-2021 FSC-klagomål mail.docx", "A 173-2021")</f>
        <v/>
      </c>
      <c r="X56">
        <f>HYPERLINK("https://klasma.github.io/Logging_1737/tillsyn/A 173-2021 tillsynsbegäran.docx", "A 173-2021")</f>
        <v/>
      </c>
      <c r="Y56">
        <f>HYPERLINK("https://klasma.github.io/Logging_1737/tillsynsmail/A 173-2021 tillsynsbegäran mail.docx", "A 173-2021")</f>
        <v/>
      </c>
    </row>
    <row r="57" ht="15" customHeight="1">
      <c r="A57" t="inlineStr">
        <is>
          <t>A 42501-2022</t>
        </is>
      </c>
      <c r="B57" s="1" t="n">
        <v>44831</v>
      </c>
      <c r="C57" s="1" t="n">
        <v>45822</v>
      </c>
      <c r="D57" t="inlineStr">
        <is>
          <t>VÄRMLANDS LÄN</t>
        </is>
      </c>
      <c r="E57" t="inlineStr">
        <is>
          <t>TORSBY</t>
        </is>
      </c>
      <c r="F57" t="inlineStr">
        <is>
          <t>Kommuner</t>
        </is>
      </c>
      <c r="G57" t="n">
        <v>2.4</v>
      </c>
      <c r="H57" t="n">
        <v>0</v>
      </c>
      <c r="I57" t="n">
        <v>1</v>
      </c>
      <c r="J57" t="n">
        <v>3</v>
      </c>
      <c r="K57" t="n">
        <v>0</v>
      </c>
      <c r="L57" t="n">
        <v>0</v>
      </c>
      <c r="M57" t="n">
        <v>0</v>
      </c>
      <c r="N57" t="n">
        <v>0</v>
      </c>
      <c r="O57" t="n">
        <v>3</v>
      </c>
      <c r="P57" t="n">
        <v>0</v>
      </c>
      <c r="Q57" t="n">
        <v>4</v>
      </c>
      <c r="R57" s="2" t="inlineStr">
        <is>
          <t>Garnlav
Mörk kolflarnlav
Vedtrappmossa
Skuggblåslav</t>
        </is>
      </c>
      <c r="S57">
        <f>HYPERLINK("https://klasma.github.io/Logging_1737/artfynd/A 42501-2022 artfynd.xlsx", "A 42501-2022")</f>
        <v/>
      </c>
      <c r="T57">
        <f>HYPERLINK("https://klasma.github.io/Logging_1737/kartor/A 42501-2022 karta.png", "A 42501-2022")</f>
        <v/>
      </c>
      <c r="V57">
        <f>HYPERLINK("https://klasma.github.io/Logging_1737/klagomål/A 42501-2022 FSC-klagomål.docx", "A 42501-2022")</f>
        <v/>
      </c>
      <c r="W57">
        <f>HYPERLINK("https://klasma.github.io/Logging_1737/klagomålsmail/A 42501-2022 FSC-klagomål mail.docx", "A 42501-2022")</f>
        <v/>
      </c>
      <c r="X57">
        <f>HYPERLINK("https://klasma.github.io/Logging_1737/tillsyn/A 42501-2022 tillsynsbegäran.docx", "A 42501-2022")</f>
        <v/>
      </c>
      <c r="Y57">
        <f>HYPERLINK("https://klasma.github.io/Logging_1737/tillsynsmail/A 42501-2022 tillsynsbegäran mail.docx", "A 42501-2022")</f>
        <v/>
      </c>
    </row>
    <row r="58" ht="15" customHeight="1">
      <c r="A58" t="inlineStr">
        <is>
          <t>A 54297-2022</t>
        </is>
      </c>
      <c r="B58" s="1" t="n">
        <v>44882</v>
      </c>
      <c r="C58" s="1" t="n">
        <v>45822</v>
      </c>
      <c r="D58" t="inlineStr">
        <is>
          <t>VÄRMLANDS LÄN</t>
        </is>
      </c>
      <c r="E58" t="inlineStr">
        <is>
          <t>TORSBY</t>
        </is>
      </c>
      <c r="G58" t="n">
        <v>10.2</v>
      </c>
      <c r="H58" t="n">
        <v>1</v>
      </c>
      <c r="I58" t="n">
        <v>3</v>
      </c>
      <c r="J58" t="n">
        <v>1</v>
      </c>
      <c r="K58" t="n">
        <v>0</v>
      </c>
      <c r="L58" t="n">
        <v>0</v>
      </c>
      <c r="M58" t="n">
        <v>0</v>
      </c>
      <c r="N58" t="n">
        <v>0</v>
      </c>
      <c r="O58" t="n">
        <v>1</v>
      </c>
      <c r="P58" t="n">
        <v>0</v>
      </c>
      <c r="Q58" t="n">
        <v>4</v>
      </c>
      <c r="R58" s="2" t="inlineStr">
        <is>
          <t>Tretåig hackspett
Bronshjon
Thomsons trägnagare
Vedticka</t>
        </is>
      </c>
      <c r="S58">
        <f>HYPERLINK("https://klasma.github.io/Logging_1737/artfynd/A 54297-2022 artfynd.xlsx", "A 54297-2022")</f>
        <v/>
      </c>
      <c r="T58">
        <f>HYPERLINK("https://klasma.github.io/Logging_1737/kartor/A 54297-2022 karta.png", "A 54297-2022")</f>
        <v/>
      </c>
      <c r="V58">
        <f>HYPERLINK("https://klasma.github.io/Logging_1737/klagomål/A 54297-2022 FSC-klagomål.docx", "A 54297-2022")</f>
        <v/>
      </c>
      <c r="W58">
        <f>HYPERLINK("https://klasma.github.io/Logging_1737/klagomålsmail/A 54297-2022 FSC-klagomål mail.docx", "A 54297-2022")</f>
        <v/>
      </c>
      <c r="X58">
        <f>HYPERLINK("https://klasma.github.io/Logging_1737/tillsyn/A 54297-2022 tillsynsbegäran.docx", "A 54297-2022")</f>
        <v/>
      </c>
      <c r="Y58">
        <f>HYPERLINK("https://klasma.github.io/Logging_1737/tillsynsmail/A 54297-2022 tillsynsbegäran mail.docx", "A 54297-2022")</f>
        <v/>
      </c>
      <c r="Z58">
        <f>HYPERLINK("https://klasma.github.io/Logging_1737/fåglar/A 54297-2022 prioriterade fågelarter.docx", "A 54297-2022")</f>
        <v/>
      </c>
    </row>
    <row r="59" ht="15" customHeight="1">
      <c r="A59" t="inlineStr">
        <is>
          <t>A 16134-2023</t>
        </is>
      </c>
      <c r="B59" s="1" t="n">
        <v>45021</v>
      </c>
      <c r="C59" s="1" t="n">
        <v>45822</v>
      </c>
      <c r="D59" t="inlineStr">
        <is>
          <t>VÄRMLANDS LÄN</t>
        </is>
      </c>
      <c r="E59" t="inlineStr">
        <is>
          <t>TORSBY</t>
        </is>
      </c>
      <c r="G59" t="n">
        <v>15.5</v>
      </c>
      <c r="H59" t="n">
        <v>0</v>
      </c>
      <c r="I59" t="n">
        <v>1</v>
      </c>
      <c r="J59" t="n">
        <v>3</v>
      </c>
      <c r="K59" t="n">
        <v>0</v>
      </c>
      <c r="L59" t="n">
        <v>0</v>
      </c>
      <c r="M59" t="n">
        <v>0</v>
      </c>
      <c r="N59" t="n">
        <v>0</v>
      </c>
      <c r="O59" t="n">
        <v>3</v>
      </c>
      <c r="P59" t="n">
        <v>0</v>
      </c>
      <c r="Q59" t="n">
        <v>4</v>
      </c>
      <c r="R59" s="2" t="inlineStr">
        <is>
          <t>Skrovlig taggsvamp
Svartvit taggsvamp
Vitgrynig nållav
Dropptaggsvamp</t>
        </is>
      </c>
      <c r="S59">
        <f>HYPERLINK("https://klasma.github.io/Logging_1737/artfynd/A 16134-2023 artfynd.xlsx", "A 16134-2023")</f>
        <v/>
      </c>
      <c r="T59">
        <f>HYPERLINK("https://klasma.github.io/Logging_1737/kartor/A 16134-2023 karta.png", "A 16134-2023")</f>
        <v/>
      </c>
      <c r="V59">
        <f>HYPERLINK("https://klasma.github.io/Logging_1737/klagomål/A 16134-2023 FSC-klagomål.docx", "A 16134-2023")</f>
        <v/>
      </c>
      <c r="W59">
        <f>HYPERLINK("https://klasma.github.io/Logging_1737/klagomålsmail/A 16134-2023 FSC-klagomål mail.docx", "A 16134-2023")</f>
        <v/>
      </c>
      <c r="X59">
        <f>HYPERLINK("https://klasma.github.io/Logging_1737/tillsyn/A 16134-2023 tillsynsbegäran.docx", "A 16134-2023")</f>
        <v/>
      </c>
      <c r="Y59">
        <f>HYPERLINK("https://klasma.github.io/Logging_1737/tillsynsmail/A 16134-2023 tillsynsbegäran mail.docx", "A 16134-2023")</f>
        <v/>
      </c>
    </row>
    <row r="60" ht="15" customHeight="1">
      <c r="A60" t="inlineStr">
        <is>
          <t>A 25899-2024</t>
        </is>
      </c>
      <c r="B60" s="1" t="n">
        <v>45467</v>
      </c>
      <c r="C60" s="1" t="n">
        <v>45822</v>
      </c>
      <c r="D60" t="inlineStr">
        <is>
          <t>VÄRMLANDS LÄN</t>
        </is>
      </c>
      <c r="E60" t="inlineStr">
        <is>
          <t>TORSBY</t>
        </is>
      </c>
      <c r="G60" t="n">
        <v>28.3</v>
      </c>
      <c r="H60" t="n">
        <v>1</v>
      </c>
      <c r="I60" t="n">
        <v>1</v>
      </c>
      <c r="J60" t="n">
        <v>2</v>
      </c>
      <c r="K60" t="n">
        <v>0</v>
      </c>
      <c r="L60" t="n">
        <v>0</v>
      </c>
      <c r="M60" t="n">
        <v>0</v>
      </c>
      <c r="N60" t="n">
        <v>0</v>
      </c>
      <c r="O60" t="n">
        <v>2</v>
      </c>
      <c r="P60" t="n">
        <v>0</v>
      </c>
      <c r="Q60" t="n">
        <v>4</v>
      </c>
      <c r="R60" s="2" t="inlineStr">
        <is>
          <t>Garnlav
Lunglav
Korallblylav
Tjäder</t>
        </is>
      </c>
      <c r="S60">
        <f>HYPERLINK("https://klasma.github.io/Logging_1737/artfynd/A 25899-2024 artfynd.xlsx", "A 25899-2024")</f>
        <v/>
      </c>
      <c r="T60">
        <f>HYPERLINK("https://klasma.github.io/Logging_1737/kartor/A 25899-2024 karta.png", "A 25899-2024")</f>
        <v/>
      </c>
      <c r="V60">
        <f>HYPERLINK("https://klasma.github.io/Logging_1737/klagomål/A 25899-2024 FSC-klagomål.docx", "A 25899-2024")</f>
        <v/>
      </c>
      <c r="W60">
        <f>HYPERLINK("https://klasma.github.io/Logging_1737/klagomålsmail/A 25899-2024 FSC-klagomål mail.docx", "A 25899-2024")</f>
        <v/>
      </c>
      <c r="X60">
        <f>HYPERLINK("https://klasma.github.io/Logging_1737/tillsyn/A 25899-2024 tillsynsbegäran.docx", "A 25899-2024")</f>
        <v/>
      </c>
      <c r="Y60">
        <f>HYPERLINK("https://klasma.github.io/Logging_1737/tillsynsmail/A 25899-2024 tillsynsbegäran mail.docx", "A 25899-2024")</f>
        <v/>
      </c>
      <c r="Z60">
        <f>HYPERLINK("https://klasma.github.io/Logging_1737/fåglar/A 25899-2024 prioriterade fågelarter.docx", "A 25899-2024")</f>
        <v/>
      </c>
    </row>
    <row r="61" ht="15" customHeight="1">
      <c r="A61" t="inlineStr">
        <is>
          <t>A 37948-2024</t>
        </is>
      </c>
      <c r="B61" s="1" t="n">
        <v>45544</v>
      </c>
      <c r="C61" s="1" t="n">
        <v>45822</v>
      </c>
      <c r="D61" t="inlineStr">
        <is>
          <t>VÄRMLANDS LÄN</t>
        </is>
      </c>
      <c r="E61" t="inlineStr">
        <is>
          <t>TORSBY</t>
        </is>
      </c>
      <c r="G61" t="n">
        <v>1.6</v>
      </c>
      <c r="H61" t="n">
        <v>0</v>
      </c>
      <c r="I61" t="n">
        <v>1</v>
      </c>
      <c r="J61" t="n">
        <v>3</v>
      </c>
      <c r="K61" t="n">
        <v>0</v>
      </c>
      <c r="L61" t="n">
        <v>0</v>
      </c>
      <c r="M61" t="n">
        <v>0</v>
      </c>
      <c r="N61" t="n">
        <v>0</v>
      </c>
      <c r="O61" t="n">
        <v>3</v>
      </c>
      <c r="P61" t="n">
        <v>0</v>
      </c>
      <c r="Q61" t="n">
        <v>4</v>
      </c>
      <c r="R61" s="2" t="inlineStr">
        <is>
          <t>Gammelgransskål
Garnlav
Violettgrå tagellav
Skuggblåslav</t>
        </is>
      </c>
      <c r="S61">
        <f>HYPERLINK("https://klasma.github.io/Logging_1737/artfynd/A 37948-2024 artfynd.xlsx", "A 37948-2024")</f>
        <v/>
      </c>
      <c r="T61">
        <f>HYPERLINK("https://klasma.github.io/Logging_1737/kartor/A 37948-2024 karta.png", "A 37948-2024")</f>
        <v/>
      </c>
      <c r="V61">
        <f>HYPERLINK("https://klasma.github.io/Logging_1737/klagomål/A 37948-2024 FSC-klagomål.docx", "A 37948-2024")</f>
        <v/>
      </c>
      <c r="W61">
        <f>HYPERLINK("https://klasma.github.io/Logging_1737/klagomålsmail/A 37948-2024 FSC-klagomål mail.docx", "A 37948-2024")</f>
        <v/>
      </c>
      <c r="X61">
        <f>HYPERLINK("https://klasma.github.io/Logging_1737/tillsyn/A 37948-2024 tillsynsbegäran.docx", "A 37948-2024")</f>
        <v/>
      </c>
      <c r="Y61">
        <f>HYPERLINK("https://klasma.github.io/Logging_1737/tillsynsmail/A 37948-2024 tillsynsbegäran mail.docx", "A 37948-2024")</f>
        <v/>
      </c>
    </row>
    <row r="62" ht="15" customHeight="1">
      <c r="A62" t="inlineStr">
        <is>
          <t>A 43385-2024</t>
        </is>
      </c>
      <c r="B62" s="1" t="n">
        <v>45568</v>
      </c>
      <c r="C62" s="1" t="n">
        <v>45822</v>
      </c>
      <c r="D62" t="inlineStr">
        <is>
          <t>VÄRMLANDS LÄN</t>
        </is>
      </c>
      <c r="E62" t="inlineStr">
        <is>
          <t>TORSBY</t>
        </is>
      </c>
      <c r="G62" t="n">
        <v>3.7</v>
      </c>
      <c r="H62" t="n">
        <v>0</v>
      </c>
      <c r="I62" t="n">
        <v>1</v>
      </c>
      <c r="J62" t="n">
        <v>3</v>
      </c>
      <c r="K62" t="n">
        <v>0</v>
      </c>
      <c r="L62" t="n">
        <v>0</v>
      </c>
      <c r="M62" t="n">
        <v>0</v>
      </c>
      <c r="N62" t="n">
        <v>0</v>
      </c>
      <c r="O62" t="n">
        <v>3</v>
      </c>
      <c r="P62" t="n">
        <v>0</v>
      </c>
      <c r="Q62" t="n">
        <v>4</v>
      </c>
      <c r="R62" s="2" t="inlineStr">
        <is>
          <t>Gammelgransskål
Garnlav
Vedskivlav
Dropptaggsvamp</t>
        </is>
      </c>
      <c r="S62">
        <f>HYPERLINK("https://klasma.github.io/Logging_1737/artfynd/A 43385-2024 artfynd.xlsx", "A 43385-2024")</f>
        <v/>
      </c>
      <c r="T62">
        <f>HYPERLINK("https://klasma.github.io/Logging_1737/kartor/A 43385-2024 karta.png", "A 43385-2024")</f>
        <v/>
      </c>
      <c r="V62">
        <f>HYPERLINK("https://klasma.github.io/Logging_1737/klagomål/A 43385-2024 FSC-klagomål.docx", "A 43385-2024")</f>
        <v/>
      </c>
      <c r="W62">
        <f>HYPERLINK("https://klasma.github.io/Logging_1737/klagomålsmail/A 43385-2024 FSC-klagomål mail.docx", "A 43385-2024")</f>
        <v/>
      </c>
      <c r="X62">
        <f>HYPERLINK("https://klasma.github.io/Logging_1737/tillsyn/A 43385-2024 tillsynsbegäran.docx", "A 43385-2024")</f>
        <v/>
      </c>
      <c r="Y62">
        <f>HYPERLINK("https://klasma.github.io/Logging_1737/tillsynsmail/A 43385-2024 tillsynsbegäran mail.docx", "A 43385-2024")</f>
        <v/>
      </c>
    </row>
    <row r="63" ht="15" customHeight="1">
      <c r="A63" t="inlineStr">
        <is>
          <t>A 2938-2025</t>
        </is>
      </c>
      <c r="B63" s="1" t="n">
        <v>45678</v>
      </c>
      <c r="C63" s="1" t="n">
        <v>45822</v>
      </c>
      <c r="D63" t="inlineStr">
        <is>
          <t>VÄRMLANDS LÄN</t>
        </is>
      </c>
      <c r="E63" t="inlineStr">
        <is>
          <t>TORSBY</t>
        </is>
      </c>
      <c r="G63" t="n">
        <v>2</v>
      </c>
      <c r="H63" t="n">
        <v>2</v>
      </c>
      <c r="I63" t="n">
        <v>0</v>
      </c>
      <c r="J63" t="n">
        <v>4</v>
      </c>
      <c r="K63" t="n">
        <v>0</v>
      </c>
      <c r="L63" t="n">
        <v>0</v>
      </c>
      <c r="M63" t="n">
        <v>0</v>
      </c>
      <c r="N63" t="n">
        <v>0</v>
      </c>
      <c r="O63" t="n">
        <v>4</v>
      </c>
      <c r="P63" t="n">
        <v>0</v>
      </c>
      <c r="Q63" t="n">
        <v>4</v>
      </c>
      <c r="R63" s="2" t="inlineStr">
        <is>
          <t>Gammelgransskål
Garnlav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15086-2025</t>
        </is>
      </c>
      <c r="B64" s="1" t="n">
        <v>45743</v>
      </c>
      <c r="C64" s="1" t="n">
        <v>45822</v>
      </c>
      <c r="D64" t="inlineStr">
        <is>
          <t>VÄRMLANDS LÄN</t>
        </is>
      </c>
      <c r="E64" t="inlineStr">
        <is>
          <t>TORSBY</t>
        </is>
      </c>
      <c r="G64" t="n">
        <v>4.5</v>
      </c>
      <c r="H64" t="n">
        <v>0</v>
      </c>
      <c r="I64" t="n">
        <v>0</v>
      </c>
      <c r="J64" t="n">
        <v>4</v>
      </c>
      <c r="K64" t="n">
        <v>0</v>
      </c>
      <c r="L64" t="n">
        <v>0</v>
      </c>
      <c r="M64" t="n">
        <v>0</v>
      </c>
      <c r="N64" t="n">
        <v>0</v>
      </c>
      <c r="O64" t="n">
        <v>4</v>
      </c>
      <c r="P64" t="n">
        <v>0</v>
      </c>
      <c r="Q64" t="n">
        <v>4</v>
      </c>
      <c r="R64" s="2" t="inlineStr">
        <is>
          <t>Brunpudrad nållav
Doftskinn
Gammelgransskål
Vedskivlav</t>
        </is>
      </c>
      <c r="S64">
        <f>HYPERLINK("https://klasma.github.io/Logging_171737/artfynd/A 15086-2025 artfynd.xlsx", "A 15086-2025")</f>
        <v/>
      </c>
      <c r="T64">
        <f>HYPERLINK("https://klasma.github.io/Logging_171737/kartor/A 15086-2025 karta.png", "A 15086-2025")</f>
        <v/>
      </c>
      <c r="V64">
        <f>HYPERLINK("https://klasma.github.io/Logging_171737/klagomål/A 15086-2025 FSC-klagomål.docx", "A 15086-2025")</f>
        <v/>
      </c>
      <c r="W64">
        <f>HYPERLINK("https://klasma.github.io/Logging_171737/klagomålsmail/A 15086-2025 FSC-klagomål mail.docx", "A 15086-2025")</f>
        <v/>
      </c>
      <c r="X64">
        <f>HYPERLINK("https://klasma.github.io/Logging_171737/tillsyn/A 15086-2025 tillsynsbegäran.docx", "A 15086-2025")</f>
        <v/>
      </c>
      <c r="Y64">
        <f>HYPERLINK("https://klasma.github.io/Logging_171737/tillsynsmail/A 15086-2025 tillsynsbegäran mail.docx", "A 15086-2025")</f>
        <v/>
      </c>
    </row>
    <row r="65" ht="15" customHeight="1">
      <c r="A65" t="inlineStr">
        <is>
          <t>A 20763-2025</t>
        </is>
      </c>
      <c r="B65" s="1" t="n">
        <v>45776</v>
      </c>
      <c r="C65" s="1" t="n">
        <v>45822</v>
      </c>
      <c r="D65" t="inlineStr">
        <is>
          <t>VÄRMLANDS LÄN</t>
        </is>
      </c>
      <c r="E65" t="inlineStr">
        <is>
          <t>TORSBY</t>
        </is>
      </c>
      <c r="G65" t="n">
        <v>4.9</v>
      </c>
      <c r="H65" t="n">
        <v>0</v>
      </c>
      <c r="I65" t="n">
        <v>0</v>
      </c>
      <c r="J65" t="n">
        <v>4</v>
      </c>
      <c r="K65" t="n">
        <v>0</v>
      </c>
      <c r="L65" t="n">
        <v>0</v>
      </c>
      <c r="M65" t="n">
        <v>0</v>
      </c>
      <c r="N65" t="n">
        <v>0</v>
      </c>
      <c r="O65" t="n">
        <v>4</v>
      </c>
      <c r="P65" t="n">
        <v>0</v>
      </c>
      <c r="Q65" t="n">
        <v>4</v>
      </c>
      <c r="R65" s="2" t="inlineStr">
        <is>
          <t>Garnlav
Kolflarnlav
Mörk kolflarnlav
Vedskivlav</t>
        </is>
      </c>
      <c r="S65">
        <f>HYPERLINK("https://klasma.github.io/Logging_171737/artfynd/A 20763-2025 artfynd.xlsx", "A 20763-2025")</f>
        <v/>
      </c>
      <c r="T65">
        <f>HYPERLINK("https://klasma.github.io/Logging_171737/kartor/A 20763-2025 karta.png", "A 20763-2025")</f>
        <v/>
      </c>
      <c r="V65">
        <f>HYPERLINK("https://klasma.github.io/Logging_171737/klagomål/A 20763-2025 FSC-klagomål.docx", "A 20763-2025")</f>
        <v/>
      </c>
      <c r="W65">
        <f>HYPERLINK("https://klasma.github.io/Logging_171737/klagomålsmail/A 20763-2025 FSC-klagomål mail.docx", "A 20763-2025")</f>
        <v/>
      </c>
      <c r="X65">
        <f>HYPERLINK("https://klasma.github.io/Logging_171737/tillsyn/A 20763-2025 tillsynsbegäran.docx", "A 20763-2025")</f>
        <v/>
      </c>
      <c r="Y65">
        <f>HYPERLINK("https://klasma.github.io/Logging_171737/tillsynsmail/A 20763-2025 tillsynsbegäran mail.docx", "A 20763-2025")</f>
        <v/>
      </c>
    </row>
    <row r="66" ht="15" customHeight="1">
      <c r="A66" t="inlineStr">
        <is>
          <t>A 24010-2019</t>
        </is>
      </c>
      <c r="B66" s="1" t="n">
        <v>43598</v>
      </c>
      <c r="C66" s="1" t="n">
        <v>45822</v>
      </c>
      <c r="D66" t="inlineStr">
        <is>
          <t>VÄRMLANDS LÄN</t>
        </is>
      </c>
      <c r="E66" t="inlineStr">
        <is>
          <t>TORSBY</t>
        </is>
      </c>
      <c r="G66" t="n">
        <v>2.2</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24010-2019 artfynd.xlsx", "A 24010-2019")</f>
        <v/>
      </c>
      <c r="T66">
        <f>HYPERLINK("https://klasma.github.io/Logging_1737/kartor/A 24010-2019 karta.png", "A 24010-2019")</f>
        <v/>
      </c>
      <c r="V66">
        <f>HYPERLINK("https://klasma.github.io/Logging_1737/klagomål/A 24010-2019 FSC-klagomål.docx", "A 24010-2019")</f>
        <v/>
      </c>
      <c r="W66">
        <f>HYPERLINK("https://klasma.github.io/Logging_1737/klagomålsmail/A 24010-2019 FSC-klagomål mail.docx", "A 24010-2019")</f>
        <v/>
      </c>
      <c r="X66">
        <f>HYPERLINK("https://klasma.github.io/Logging_1737/tillsyn/A 24010-2019 tillsynsbegäran.docx", "A 24010-2019")</f>
        <v/>
      </c>
      <c r="Y66">
        <f>HYPERLINK("https://klasma.github.io/Logging_1737/tillsynsmail/A 24010-2019 tillsynsbegäran mail.docx", "A 24010-2019")</f>
        <v/>
      </c>
    </row>
    <row r="67" ht="15" customHeight="1">
      <c r="A67" t="inlineStr">
        <is>
          <t>A 26919-2019</t>
        </is>
      </c>
      <c r="B67" s="1" t="n">
        <v>43613</v>
      </c>
      <c r="C67" s="1" t="n">
        <v>45822</v>
      </c>
      <c r="D67" t="inlineStr">
        <is>
          <t>VÄRMLANDS LÄN</t>
        </is>
      </c>
      <c r="E67" t="inlineStr">
        <is>
          <t>TORSBY</t>
        </is>
      </c>
      <c r="G67" t="n">
        <v>4.6</v>
      </c>
      <c r="H67" t="n">
        <v>0</v>
      </c>
      <c r="I67" t="n">
        <v>0</v>
      </c>
      <c r="J67" t="n">
        <v>2</v>
      </c>
      <c r="K67" t="n">
        <v>0</v>
      </c>
      <c r="L67" t="n">
        <v>1</v>
      </c>
      <c r="M67" t="n">
        <v>0</v>
      </c>
      <c r="N67" t="n">
        <v>0</v>
      </c>
      <c r="O67" t="n">
        <v>3</v>
      </c>
      <c r="P67" t="n">
        <v>1</v>
      </c>
      <c r="Q67" t="n">
        <v>3</v>
      </c>
      <c r="R67" s="2" t="inlineStr">
        <is>
          <t>Broktagel
Lunglav
Violettgrå tagellav</t>
        </is>
      </c>
      <c r="S67">
        <f>HYPERLINK("https://klasma.github.io/Logging_1737/artfynd/A 26919-2019 artfynd.xlsx", "A 26919-2019")</f>
        <v/>
      </c>
      <c r="T67">
        <f>HYPERLINK("https://klasma.github.io/Logging_1737/kartor/A 26919-2019 karta.png", "A 26919-2019")</f>
        <v/>
      </c>
      <c r="V67">
        <f>HYPERLINK("https://klasma.github.io/Logging_1737/klagomål/A 26919-2019 FSC-klagomål.docx", "A 26919-2019")</f>
        <v/>
      </c>
      <c r="W67">
        <f>HYPERLINK("https://klasma.github.io/Logging_1737/klagomålsmail/A 26919-2019 FSC-klagomål mail.docx", "A 26919-2019")</f>
        <v/>
      </c>
      <c r="X67">
        <f>HYPERLINK("https://klasma.github.io/Logging_1737/tillsyn/A 26919-2019 tillsynsbegäran.docx", "A 26919-2019")</f>
        <v/>
      </c>
      <c r="Y67">
        <f>HYPERLINK("https://klasma.github.io/Logging_1737/tillsynsmail/A 26919-2019 tillsynsbegäran mail.docx", "A 26919-2019")</f>
        <v/>
      </c>
    </row>
    <row r="68" ht="15" customHeight="1">
      <c r="A68" t="inlineStr">
        <is>
          <t>A 32928-2019</t>
        </is>
      </c>
      <c r="B68" s="1" t="n">
        <v>43648</v>
      </c>
      <c r="C68" s="1" t="n">
        <v>45822</v>
      </c>
      <c r="D68" t="inlineStr">
        <is>
          <t>VÄRMLANDS LÄN</t>
        </is>
      </c>
      <c r="E68" t="inlineStr">
        <is>
          <t>TORSBY</t>
        </is>
      </c>
      <c r="G68" t="n">
        <v>5.3</v>
      </c>
      <c r="H68" t="n">
        <v>0</v>
      </c>
      <c r="I68" t="n">
        <v>0</v>
      </c>
      <c r="J68" t="n">
        <v>3</v>
      </c>
      <c r="K68" t="n">
        <v>0</v>
      </c>
      <c r="L68" t="n">
        <v>0</v>
      </c>
      <c r="M68" t="n">
        <v>0</v>
      </c>
      <c r="N68" t="n">
        <v>0</v>
      </c>
      <c r="O68" t="n">
        <v>3</v>
      </c>
      <c r="P68" t="n">
        <v>0</v>
      </c>
      <c r="Q68" t="n">
        <v>3</v>
      </c>
      <c r="R68" s="2" t="inlineStr">
        <is>
          <t>Garnlav
Lunglav
Skrovellav</t>
        </is>
      </c>
      <c r="S68">
        <f>HYPERLINK("https://klasma.github.io/Logging_1737/artfynd/A 32928-2019 artfynd.xlsx", "A 32928-2019")</f>
        <v/>
      </c>
      <c r="T68">
        <f>HYPERLINK("https://klasma.github.io/Logging_1737/kartor/A 32928-2019 karta.png", "A 32928-2019")</f>
        <v/>
      </c>
      <c r="V68">
        <f>HYPERLINK("https://klasma.github.io/Logging_1737/klagomål/A 32928-2019 FSC-klagomål.docx", "A 32928-2019")</f>
        <v/>
      </c>
      <c r="W68">
        <f>HYPERLINK("https://klasma.github.io/Logging_1737/klagomålsmail/A 32928-2019 FSC-klagomål mail.docx", "A 32928-2019")</f>
        <v/>
      </c>
      <c r="X68">
        <f>HYPERLINK("https://klasma.github.io/Logging_1737/tillsyn/A 32928-2019 tillsynsbegäran.docx", "A 32928-2019")</f>
        <v/>
      </c>
      <c r="Y68">
        <f>HYPERLINK("https://klasma.github.io/Logging_1737/tillsynsmail/A 32928-2019 tillsynsbegäran mail.docx", "A 32928-2019")</f>
        <v/>
      </c>
    </row>
    <row r="69" ht="15" customHeight="1">
      <c r="A69" t="inlineStr">
        <is>
          <t>A 38932-2019</t>
        </is>
      </c>
      <c r="B69" s="1" t="n">
        <v>43689</v>
      </c>
      <c r="C69" s="1" t="n">
        <v>45822</v>
      </c>
      <c r="D69" t="inlineStr">
        <is>
          <t>VÄRMLANDS LÄN</t>
        </is>
      </c>
      <c r="E69" t="inlineStr">
        <is>
          <t>TORSBY</t>
        </is>
      </c>
      <c r="G69" t="n">
        <v>1.3</v>
      </c>
      <c r="H69" t="n">
        <v>3</v>
      </c>
      <c r="I69" t="n">
        <v>0</v>
      </c>
      <c r="J69" t="n">
        <v>3</v>
      </c>
      <c r="K69" t="n">
        <v>0</v>
      </c>
      <c r="L69" t="n">
        <v>0</v>
      </c>
      <c r="M69" t="n">
        <v>0</v>
      </c>
      <c r="N69" t="n">
        <v>0</v>
      </c>
      <c r="O69" t="n">
        <v>3</v>
      </c>
      <c r="P69" t="n">
        <v>0</v>
      </c>
      <c r="Q69" t="n">
        <v>3</v>
      </c>
      <c r="R69" s="2" t="inlineStr">
        <is>
          <t>Buskskvätta
Grönsångare
Gulsparv</t>
        </is>
      </c>
      <c r="S69">
        <f>HYPERLINK("https://klasma.github.io/Logging_1737/artfynd/A 38932-2019 artfynd.xlsx", "A 38932-2019")</f>
        <v/>
      </c>
      <c r="T69">
        <f>HYPERLINK("https://klasma.github.io/Logging_1737/kartor/A 38932-2019 karta.png", "A 38932-2019")</f>
        <v/>
      </c>
      <c r="V69">
        <f>HYPERLINK("https://klasma.github.io/Logging_1737/klagomål/A 38932-2019 FSC-klagomål.docx", "A 38932-2019")</f>
        <v/>
      </c>
      <c r="W69">
        <f>HYPERLINK("https://klasma.github.io/Logging_1737/klagomålsmail/A 38932-2019 FSC-klagomål mail.docx", "A 38932-2019")</f>
        <v/>
      </c>
      <c r="X69">
        <f>HYPERLINK("https://klasma.github.io/Logging_1737/tillsyn/A 38932-2019 tillsynsbegäran.docx", "A 38932-2019")</f>
        <v/>
      </c>
      <c r="Y69">
        <f>HYPERLINK("https://klasma.github.io/Logging_1737/tillsynsmail/A 38932-2019 tillsynsbegäran mail.docx", "A 38932-2019")</f>
        <v/>
      </c>
      <c r="Z69">
        <f>HYPERLINK("https://klasma.github.io/Logging_1737/fåglar/A 38932-2019 prioriterade fågelarter.docx", "A 38932-2019")</f>
        <v/>
      </c>
    </row>
    <row r="70" ht="15" customHeight="1">
      <c r="A70" t="inlineStr">
        <is>
          <t>A 65913-2019</t>
        </is>
      </c>
      <c r="B70" s="1" t="n">
        <v>43805</v>
      </c>
      <c r="C70" s="1" t="n">
        <v>45822</v>
      </c>
      <c r="D70" t="inlineStr">
        <is>
          <t>VÄRMLANDS LÄN</t>
        </is>
      </c>
      <c r="E70" t="inlineStr">
        <is>
          <t>TORSBY</t>
        </is>
      </c>
      <c r="G70" t="n">
        <v>2.9</v>
      </c>
      <c r="H70" t="n">
        <v>3</v>
      </c>
      <c r="I70" t="n">
        <v>0</v>
      </c>
      <c r="J70" t="n">
        <v>2</v>
      </c>
      <c r="K70" t="n">
        <v>0</v>
      </c>
      <c r="L70" t="n">
        <v>0</v>
      </c>
      <c r="M70" t="n">
        <v>0</v>
      </c>
      <c r="N70" t="n">
        <v>0</v>
      </c>
      <c r="O70" t="n">
        <v>2</v>
      </c>
      <c r="P70" t="n">
        <v>0</v>
      </c>
      <c r="Q70" t="n">
        <v>3</v>
      </c>
      <c r="R70" s="2" t="inlineStr">
        <is>
          <t>Spillkråka
Talltita
Gråkråka</t>
        </is>
      </c>
      <c r="S70">
        <f>HYPERLINK("https://klasma.github.io/Logging_1737/artfynd/A 65913-2019 artfynd.xlsx", "A 65913-2019")</f>
        <v/>
      </c>
      <c r="T70">
        <f>HYPERLINK("https://klasma.github.io/Logging_1737/kartor/A 65913-2019 karta.png", "A 65913-2019")</f>
        <v/>
      </c>
      <c r="V70">
        <f>HYPERLINK("https://klasma.github.io/Logging_1737/klagomål/A 65913-2019 FSC-klagomål.docx", "A 65913-2019")</f>
        <v/>
      </c>
      <c r="W70">
        <f>HYPERLINK("https://klasma.github.io/Logging_1737/klagomålsmail/A 65913-2019 FSC-klagomål mail.docx", "A 65913-2019")</f>
        <v/>
      </c>
      <c r="X70">
        <f>HYPERLINK("https://klasma.github.io/Logging_1737/tillsyn/A 65913-2019 tillsynsbegäran.docx", "A 65913-2019")</f>
        <v/>
      </c>
      <c r="Y70">
        <f>HYPERLINK("https://klasma.github.io/Logging_1737/tillsynsmail/A 65913-2019 tillsynsbegäran mail.docx", "A 65913-2019")</f>
        <v/>
      </c>
      <c r="Z70">
        <f>HYPERLINK("https://klasma.github.io/Logging_1737/fåglar/A 65913-2019 prioriterade fågelarter.docx", "A 65913-2019")</f>
        <v/>
      </c>
    </row>
    <row r="71" ht="15" customHeight="1">
      <c r="A71" t="inlineStr">
        <is>
          <t>A 10035-2020</t>
        </is>
      </c>
      <c r="B71" s="1" t="n">
        <v>43882</v>
      </c>
      <c r="C71" s="1" t="n">
        <v>45822</v>
      </c>
      <c r="D71" t="inlineStr">
        <is>
          <t>VÄRMLANDS LÄN</t>
        </is>
      </c>
      <c r="E71" t="inlineStr">
        <is>
          <t>TORSBY</t>
        </is>
      </c>
      <c r="F71" t="inlineStr">
        <is>
          <t>Kyrkan</t>
        </is>
      </c>
      <c r="G71" t="n">
        <v>11.2</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10035-2020 artfynd.xlsx", "A 10035-2020")</f>
        <v/>
      </c>
      <c r="T71">
        <f>HYPERLINK("https://klasma.github.io/Logging_1737/kartor/A 10035-2020 karta.png", "A 10035-2020")</f>
        <v/>
      </c>
      <c r="V71">
        <f>HYPERLINK("https://klasma.github.io/Logging_1737/klagomål/A 10035-2020 FSC-klagomål.docx", "A 10035-2020")</f>
        <v/>
      </c>
      <c r="W71">
        <f>HYPERLINK("https://klasma.github.io/Logging_1737/klagomålsmail/A 10035-2020 FSC-klagomål mail.docx", "A 10035-2020")</f>
        <v/>
      </c>
      <c r="X71">
        <f>HYPERLINK("https://klasma.github.io/Logging_1737/tillsyn/A 10035-2020 tillsynsbegäran.docx", "A 10035-2020")</f>
        <v/>
      </c>
      <c r="Y71">
        <f>HYPERLINK("https://klasma.github.io/Logging_1737/tillsynsmail/A 10035-2020 tillsynsbegäran mail.docx", "A 10035-2020")</f>
        <v/>
      </c>
    </row>
    <row r="72" ht="15" customHeight="1">
      <c r="A72" t="inlineStr">
        <is>
          <t>A 16101-2020</t>
        </is>
      </c>
      <c r="B72" s="1" t="n">
        <v>43916</v>
      </c>
      <c r="C72" s="1" t="n">
        <v>45822</v>
      </c>
      <c r="D72" t="inlineStr">
        <is>
          <t>VÄRMLANDS LÄN</t>
        </is>
      </c>
      <c r="E72" t="inlineStr">
        <is>
          <t>TORSBY</t>
        </is>
      </c>
      <c r="G72" t="n">
        <v>14.6</v>
      </c>
      <c r="H72" t="n">
        <v>3</v>
      </c>
      <c r="I72" t="n">
        <v>0</v>
      </c>
      <c r="J72" t="n">
        <v>1</v>
      </c>
      <c r="K72" t="n">
        <v>0</v>
      </c>
      <c r="L72" t="n">
        <v>0</v>
      </c>
      <c r="M72" t="n">
        <v>0</v>
      </c>
      <c r="N72" t="n">
        <v>0</v>
      </c>
      <c r="O72" t="n">
        <v>1</v>
      </c>
      <c r="P72" t="n">
        <v>0</v>
      </c>
      <c r="Q72" t="n">
        <v>3</v>
      </c>
      <c r="R72" s="2" t="inlineStr">
        <is>
          <t>Spillkråka
Orre
Tjäder</t>
        </is>
      </c>
      <c r="S72">
        <f>HYPERLINK("https://klasma.github.io/Logging_1737/artfynd/A 16101-2020 artfynd.xlsx", "A 16101-2020")</f>
        <v/>
      </c>
      <c r="T72">
        <f>HYPERLINK("https://klasma.github.io/Logging_1737/kartor/A 16101-2020 karta.png", "A 16101-2020")</f>
        <v/>
      </c>
      <c r="V72">
        <f>HYPERLINK("https://klasma.github.io/Logging_1737/klagomål/A 16101-2020 FSC-klagomål.docx", "A 16101-2020")</f>
        <v/>
      </c>
      <c r="W72">
        <f>HYPERLINK("https://klasma.github.io/Logging_1737/klagomålsmail/A 16101-2020 FSC-klagomål mail.docx", "A 16101-2020")</f>
        <v/>
      </c>
      <c r="X72">
        <f>HYPERLINK("https://klasma.github.io/Logging_1737/tillsyn/A 16101-2020 tillsynsbegäran.docx", "A 16101-2020")</f>
        <v/>
      </c>
      <c r="Y72">
        <f>HYPERLINK("https://klasma.github.io/Logging_1737/tillsynsmail/A 16101-2020 tillsynsbegäran mail.docx", "A 16101-2020")</f>
        <v/>
      </c>
      <c r="Z72">
        <f>HYPERLINK("https://klasma.github.io/Logging_1737/fåglar/A 16101-2020 prioriterade fågelarter.docx", "A 16101-2020")</f>
        <v/>
      </c>
    </row>
    <row r="73" ht="15" customHeight="1">
      <c r="A73" t="inlineStr">
        <is>
          <t>A 46200-2020</t>
        </is>
      </c>
      <c r="B73" s="1" t="n">
        <v>44092</v>
      </c>
      <c r="C73" s="1" t="n">
        <v>45822</v>
      </c>
      <c r="D73" t="inlineStr">
        <is>
          <t>VÄRMLANDS LÄN</t>
        </is>
      </c>
      <c r="E73" t="inlineStr">
        <is>
          <t>TORSBY</t>
        </is>
      </c>
      <c r="F73" t="inlineStr">
        <is>
          <t>Bergvik skog väst AB</t>
        </is>
      </c>
      <c r="G73" t="n">
        <v>8.6</v>
      </c>
      <c r="H73" t="n">
        <v>0</v>
      </c>
      <c r="I73" t="n">
        <v>1</v>
      </c>
      <c r="J73" t="n">
        <v>2</v>
      </c>
      <c r="K73" t="n">
        <v>0</v>
      </c>
      <c r="L73" t="n">
        <v>0</v>
      </c>
      <c r="M73" t="n">
        <v>0</v>
      </c>
      <c r="N73" t="n">
        <v>0</v>
      </c>
      <c r="O73" t="n">
        <v>2</v>
      </c>
      <c r="P73" t="n">
        <v>0</v>
      </c>
      <c r="Q73" t="n">
        <v>3</v>
      </c>
      <c r="R73" s="2" t="inlineStr">
        <is>
          <t>Myskmåra
Spatelfibbla
Kransrams</t>
        </is>
      </c>
      <c r="S73">
        <f>HYPERLINK("https://klasma.github.io/Logging_1737/artfynd/A 46200-2020 artfynd.xlsx", "A 46200-2020")</f>
        <v/>
      </c>
      <c r="T73">
        <f>HYPERLINK("https://klasma.github.io/Logging_1737/kartor/A 46200-2020 karta.png", "A 46200-2020")</f>
        <v/>
      </c>
      <c r="V73">
        <f>HYPERLINK("https://klasma.github.io/Logging_1737/klagomål/A 46200-2020 FSC-klagomål.docx", "A 46200-2020")</f>
        <v/>
      </c>
      <c r="W73">
        <f>HYPERLINK("https://klasma.github.io/Logging_1737/klagomålsmail/A 46200-2020 FSC-klagomål mail.docx", "A 46200-2020")</f>
        <v/>
      </c>
      <c r="X73">
        <f>HYPERLINK("https://klasma.github.io/Logging_1737/tillsyn/A 46200-2020 tillsynsbegäran.docx", "A 46200-2020")</f>
        <v/>
      </c>
      <c r="Y73">
        <f>HYPERLINK("https://klasma.github.io/Logging_1737/tillsynsmail/A 46200-2020 tillsynsbegäran mail.docx", "A 46200-2020")</f>
        <v/>
      </c>
    </row>
    <row r="74" ht="15" customHeight="1">
      <c r="A74" t="inlineStr">
        <is>
          <t>A 16545-2021</t>
        </is>
      </c>
      <c r="B74" s="1" t="n">
        <v>44293</v>
      </c>
      <c r="C74" s="1" t="n">
        <v>45822</v>
      </c>
      <c r="D74" t="inlineStr">
        <is>
          <t>VÄRMLANDS LÄN</t>
        </is>
      </c>
      <c r="E74" t="inlineStr">
        <is>
          <t>TORSBY</t>
        </is>
      </c>
      <c r="G74" t="n">
        <v>140.3</v>
      </c>
      <c r="H74" t="n">
        <v>3</v>
      </c>
      <c r="I74" t="n">
        <v>0</v>
      </c>
      <c r="J74" t="n">
        <v>1</v>
      </c>
      <c r="K74" t="n">
        <v>0</v>
      </c>
      <c r="L74" t="n">
        <v>0</v>
      </c>
      <c r="M74" t="n">
        <v>0</v>
      </c>
      <c r="N74" t="n">
        <v>0</v>
      </c>
      <c r="O74" t="n">
        <v>1</v>
      </c>
      <c r="P74" t="n">
        <v>0</v>
      </c>
      <c r="Q74" t="n">
        <v>3</v>
      </c>
      <c r="R74" s="2" t="inlineStr">
        <is>
          <t>Spillkråka
Större vattensalamander
Mindre vattensalamander</t>
        </is>
      </c>
      <c r="S74">
        <f>HYPERLINK("https://klasma.github.io/Logging_1737/artfynd/A 16545-2021 artfynd.xlsx", "A 16545-2021")</f>
        <v/>
      </c>
      <c r="T74">
        <f>HYPERLINK("https://klasma.github.io/Logging_1737/kartor/A 16545-2021 karta.png", "A 16545-2021")</f>
        <v/>
      </c>
      <c r="V74">
        <f>HYPERLINK("https://klasma.github.io/Logging_1737/klagomål/A 16545-2021 FSC-klagomål.docx", "A 16545-2021")</f>
        <v/>
      </c>
      <c r="W74">
        <f>HYPERLINK("https://klasma.github.io/Logging_1737/klagomålsmail/A 16545-2021 FSC-klagomål mail.docx", "A 16545-2021")</f>
        <v/>
      </c>
      <c r="X74">
        <f>HYPERLINK("https://klasma.github.io/Logging_1737/tillsyn/A 16545-2021 tillsynsbegäran.docx", "A 16545-2021")</f>
        <v/>
      </c>
      <c r="Y74">
        <f>HYPERLINK("https://klasma.github.io/Logging_1737/tillsynsmail/A 16545-2021 tillsynsbegäran mail.docx", "A 16545-2021")</f>
        <v/>
      </c>
      <c r="Z74">
        <f>HYPERLINK("https://klasma.github.io/Logging_1737/fåglar/A 16545-2021 prioriterade fågelarter.docx", "A 16545-2021")</f>
        <v/>
      </c>
    </row>
    <row r="75" ht="15" customHeight="1">
      <c r="A75" t="inlineStr">
        <is>
          <t>A 67528-2021</t>
        </is>
      </c>
      <c r="B75" s="1" t="n">
        <v>44524</v>
      </c>
      <c r="C75" s="1" t="n">
        <v>45822</v>
      </c>
      <c r="D75" t="inlineStr">
        <is>
          <t>VÄRMLANDS LÄN</t>
        </is>
      </c>
      <c r="E75" t="inlineStr">
        <is>
          <t>TORSBY</t>
        </is>
      </c>
      <c r="G75" t="n">
        <v>47</v>
      </c>
      <c r="H75" t="n">
        <v>1</v>
      </c>
      <c r="I75" t="n">
        <v>1</v>
      </c>
      <c r="J75" t="n">
        <v>1</v>
      </c>
      <c r="K75" t="n">
        <v>0</v>
      </c>
      <c r="L75" t="n">
        <v>0</v>
      </c>
      <c r="M75" t="n">
        <v>0</v>
      </c>
      <c r="N75" t="n">
        <v>0</v>
      </c>
      <c r="O75" t="n">
        <v>1</v>
      </c>
      <c r="P75" t="n">
        <v>0</v>
      </c>
      <c r="Q75" t="n">
        <v>3</v>
      </c>
      <c r="R75" s="2" t="inlineStr">
        <is>
          <t>Garnlav
Vedticka
Tjäder</t>
        </is>
      </c>
      <c r="S75">
        <f>HYPERLINK("https://klasma.github.io/Logging_1737/artfynd/A 67528-2021 artfynd.xlsx", "A 67528-2021")</f>
        <v/>
      </c>
      <c r="T75">
        <f>HYPERLINK("https://klasma.github.io/Logging_1737/kartor/A 67528-2021 karta.png", "A 67528-2021")</f>
        <v/>
      </c>
      <c r="V75">
        <f>HYPERLINK("https://klasma.github.io/Logging_1737/klagomål/A 67528-2021 FSC-klagomål.docx", "A 67528-2021")</f>
        <v/>
      </c>
      <c r="W75">
        <f>HYPERLINK("https://klasma.github.io/Logging_1737/klagomålsmail/A 67528-2021 FSC-klagomål mail.docx", "A 67528-2021")</f>
        <v/>
      </c>
      <c r="X75">
        <f>HYPERLINK("https://klasma.github.io/Logging_1737/tillsyn/A 67528-2021 tillsynsbegäran.docx", "A 67528-2021")</f>
        <v/>
      </c>
      <c r="Y75">
        <f>HYPERLINK("https://klasma.github.io/Logging_1737/tillsynsmail/A 67528-2021 tillsynsbegäran mail.docx", "A 67528-2021")</f>
        <v/>
      </c>
      <c r="Z75">
        <f>HYPERLINK("https://klasma.github.io/Logging_1737/fåglar/A 67528-2021 prioriterade fågelarter.docx", "A 67528-2021")</f>
        <v/>
      </c>
    </row>
    <row r="76" ht="15" customHeight="1">
      <c r="A76" t="inlineStr">
        <is>
          <t>A 70301-2021</t>
        </is>
      </c>
      <c r="B76" s="1" t="n">
        <v>44536</v>
      </c>
      <c r="C76" s="1" t="n">
        <v>45822</v>
      </c>
      <c r="D76" t="inlineStr">
        <is>
          <t>VÄRMLANDS LÄN</t>
        </is>
      </c>
      <c r="E76" t="inlineStr">
        <is>
          <t>TORSBY</t>
        </is>
      </c>
      <c r="G76" t="n">
        <v>1</v>
      </c>
      <c r="H76" t="n">
        <v>0</v>
      </c>
      <c r="I76" t="n">
        <v>1</v>
      </c>
      <c r="J76" t="n">
        <v>2</v>
      </c>
      <c r="K76" t="n">
        <v>0</v>
      </c>
      <c r="L76" t="n">
        <v>0</v>
      </c>
      <c r="M76" t="n">
        <v>0</v>
      </c>
      <c r="N76" t="n">
        <v>0</v>
      </c>
      <c r="O76" t="n">
        <v>2</v>
      </c>
      <c r="P76" t="n">
        <v>0</v>
      </c>
      <c r="Q76" t="n">
        <v>3</v>
      </c>
      <c r="R76" s="2" t="inlineStr">
        <is>
          <t>Gammelgransskål
Garnlav
Stuplav</t>
        </is>
      </c>
      <c r="S76">
        <f>HYPERLINK("https://klasma.github.io/Logging_1737/artfynd/A 70301-2021 artfynd.xlsx", "A 70301-2021")</f>
        <v/>
      </c>
      <c r="T76">
        <f>HYPERLINK("https://klasma.github.io/Logging_1737/kartor/A 70301-2021 karta.png", "A 70301-2021")</f>
        <v/>
      </c>
      <c r="V76">
        <f>HYPERLINK("https://klasma.github.io/Logging_1737/klagomål/A 70301-2021 FSC-klagomål.docx", "A 70301-2021")</f>
        <v/>
      </c>
      <c r="W76">
        <f>HYPERLINK("https://klasma.github.io/Logging_1737/klagomålsmail/A 70301-2021 FSC-klagomål mail.docx", "A 70301-2021")</f>
        <v/>
      </c>
      <c r="X76">
        <f>HYPERLINK("https://klasma.github.io/Logging_1737/tillsyn/A 70301-2021 tillsynsbegäran.docx", "A 70301-2021")</f>
        <v/>
      </c>
      <c r="Y76">
        <f>HYPERLINK("https://klasma.github.io/Logging_1737/tillsynsmail/A 70301-2021 tillsynsbegäran mail.docx", "A 70301-2021")</f>
        <v/>
      </c>
    </row>
    <row r="77" ht="15" customHeight="1">
      <c r="A77" t="inlineStr">
        <is>
          <t>A 8514-2022</t>
        </is>
      </c>
      <c r="B77" s="1" t="n">
        <v>44613</v>
      </c>
      <c r="C77" s="1" t="n">
        <v>45822</v>
      </c>
      <c r="D77" t="inlineStr">
        <is>
          <t>VÄRMLANDS LÄN</t>
        </is>
      </c>
      <c r="E77" t="inlineStr">
        <is>
          <t>TORSBY</t>
        </is>
      </c>
      <c r="G77" t="n">
        <v>4.4</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row>
    <row r="78" ht="15" customHeight="1">
      <c r="A78" t="inlineStr">
        <is>
          <t>A 23576-2022</t>
        </is>
      </c>
      <c r="B78" s="1" t="n">
        <v>44721</v>
      </c>
      <c r="C78" s="1" t="n">
        <v>45822</v>
      </c>
      <c r="D78" t="inlineStr">
        <is>
          <t>VÄRMLANDS LÄN</t>
        </is>
      </c>
      <c r="E78" t="inlineStr">
        <is>
          <t>TORSBY</t>
        </is>
      </c>
      <c r="G78" t="n">
        <v>8.5</v>
      </c>
      <c r="H78" t="n">
        <v>0</v>
      </c>
      <c r="I78" t="n">
        <v>1</v>
      </c>
      <c r="J78" t="n">
        <v>2</v>
      </c>
      <c r="K78" t="n">
        <v>0</v>
      </c>
      <c r="L78" t="n">
        <v>0</v>
      </c>
      <c r="M78" t="n">
        <v>0</v>
      </c>
      <c r="N78" t="n">
        <v>0</v>
      </c>
      <c r="O78" t="n">
        <v>2</v>
      </c>
      <c r="P78" t="n">
        <v>0</v>
      </c>
      <c r="Q78" t="n">
        <v>3</v>
      </c>
      <c r="R78" s="2" t="inlineStr">
        <is>
          <t>Garnlav
Violettgrå tagellav
Gulnål</t>
        </is>
      </c>
      <c r="S78">
        <f>HYPERLINK("https://klasma.github.io/Logging_1737/artfynd/A 23576-2022 artfynd.xlsx", "A 23576-2022")</f>
        <v/>
      </c>
      <c r="T78">
        <f>HYPERLINK("https://klasma.github.io/Logging_1737/kartor/A 23576-2022 karta.png", "A 23576-2022")</f>
        <v/>
      </c>
      <c r="V78">
        <f>HYPERLINK("https://klasma.github.io/Logging_1737/klagomål/A 23576-2022 FSC-klagomål.docx", "A 23576-2022")</f>
        <v/>
      </c>
      <c r="W78">
        <f>HYPERLINK("https://klasma.github.io/Logging_1737/klagomålsmail/A 23576-2022 FSC-klagomål mail.docx", "A 23576-2022")</f>
        <v/>
      </c>
      <c r="X78">
        <f>HYPERLINK("https://klasma.github.io/Logging_1737/tillsyn/A 23576-2022 tillsynsbegäran.docx", "A 23576-2022")</f>
        <v/>
      </c>
      <c r="Y78">
        <f>HYPERLINK("https://klasma.github.io/Logging_1737/tillsynsmail/A 23576-2022 tillsynsbegäran mail.docx", "A 23576-2022")</f>
        <v/>
      </c>
    </row>
    <row r="79" ht="15" customHeight="1">
      <c r="A79" t="inlineStr">
        <is>
          <t>A 42480-2022</t>
        </is>
      </c>
      <c r="B79" s="1" t="n">
        <v>44831</v>
      </c>
      <c r="C79" s="1" t="n">
        <v>45822</v>
      </c>
      <c r="D79" t="inlineStr">
        <is>
          <t>VÄRMLANDS LÄN</t>
        </is>
      </c>
      <c r="E79" t="inlineStr">
        <is>
          <t>TORSBY</t>
        </is>
      </c>
      <c r="F79" t="inlineStr">
        <is>
          <t>Kommuner</t>
        </is>
      </c>
      <c r="G79" t="n">
        <v>3.7</v>
      </c>
      <c r="H79" t="n">
        <v>1</v>
      </c>
      <c r="I79" t="n">
        <v>0</v>
      </c>
      <c r="J79" t="n">
        <v>2</v>
      </c>
      <c r="K79" t="n">
        <v>1</v>
      </c>
      <c r="L79" t="n">
        <v>0</v>
      </c>
      <c r="M79" t="n">
        <v>0</v>
      </c>
      <c r="N79" t="n">
        <v>0</v>
      </c>
      <c r="O79" t="n">
        <v>3</v>
      </c>
      <c r="P79" t="n">
        <v>1</v>
      </c>
      <c r="Q79" t="n">
        <v>3</v>
      </c>
      <c r="R79" s="2" t="inlineStr">
        <is>
          <t>Knärot
Garnlav
Vedskivlav</t>
        </is>
      </c>
      <c r="S79">
        <f>HYPERLINK("https://klasma.github.io/Logging_1737/artfynd/A 42480-2022 artfynd.xlsx", "A 42480-2022")</f>
        <v/>
      </c>
      <c r="T79">
        <f>HYPERLINK("https://klasma.github.io/Logging_1737/kartor/A 42480-2022 karta.png", "A 42480-2022")</f>
        <v/>
      </c>
      <c r="U79">
        <f>HYPERLINK("https://klasma.github.io/Logging_1737/knärot/A 42480-2022 karta knärot.png", "A 42480-2022")</f>
        <v/>
      </c>
      <c r="V79">
        <f>HYPERLINK("https://klasma.github.io/Logging_1737/klagomål/A 42480-2022 FSC-klagomål.docx", "A 42480-2022")</f>
        <v/>
      </c>
      <c r="W79">
        <f>HYPERLINK("https://klasma.github.io/Logging_1737/klagomålsmail/A 42480-2022 FSC-klagomål mail.docx", "A 42480-2022")</f>
        <v/>
      </c>
      <c r="X79">
        <f>HYPERLINK("https://klasma.github.io/Logging_1737/tillsyn/A 42480-2022 tillsynsbegäran.docx", "A 42480-2022")</f>
        <v/>
      </c>
      <c r="Y79">
        <f>HYPERLINK("https://klasma.github.io/Logging_1737/tillsynsmail/A 42480-2022 tillsynsbegäran mail.docx", "A 42480-2022")</f>
        <v/>
      </c>
    </row>
    <row r="80" ht="15" customHeight="1">
      <c r="A80" t="inlineStr">
        <is>
          <t>A 4486-2023</t>
        </is>
      </c>
      <c r="B80" s="1" t="n">
        <v>44956</v>
      </c>
      <c r="C80" s="1" t="n">
        <v>45822</v>
      </c>
      <c r="D80" t="inlineStr">
        <is>
          <t>VÄRMLANDS LÄN</t>
        </is>
      </c>
      <c r="E80" t="inlineStr">
        <is>
          <t>TORSBY</t>
        </is>
      </c>
      <c r="G80" t="n">
        <v>2.4</v>
      </c>
      <c r="H80" t="n">
        <v>0</v>
      </c>
      <c r="I80" t="n">
        <v>1</v>
      </c>
      <c r="J80" t="n">
        <v>2</v>
      </c>
      <c r="K80" t="n">
        <v>0</v>
      </c>
      <c r="L80" t="n">
        <v>0</v>
      </c>
      <c r="M80" t="n">
        <v>0</v>
      </c>
      <c r="N80" t="n">
        <v>0</v>
      </c>
      <c r="O80" t="n">
        <v>2</v>
      </c>
      <c r="P80" t="n">
        <v>0</v>
      </c>
      <c r="Q80" t="n">
        <v>3</v>
      </c>
      <c r="R80" s="2" t="inlineStr">
        <is>
          <t>Garnlav
Vedskivlav
Skinnlav</t>
        </is>
      </c>
      <c r="S80">
        <f>HYPERLINK("https://klasma.github.io/Logging_1737/artfynd/A 4486-2023 artfynd.xlsx", "A 4486-2023")</f>
        <v/>
      </c>
      <c r="T80">
        <f>HYPERLINK("https://klasma.github.io/Logging_1737/kartor/A 4486-2023 karta.png", "A 4486-2023")</f>
        <v/>
      </c>
      <c r="V80">
        <f>HYPERLINK("https://klasma.github.io/Logging_1737/klagomål/A 4486-2023 FSC-klagomål.docx", "A 4486-2023")</f>
        <v/>
      </c>
      <c r="W80">
        <f>HYPERLINK("https://klasma.github.io/Logging_1737/klagomålsmail/A 4486-2023 FSC-klagomål mail.docx", "A 4486-2023")</f>
        <v/>
      </c>
      <c r="X80">
        <f>HYPERLINK("https://klasma.github.io/Logging_1737/tillsyn/A 4486-2023 tillsynsbegäran.docx", "A 4486-2023")</f>
        <v/>
      </c>
      <c r="Y80">
        <f>HYPERLINK("https://klasma.github.io/Logging_1737/tillsynsmail/A 4486-2023 tillsynsbegäran mail.docx", "A 4486-2023")</f>
        <v/>
      </c>
    </row>
    <row r="81" ht="15" customHeight="1">
      <c r="A81" t="inlineStr">
        <is>
          <t>A 29560-2023</t>
        </is>
      </c>
      <c r="B81" s="1" t="n">
        <v>45106</v>
      </c>
      <c r="C81" s="1" t="n">
        <v>45822</v>
      </c>
      <c r="D81" t="inlineStr">
        <is>
          <t>VÄRMLANDS LÄN</t>
        </is>
      </c>
      <c r="E81" t="inlineStr">
        <is>
          <t>TORSBY</t>
        </is>
      </c>
      <c r="G81" t="n">
        <v>10.3</v>
      </c>
      <c r="H81" t="n">
        <v>2</v>
      </c>
      <c r="I81" t="n">
        <v>1</v>
      </c>
      <c r="J81" t="n">
        <v>1</v>
      </c>
      <c r="K81" t="n">
        <v>0</v>
      </c>
      <c r="L81" t="n">
        <v>0</v>
      </c>
      <c r="M81" t="n">
        <v>0</v>
      </c>
      <c r="N81" t="n">
        <v>0</v>
      </c>
      <c r="O81" t="n">
        <v>1</v>
      </c>
      <c r="P81" t="n">
        <v>0</v>
      </c>
      <c r="Q81" t="n">
        <v>3</v>
      </c>
      <c r="R81" s="2" t="inlineStr">
        <is>
          <t>Spillkråka
Tibast
Orre</t>
        </is>
      </c>
      <c r="S81">
        <f>HYPERLINK("https://klasma.github.io/Logging_1737/artfynd/A 29560-2023 artfynd.xlsx", "A 29560-2023")</f>
        <v/>
      </c>
      <c r="T81">
        <f>HYPERLINK("https://klasma.github.io/Logging_1737/kartor/A 29560-2023 karta.png", "A 29560-2023")</f>
        <v/>
      </c>
      <c r="V81">
        <f>HYPERLINK("https://klasma.github.io/Logging_1737/klagomål/A 29560-2023 FSC-klagomål.docx", "A 29560-2023")</f>
        <v/>
      </c>
      <c r="W81">
        <f>HYPERLINK("https://klasma.github.io/Logging_1737/klagomålsmail/A 29560-2023 FSC-klagomål mail.docx", "A 29560-2023")</f>
        <v/>
      </c>
      <c r="X81">
        <f>HYPERLINK("https://klasma.github.io/Logging_1737/tillsyn/A 29560-2023 tillsynsbegäran.docx", "A 29560-2023")</f>
        <v/>
      </c>
      <c r="Y81">
        <f>HYPERLINK("https://klasma.github.io/Logging_1737/tillsynsmail/A 29560-2023 tillsynsbegäran mail.docx", "A 29560-2023")</f>
        <v/>
      </c>
      <c r="Z81">
        <f>HYPERLINK("https://klasma.github.io/Logging_1737/fåglar/A 29560-2023 prioriterade fågelarter.docx", "A 29560-2023")</f>
        <v/>
      </c>
    </row>
    <row r="82" ht="15" customHeight="1">
      <c r="A82" t="inlineStr">
        <is>
          <t>A 42590-2023</t>
        </is>
      </c>
      <c r="B82" s="1" t="n">
        <v>45181</v>
      </c>
      <c r="C82" s="1" t="n">
        <v>45822</v>
      </c>
      <c r="D82" t="inlineStr">
        <is>
          <t>VÄRMLANDS LÄN</t>
        </is>
      </c>
      <c r="E82" t="inlineStr">
        <is>
          <t>TORSBY</t>
        </is>
      </c>
      <c r="G82" t="n">
        <v>12.1</v>
      </c>
      <c r="H82" t="n">
        <v>1</v>
      </c>
      <c r="I82" t="n">
        <v>0</v>
      </c>
      <c r="J82" t="n">
        <v>3</v>
      </c>
      <c r="K82" t="n">
        <v>0</v>
      </c>
      <c r="L82" t="n">
        <v>0</v>
      </c>
      <c r="M82" t="n">
        <v>0</v>
      </c>
      <c r="N82" t="n">
        <v>0</v>
      </c>
      <c r="O82" t="n">
        <v>3</v>
      </c>
      <c r="P82" t="n">
        <v>0</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46016-2023</t>
        </is>
      </c>
      <c r="B83" s="1" t="n">
        <v>45196</v>
      </c>
      <c r="C83" s="1" t="n">
        <v>45822</v>
      </c>
      <c r="D83" t="inlineStr">
        <is>
          <t>VÄRMLANDS LÄN</t>
        </is>
      </c>
      <c r="E83" t="inlineStr">
        <is>
          <t>TORSBY</t>
        </is>
      </c>
      <c r="G83" t="n">
        <v>6.3</v>
      </c>
      <c r="H83" t="n">
        <v>0</v>
      </c>
      <c r="I83" t="n">
        <v>0</v>
      </c>
      <c r="J83" t="n">
        <v>3</v>
      </c>
      <c r="K83" t="n">
        <v>0</v>
      </c>
      <c r="L83" t="n">
        <v>0</v>
      </c>
      <c r="M83" t="n">
        <v>0</v>
      </c>
      <c r="N83" t="n">
        <v>0</v>
      </c>
      <c r="O83" t="n">
        <v>3</v>
      </c>
      <c r="P83" t="n">
        <v>0</v>
      </c>
      <c r="Q83" t="n">
        <v>3</v>
      </c>
      <c r="R83" s="2" t="inlineStr">
        <is>
          <t>Dvärgbägarlav
Mörk kolflarnlav
Vedskivlav</t>
        </is>
      </c>
      <c r="S83">
        <f>HYPERLINK("https://klasma.github.io/Logging_1737/artfynd/A 46016-2023 artfynd.xlsx", "A 46016-2023")</f>
        <v/>
      </c>
      <c r="T83">
        <f>HYPERLINK("https://klasma.github.io/Logging_1737/kartor/A 46016-2023 karta.png", "A 46016-2023")</f>
        <v/>
      </c>
      <c r="V83">
        <f>HYPERLINK("https://klasma.github.io/Logging_1737/klagomål/A 46016-2023 FSC-klagomål.docx", "A 46016-2023")</f>
        <v/>
      </c>
      <c r="W83">
        <f>HYPERLINK("https://klasma.github.io/Logging_1737/klagomålsmail/A 46016-2023 FSC-klagomål mail.docx", "A 46016-2023")</f>
        <v/>
      </c>
      <c r="X83">
        <f>HYPERLINK("https://klasma.github.io/Logging_1737/tillsyn/A 46016-2023 tillsynsbegäran.docx", "A 46016-2023")</f>
        <v/>
      </c>
      <c r="Y83">
        <f>HYPERLINK("https://klasma.github.io/Logging_1737/tillsynsmail/A 46016-2023 tillsynsbegäran mail.docx", "A 46016-2023")</f>
        <v/>
      </c>
    </row>
    <row r="84" ht="15" customHeight="1">
      <c r="A84" t="inlineStr">
        <is>
          <t>A 3099-2024</t>
        </is>
      </c>
      <c r="B84" s="1" t="n">
        <v>45316</v>
      </c>
      <c r="C84" s="1" t="n">
        <v>45822</v>
      </c>
      <c r="D84" t="inlineStr">
        <is>
          <t>VÄRMLANDS LÄN</t>
        </is>
      </c>
      <c r="E84" t="inlineStr">
        <is>
          <t>TORSBY</t>
        </is>
      </c>
      <c r="G84" t="n">
        <v>6.3</v>
      </c>
      <c r="H84" t="n">
        <v>0</v>
      </c>
      <c r="I84" t="n">
        <v>1</v>
      </c>
      <c r="J84" t="n">
        <v>2</v>
      </c>
      <c r="K84" t="n">
        <v>0</v>
      </c>
      <c r="L84" t="n">
        <v>0</v>
      </c>
      <c r="M84" t="n">
        <v>0</v>
      </c>
      <c r="N84" t="n">
        <v>0</v>
      </c>
      <c r="O84" t="n">
        <v>2</v>
      </c>
      <c r="P84" t="n">
        <v>0</v>
      </c>
      <c r="Q84" t="n">
        <v>3</v>
      </c>
      <c r="R84" s="2" t="inlineStr">
        <is>
          <t>Dvärgbägarlav
Garnlav
Vedticka</t>
        </is>
      </c>
      <c r="S84">
        <f>HYPERLINK("https://klasma.github.io/Logging_1737/artfynd/A 3099-2024 artfynd.xlsx", "A 3099-2024")</f>
        <v/>
      </c>
      <c r="T84">
        <f>HYPERLINK("https://klasma.github.io/Logging_1737/kartor/A 3099-2024 karta.png", "A 3099-2024")</f>
        <v/>
      </c>
      <c r="V84">
        <f>HYPERLINK("https://klasma.github.io/Logging_1737/klagomål/A 3099-2024 FSC-klagomål.docx", "A 3099-2024")</f>
        <v/>
      </c>
      <c r="W84">
        <f>HYPERLINK("https://klasma.github.io/Logging_1737/klagomålsmail/A 3099-2024 FSC-klagomål mail.docx", "A 3099-2024")</f>
        <v/>
      </c>
      <c r="X84">
        <f>HYPERLINK("https://klasma.github.io/Logging_1737/tillsyn/A 3099-2024 tillsynsbegäran.docx", "A 3099-2024")</f>
        <v/>
      </c>
      <c r="Y84">
        <f>HYPERLINK("https://klasma.github.io/Logging_1737/tillsynsmail/A 3099-2024 tillsynsbegäran mail.docx", "A 3099-2024")</f>
        <v/>
      </c>
    </row>
    <row r="85" ht="15" customHeight="1">
      <c r="A85" t="inlineStr">
        <is>
          <t>A 5680-2024</t>
        </is>
      </c>
      <c r="B85" s="1" t="n">
        <v>45334</v>
      </c>
      <c r="C85" s="1" t="n">
        <v>45822</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Motaggsvamp
Dropptaggsvamp</t>
        </is>
      </c>
      <c r="S85">
        <f>HYPERLINK("https://klasma.github.io/Logging_1737/artfynd/A 5680-2024 artfynd.xlsx", "A 5680-2024")</f>
        <v/>
      </c>
      <c r="T85">
        <f>HYPERLINK("https://klasma.github.io/Logging_1737/kartor/A 5680-2024 karta.png", "A 5680-2024")</f>
        <v/>
      </c>
      <c r="V85">
        <f>HYPERLINK("https://klasma.github.io/Logging_1737/klagomål/A 5680-2024 FSC-klagomål.docx", "A 5680-2024")</f>
        <v/>
      </c>
      <c r="W85">
        <f>HYPERLINK("https://klasma.github.io/Logging_1737/klagomålsmail/A 5680-2024 FSC-klagomål mail.docx", "A 5680-2024")</f>
        <v/>
      </c>
      <c r="X85">
        <f>HYPERLINK("https://klasma.github.io/Logging_1737/tillsyn/A 5680-2024 tillsynsbegäran.docx", "A 5680-2024")</f>
        <v/>
      </c>
      <c r="Y85">
        <f>HYPERLINK("https://klasma.github.io/Logging_1737/tillsynsmail/A 5680-2024 tillsynsbegäran mail.docx", "A 5680-2024")</f>
        <v/>
      </c>
    </row>
    <row r="86" ht="15" customHeight="1">
      <c r="A86" t="inlineStr">
        <is>
          <t>A 18306-2024</t>
        </is>
      </c>
      <c r="B86" s="1" t="n">
        <v>45422</v>
      </c>
      <c r="C86" s="1" t="n">
        <v>45822</v>
      </c>
      <c r="D86" t="inlineStr">
        <is>
          <t>VÄRMLANDS LÄN</t>
        </is>
      </c>
      <c r="E86" t="inlineStr">
        <is>
          <t>TORSBY</t>
        </is>
      </c>
      <c r="G86" t="n">
        <v>5.5</v>
      </c>
      <c r="H86" t="n">
        <v>0</v>
      </c>
      <c r="I86" t="n">
        <v>0</v>
      </c>
      <c r="J86" t="n">
        <v>3</v>
      </c>
      <c r="K86" t="n">
        <v>0</v>
      </c>
      <c r="L86" t="n">
        <v>0</v>
      </c>
      <c r="M86" t="n">
        <v>0</v>
      </c>
      <c r="N86" t="n">
        <v>0</v>
      </c>
      <c r="O86" t="n">
        <v>3</v>
      </c>
      <c r="P86" t="n">
        <v>0</v>
      </c>
      <c r="Q86" t="n">
        <v>3</v>
      </c>
      <c r="R86" s="2" t="inlineStr">
        <is>
          <t>Garnlav
Lunglav
Tallticka</t>
        </is>
      </c>
      <c r="S86">
        <f>HYPERLINK("https://klasma.github.io/Logging_1737/artfynd/A 18306-2024 artfynd.xlsx", "A 18306-2024")</f>
        <v/>
      </c>
      <c r="T86">
        <f>HYPERLINK("https://klasma.github.io/Logging_1737/kartor/A 18306-2024 karta.png", "A 18306-2024")</f>
        <v/>
      </c>
      <c r="V86">
        <f>HYPERLINK("https://klasma.github.io/Logging_1737/klagomål/A 18306-2024 FSC-klagomål.docx", "A 18306-2024")</f>
        <v/>
      </c>
      <c r="W86">
        <f>HYPERLINK("https://klasma.github.io/Logging_1737/klagomålsmail/A 18306-2024 FSC-klagomål mail.docx", "A 18306-2024")</f>
        <v/>
      </c>
      <c r="X86">
        <f>HYPERLINK("https://klasma.github.io/Logging_1737/tillsyn/A 18306-2024 tillsynsbegäran.docx", "A 18306-2024")</f>
        <v/>
      </c>
      <c r="Y86">
        <f>HYPERLINK("https://klasma.github.io/Logging_1737/tillsynsmail/A 18306-2024 tillsynsbegäran mail.docx", "A 18306-2024")</f>
        <v/>
      </c>
    </row>
    <row r="87" ht="15" customHeight="1">
      <c r="A87" t="inlineStr">
        <is>
          <t>A 31835-2024</t>
        </is>
      </c>
      <c r="B87" s="1" t="n">
        <v>45509</v>
      </c>
      <c r="C87" s="1" t="n">
        <v>45822</v>
      </c>
      <c r="D87" t="inlineStr">
        <is>
          <t>VÄRMLANDS LÄN</t>
        </is>
      </c>
      <c r="E87" t="inlineStr">
        <is>
          <t>TORSBY</t>
        </is>
      </c>
      <c r="G87" t="n">
        <v>27.3</v>
      </c>
      <c r="H87" t="n">
        <v>0</v>
      </c>
      <c r="I87" t="n">
        <v>0</v>
      </c>
      <c r="J87" t="n">
        <v>3</v>
      </c>
      <c r="K87" t="n">
        <v>0</v>
      </c>
      <c r="L87" t="n">
        <v>0</v>
      </c>
      <c r="M87" t="n">
        <v>0</v>
      </c>
      <c r="N87" t="n">
        <v>0</v>
      </c>
      <c r="O87" t="n">
        <v>3</v>
      </c>
      <c r="P87" t="n">
        <v>0</v>
      </c>
      <c r="Q87" t="n">
        <v>3</v>
      </c>
      <c r="R87" s="2" t="inlineStr">
        <is>
          <t>Garnlav
Kolflarnlav
Mörk kolflarnlav</t>
        </is>
      </c>
      <c r="S87">
        <f>HYPERLINK("https://klasma.github.io/Logging_1737/artfynd/A 31835-2024 artfynd.xlsx", "A 31835-2024")</f>
        <v/>
      </c>
      <c r="T87">
        <f>HYPERLINK("https://klasma.github.io/Logging_1737/kartor/A 31835-2024 karta.png", "A 31835-2024")</f>
        <v/>
      </c>
      <c r="V87">
        <f>HYPERLINK("https://klasma.github.io/Logging_1737/klagomål/A 31835-2024 FSC-klagomål.docx", "A 31835-2024")</f>
        <v/>
      </c>
      <c r="W87">
        <f>HYPERLINK("https://klasma.github.io/Logging_1737/klagomålsmail/A 31835-2024 FSC-klagomål mail.docx", "A 31835-2024")</f>
        <v/>
      </c>
      <c r="X87">
        <f>HYPERLINK("https://klasma.github.io/Logging_1737/tillsyn/A 31835-2024 tillsynsbegäran.docx", "A 31835-2024")</f>
        <v/>
      </c>
      <c r="Y87">
        <f>HYPERLINK("https://klasma.github.io/Logging_1737/tillsynsmail/A 31835-2024 tillsynsbegäran mail.docx", "A 31835-2024")</f>
        <v/>
      </c>
    </row>
    <row r="88" ht="15" customHeight="1">
      <c r="A88" t="inlineStr">
        <is>
          <t>A 57190-2024</t>
        </is>
      </c>
      <c r="B88" s="1" t="n">
        <v>45629</v>
      </c>
      <c r="C88" s="1" t="n">
        <v>45822</v>
      </c>
      <c r="D88" t="inlineStr">
        <is>
          <t>VÄRMLANDS LÄN</t>
        </is>
      </c>
      <c r="E88" t="inlineStr">
        <is>
          <t>TORSBY</t>
        </is>
      </c>
      <c r="G88" t="n">
        <v>0.8</v>
      </c>
      <c r="H88" t="n">
        <v>0</v>
      </c>
      <c r="I88" t="n">
        <v>0</v>
      </c>
      <c r="J88" t="n">
        <v>3</v>
      </c>
      <c r="K88" t="n">
        <v>0</v>
      </c>
      <c r="L88" t="n">
        <v>0</v>
      </c>
      <c r="M88" t="n">
        <v>0</v>
      </c>
      <c r="N88" t="n">
        <v>0</v>
      </c>
      <c r="O88" t="n">
        <v>3</v>
      </c>
      <c r="P88" t="n">
        <v>0</v>
      </c>
      <c r="Q88" t="n">
        <v>3</v>
      </c>
      <c r="R88" s="2" t="inlineStr">
        <is>
          <t>Garnlav
Skogstrappmossa
Violettgrå tagellav</t>
        </is>
      </c>
      <c r="S88">
        <f>HYPERLINK("https://klasma.github.io/Logging_1737/artfynd/A 57190-2024 artfynd.xlsx", "A 57190-2024")</f>
        <v/>
      </c>
      <c r="T88">
        <f>HYPERLINK("https://klasma.github.io/Logging_1737/kartor/A 57190-2024 karta.png", "A 57190-2024")</f>
        <v/>
      </c>
      <c r="V88">
        <f>HYPERLINK("https://klasma.github.io/Logging_1737/klagomål/A 57190-2024 FSC-klagomål.docx", "A 57190-2024")</f>
        <v/>
      </c>
      <c r="W88">
        <f>HYPERLINK("https://klasma.github.io/Logging_1737/klagomålsmail/A 57190-2024 FSC-klagomål mail.docx", "A 57190-2024")</f>
        <v/>
      </c>
      <c r="X88">
        <f>HYPERLINK("https://klasma.github.io/Logging_1737/tillsyn/A 57190-2024 tillsynsbegäran.docx", "A 57190-2024")</f>
        <v/>
      </c>
      <c r="Y88">
        <f>HYPERLINK("https://klasma.github.io/Logging_1737/tillsynsmail/A 57190-2024 tillsynsbegäran mail.docx", "A 57190-2024")</f>
        <v/>
      </c>
    </row>
    <row r="89" ht="15" customHeight="1">
      <c r="A89" t="inlineStr">
        <is>
          <t>A 59789-2024</t>
        </is>
      </c>
      <c r="B89" s="1" t="n">
        <v>45639</v>
      </c>
      <c r="C89" s="1" t="n">
        <v>45822</v>
      </c>
      <c r="D89" t="inlineStr">
        <is>
          <t>VÄRMLANDS LÄN</t>
        </is>
      </c>
      <c r="E89" t="inlineStr">
        <is>
          <t>TORSBY</t>
        </is>
      </c>
      <c r="G89" t="n">
        <v>4.8</v>
      </c>
      <c r="H89" t="n">
        <v>0</v>
      </c>
      <c r="I89" t="n">
        <v>0</v>
      </c>
      <c r="J89" t="n">
        <v>3</v>
      </c>
      <c r="K89" t="n">
        <v>0</v>
      </c>
      <c r="L89" t="n">
        <v>0</v>
      </c>
      <c r="M89" t="n">
        <v>0</v>
      </c>
      <c r="N89" t="n">
        <v>0</v>
      </c>
      <c r="O89" t="n">
        <v>3</v>
      </c>
      <c r="P89" t="n">
        <v>0</v>
      </c>
      <c r="Q89" t="n">
        <v>3</v>
      </c>
      <c r="R89" s="2" t="inlineStr">
        <is>
          <t>Garnlav
Vedskivlav
Violettgrå tagellav</t>
        </is>
      </c>
      <c r="S89">
        <f>HYPERLINK("https://klasma.github.io/Logging_1737/artfynd/A 59789-2024 artfynd.xlsx", "A 59789-2024")</f>
        <v/>
      </c>
      <c r="T89">
        <f>HYPERLINK("https://klasma.github.io/Logging_1737/kartor/A 59789-2024 karta.png", "A 59789-2024")</f>
        <v/>
      </c>
      <c r="V89">
        <f>HYPERLINK("https://klasma.github.io/Logging_1737/klagomål/A 59789-2024 FSC-klagomål.docx", "A 59789-2024")</f>
        <v/>
      </c>
      <c r="W89">
        <f>HYPERLINK("https://klasma.github.io/Logging_1737/klagomålsmail/A 59789-2024 FSC-klagomål mail.docx", "A 59789-2024")</f>
        <v/>
      </c>
      <c r="X89">
        <f>HYPERLINK("https://klasma.github.io/Logging_1737/tillsyn/A 59789-2024 tillsynsbegäran.docx", "A 59789-2024")</f>
        <v/>
      </c>
      <c r="Y89">
        <f>HYPERLINK("https://klasma.github.io/Logging_1737/tillsynsmail/A 59789-2024 tillsynsbegäran mail.docx", "A 59789-2024")</f>
        <v/>
      </c>
    </row>
    <row r="90" ht="15" customHeight="1">
      <c r="A90" t="inlineStr">
        <is>
          <t>A 15044-2025</t>
        </is>
      </c>
      <c r="B90" s="1" t="n">
        <v>45743</v>
      </c>
      <c r="C90" s="1" t="n">
        <v>45822</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HYPERLINK("https://klasma.github.io/Logging_171737/artfynd/A 15044-2025 artfynd.xlsx", "A 15044-2025")</f>
        <v/>
      </c>
      <c r="T90">
        <f>HYPERLINK("https://klasma.github.io/Logging_171737/kartor/A 15044-2025 karta.png", "A 15044-2025")</f>
        <v/>
      </c>
      <c r="V90">
        <f>HYPERLINK("https://klasma.github.io/Logging_171737/klagomål/A 15044-2025 FSC-klagomål.docx", "A 15044-2025")</f>
        <v/>
      </c>
      <c r="W90">
        <f>HYPERLINK("https://klasma.github.io/Logging_171737/klagomålsmail/A 15044-2025 FSC-klagomål mail.docx", "A 15044-2025")</f>
        <v/>
      </c>
      <c r="X90">
        <f>HYPERLINK("https://klasma.github.io/Logging_171737/tillsyn/A 15044-2025 tillsynsbegäran.docx", "A 15044-2025")</f>
        <v/>
      </c>
      <c r="Y90">
        <f>HYPERLINK("https://klasma.github.io/Logging_171737/tillsynsmail/A 15044-2025 tillsynsbegäran mail.docx", "A 15044-2025")</f>
        <v/>
      </c>
    </row>
    <row r="91" ht="15" customHeight="1">
      <c r="A91" t="inlineStr">
        <is>
          <t>A 17740-2025</t>
        </is>
      </c>
      <c r="B91" s="1" t="n">
        <v>45758</v>
      </c>
      <c r="C91" s="1" t="n">
        <v>45822</v>
      </c>
      <c r="D91" t="inlineStr">
        <is>
          <t>VÄRMLANDS LÄN</t>
        </is>
      </c>
      <c r="E91" t="inlineStr">
        <is>
          <t>TORSBY</t>
        </is>
      </c>
      <c r="G91" t="n">
        <v>4.8</v>
      </c>
      <c r="H91" t="n">
        <v>0</v>
      </c>
      <c r="I91" t="n">
        <v>1</v>
      </c>
      <c r="J91" t="n">
        <v>2</v>
      </c>
      <c r="K91" t="n">
        <v>0</v>
      </c>
      <c r="L91" t="n">
        <v>0</v>
      </c>
      <c r="M91" t="n">
        <v>0</v>
      </c>
      <c r="N91" t="n">
        <v>0</v>
      </c>
      <c r="O91" t="n">
        <v>2</v>
      </c>
      <c r="P91" t="n">
        <v>0</v>
      </c>
      <c r="Q91" t="n">
        <v>3</v>
      </c>
      <c r="R91" s="2" t="inlineStr">
        <is>
          <t>Garnlav
Vedskivlav
Nästlav</t>
        </is>
      </c>
      <c r="S91">
        <f>HYPERLINK("https://klasma.github.io/Logging_171737/artfynd/A 17740-2025 artfynd.xlsx", "A 17740-2025")</f>
        <v/>
      </c>
      <c r="T91">
        <f>HYPERLINK("https://klasma.github.io/Logging_171737/kartor/A 17740-2025 karta.png", "A 17740-2025")</f>
        <v/>
      </c>
      <c r="V91">
        <f>HYPERLINK("https://klasma.github.io/Logging_171737/klagomål/A 17740-2025 FSC-klagomål.docx", "A 17740-2025")</f>
        <v/>
      </c>
      <c r="W91">
        <f>HYPERLINK("https://klasma.github.io/Logging_171737/klagomålsmail/A 17740-2025 FSC-klagomål mail.docx", "A 17740-2025")</f>
        <v/>
      </c>
      <c r="X91">
        <f>HYPERLINK("https://klasma.github.io/Logging_171737/tillsyn/A 17740-2025 tillsynsbegäran.docx", "A 17740-2025")</f>
        <v/>
      </c>
      <c r="Y91">
        <f>HYPERLINK("https://klasma.github.io/Logging_171737/tillsynsmail/A 17740-2025 tillsynsbegäran mail.docx", "A 17740-2025")</f>
        <v/>
      </c>
    </row>
    <row r="92" ht="15" customHeight="1">
      <c r="A92" t="inlineStr">
        <is>
          <t>A 19030-2025</t>
        </is>
      </c>
      <c r="B92" s="1" t="n">
        <v>45764</v>
      </c>
      <c r="C92" s="1" t="n">
        <v>45822</v>
      </c>
      <c r="D92" t="inlineStr">
        <is>
          <t>VÄRMLANDS LÄN</t>
        </is>
      </c>
      <c r="E92" t="inlineStr">
        <is>
          <t>TORSBY</t>
        </is>
      </c>
      <c r="F92" t="inlineStr">
        <is>
          <t>Övriga statliga verk och myndigheter</t>
        </is>
      </c>
      <c r="G92" t="n">
        <v>1.9</v>
      </c>
      <c r="H92" t="n">
        <v>0</v>
      </c>
      <c r="I92" t="n">
        <v>0</v>
      </c>
      <c r="J92" t="n">
        <v>3</v>
      </c>
      <c r="K92" t="n">
        <v>0</v>
      </c>
      <c r="L92" t="n">
        <v>0</v>
      </c>
      <c r="M92" t="n">
        <v>0</v>
      </c>
      <c r="N92" t="n">
        <v>0</v>
      </c>
      <c r="O92" t="n">
        <v>3</v>
      </c>
      <c r="P92" t="n">
        <v>0</v>
      </c>
      <c r="Q92" t="n">
        <v>3</v>
      </c>
      <c r="R92" s="2" t="inlineStr">
        <is>
          <t>Garnlav
Kolflarnlav
Mörk kolflarnlav</t>
        </is>
      </c>
      <c r="S92">
        <f>HYPERLINK("https://klasma.github.io/Logging_171737/artfynd/A 19030-2025 artfynd.xlsx", "A 19030-2025")</f>
        <v/>
      </c>
      <c r="T92">
        <f>HYPERLINK("https://klasma.github.io/Logging_171737/kartor/A 19030-2025 karta.png", "A 19030-2025")</f>
        <v/>
      </c>
      <c r="V92">
        <f>HYPERLINK("https://klasma.github.io/Logging_171737/klagomål/A 19030-2025 FSC-klagomål.docx", "A 19030-2025")</f>
        <v/>
      </c>
      <c r="W92">
        <f>HYPERLINK("https://klasma.github.io/Logging_171737/klagomålsmail/A 19030-2025 FSC-klagomål mail.docx", "A 19030-2025")</f>
        <v/>
      </c>
      <c r="X92">
        <f>HYPERLINK("https://klasma.github.io/Logging_171737/tillsyn/A 19030-2025 tillsynsbegäran.docx", "A 19030-2025")</f>
        <v/>
      </c>
      <c r="Y92">
        <f>HYPERLINK("https://klasma.github.io/Logging_171737/tillsynsmail/A 19030-2025 tillsynsbegäran mail.docx", "A 19030-2025")</f>
        <v/>
      </c>
    </row>
    <row r="93" ht="15" customHeight="1">
      <c r="A93" t="inlineStr">
        <is>
          <t>A 18528-2019</t>
        </is>
      </c>
      <c r="B93" s="1" t="n">
        <v>43559</v>
      </c>
      <c r="C93" s="1" t="n">
        <v>45822</v>
      </c>
      <c r="D93" t="inlineStr">
        <is>
          <t>VÄRMLANDS LÄN</t>
        </is>
      </c>
      <c r="E93" t="inlineStr">
        <is>
          <t>TORSBY</t>
        </is>
      </c>
      <c r="G93" t="n">
        <v>1.9</v>
      </c>
      <c r="H93" t="n">
        <v>0</v>
      </c>
      <c r="I93" t="n">
        <v>1</v>
      </c>
      <c r="J93" t="n">
        <v>1</v>
      </c>
      <c r="K93" t="n">
        <v>0</v>
      </c>
      <c r="L93" t="n">
        <v>0</v>
      </c>
      <c r="M93" t="n">
        <v>0</v>
      </c>
      <c r="N93" t="n">
        <v>0</v>
      </c>
      <c r="O93" t="n">
        <v>1</v>
      </c>
      <c r="P93" t="n">
        <v>0</v>
      </c>
      <c r="Q93" t="n">
        <v>2</v>
      </c>
      <c r="R93" s="2" t="inlineStr">
        <is>
          <t>Lunglav
Kattfotslav</t>
        </is>
      </c>
      <c r="S93">
        <f>HYPERLINK("https://klasma.github.io/Logging_1737/artfynd/A 18528-2019 artfynd.xlsx", "A 18528-2019")</f>
        <v/>
      </c>
      <c r="T93">
        <f>HYPERLINK("https://klasma.github.io/Logging_1737/kartor/A 18528-2019 karta.png", "A 18528-2019")</f>
        <v/>
      </c>
      <c r="V93">
        <f>HYPERLINK("https://klasma.github.io/Logging_1737/klagomål/A 18528-2019 FSC-klagomål.docx", "A 18528-2019")</f>
        <v/>
      </c>
      <c r="W93">
        <f>HYPERLINK("https://klasma.github.io/Logging_1737/klagomålsmail/A 18528-2019 FSC-klagomål mail.docx", "A 18528-2019")</f>
        <v/>
      </c>
      <c r="X93">
        <f>HYPERLINK("https://klasma.github.io/Logging_1737/tillsyn/A 18528-2019 tillsynsbegäran.docx", "A 18528-2019")</f>
        <v/>
      </c>
      <c r="Y93">
        <f>HYPERLINK("https://klasma.github.io/Logging_1737/tillsynsmail/A 18528-2019 tillsynsbegäran mail.docx", "A 18528-2019")</f>
        <v/>
      </c>
    </row>
    <row r="94" ht="15" customHeight="1">
      <c r="A94" t="inlineStr">
        <is>
          <t>A 47423-2019</t>
        </is>
      </c>
      <c r="B94" s="1" t="n">
        <v>43723</v>
      </c>
      <c r="C94" s="1" t="n">
        <v>45822</v>
      </c>
      <c r="D94" t="inlineStr">
        <is>
          <t>VÄRMLANDS LÄN</t>
        </is>
      </c>
      <c r="E94" t="inlineStr">
        <is>
          <t>TORSBY</t>
        </is>
      </c>
      <c r="G94" t="n">
        <v>5.1</v>
      </c>
      <c r="H94" t="n">
        <v>0</v>
      </c>
      <c r="I94" t="n">
        <v>0</v>
      </c>
      <c r="J94" t="n">
        <v>2</v>
      </c>
      <c r="K94" t="n">
        <v>0</v>
      </c>
      <c r="L94" t="n">
        <v>0</v>
      </c>
      <c r="M94" t="n">
        <v>0</v>
      </c>
      <c r="N94" t="n">
        <v>0</v>
      </c>
      <c r="O94" t="n">
        <v>2</v>
      </c>
      <c r="P94" t="n">
        <v>0</v>
      </c>
      <c r="Q94" t="n">
        <v>2</v>
      </c>
      <c r="R94" s="2" t="inlineStr">
        <is>
          <t>Gammelgransskål
Garnlav</t>
        </is>
      </c>
      <c r="S94">
        <f>HYPERLINK("https://klasma.github.io/Logging_1737/artfynd/A 47423-2019 artfynd.xlsx", "A 47423-2019")</f>
        <v/>
      </c>
      <c r="T94">
        <f>HYPERLINK("https://klasma.github.io/Logging_1737/kartor/A 47423-2019 karta.png", "A 47423-2019")</f>
        <v/>
      </c>
      <c r="V94">
        <f>HYPERLINK("https://klasma.github.io/Logging_1737/klagomål/A 47423-2019 FSC-klagomål.docx", "A 47423-2019")</f>
        <v/>
      </c>
      <c r="W94">
        <f>HYPERLINK("https://klasma.github.io/Logging_1737/klagomålsmail/A 47423-2019 FSC-klagomål mail.docx", "A 47423-2019")</f>
        <v/>
      </c>
      <c r="X94">
        <f>HYPERLINK("https://klasma.github.io/Logging_1737/tillsyn/A 47423-2019 tillsynsbegäran.docx", "A 47423-2019")</f>
        <v/>
      </c>
      <c r="Y94">
        <f>HYPERLINK("https://klasma.github.io/Logging_1737/tillsynsmail/A 47423-2019 tillsynsbegäran mail.docx", "A 47423-2019")</f>
        <v/>
      </c>
    </row>
    <row r="95" ht="15" customHeight="1">
      <c r="A95" t="inlineStr">
        <is>
          <t>A 60661-2019</t>
        </is>
      </c>
      <c r="B95" s="1" t="n">
        <v>43781</v>
      </c>
      <c r="C95" s="1" t="n">
        <v>45822</v>
      </c>
      <c r="D95" t="inlineStr">
        <is>
          <t>VÄRMLANDS LÄN</t>
        </is>
      </c>
      <c r="E95" t="inlineStr">
        <is>
          <t>TORSBY</t>
        </is>
      </c>
      <c r="F95" t="inlineStr">
        <is>
          <t>Bergvik skog väst AB</t>
        </is>
      </c>
      <c r="G95" t="n">
        <v>40.4</v>
      </c>
      <c r="H95" t="n">
        <v>2</v>
      </c>
      <c r="I95" t="n">
        <v>0</v>
      </c>
      <c r="J95" t="n">
        <v>1</v>
      </c>
      <c r="K95" t="n">
        <v>0</v>
      </c>
      <c r="L95" t="n">
        <v>0</v>
      </c>
      <c r="M95" t="n">
        <v>0</v>
      </c>
      <c r="N95" t="n">
        <v>0</v>
      </c>
      <c r="O95" t="n">
        <v>1</v>
      </c>
      <c r="P95" t="n">
        <v>0</v>
      </c>
      <c r="Q95" t="n">
        <v>2</v>
      </c>
      <c r="R95" s="2" t="inlineStr">
        <is>
          <t>Spillkråka
Gråkråka</t>
        </is>
      </c>
      <c r="S95">
        <f>HYPERLINK("https://klasma.github.io/Logging_1737/artfynd/A 60661-2019 artfynd.xlsx", "A 60661-2019")</f>
        <v/>
      </c>
      <c r="T95">
        <f>HYPERLINK("https://klasma.github.io/Logging_1737/kartor/A 60661-2019 karta.png", "A 60661-2019")</f>
        <v/>
      </c>
      <c r="V95">
        <f>HYPERLINK("https://klasma.github.io/Logging_1737/klagomål/A 60661-2019 FSC-klagomål.docx", "A 60661-2019")</f>
        <v/>
      </c>
      <c r="W95">
        <f>HYPERLINK("https://klasma.github.io/Logging_1737/klagomålsmail/A 60661-2019 FSC-klagomål mail.docx", "A 60661-2019")</f>
        <v/>
      </c>
      <c r="X95">
        <f>HYPERLINK("https://klasma.github.io/Logging_1737/tillsyn/A 60661-2019 tillsynsbegäran.docx", "A 60661-2019")</f>
        <v/>
      </c>
      <c r="Y95">
        <f>HYPERLINK("https://klasma.github.io/Logging_1737/tillsynsmail/A 60661-2019 tillsynsbegäran mail.docx", "A 60661-2019")</f>
        <v/>
      </c>
      <c r="Z95">
        <f>HYPERLINK("https://klasma.github.io/Logging_1737/fåglar/A 60661-2019 prioriterade fågelarter.docx", "A 60661-2019")</f>
        <v/>
      </c>
    </row>
    <row r="96" ht="15" customHeight="1">
      <c r="A96" t="inlineStr">
        <is>
          <t>A 53198-2020</t>
        </is>
      </c>
      <c r="B96" s="1" t="n">
        <v>44122</v>
      </c>
      <c r="C96" s="1" t="n">
        <v>45822</v>
      </c>
      <c r="D96" t="inlineStr">
        <is>
          <t>VÄRMLANDS LÄN</t>
        </is>
      </c>
      <c r="E96" t="inlineStr">
        <is>
          <t>TORSBY</t>
        </is>
      </c>
      <c r="G96" t="n">
        <v>6.5</v>
      </c>
      <c r="H96" t="n">
        <v>0</v>
      </c>
      <c r="I96" t="n">
        <v>0</v>
      </c>
      <c r="J96" t="n">
        <v>2</v>
      </c>
      <c r="K96" t="n">
        <v>0</v>
      </c>
      <c r="L96" t="n">
        <v>0</v>
      </c>
      <c r="M96" t="n">
        <v>0</v>
      </c>
      <c r="N96" t="n">
        <v>0</v>
      </c>
      <c r="O96" t="n">
        <v>2</v>
      </c>
      <c r="P96" t="n">
        <v>0</v>
      </c>
      <c r="Q96" t="n">
        <v>2</v>
      </c>
      <c r="R96" s="2" t="inlineStr">
        <is>
          <t>Garnlav
Kolflarnlav</t>
        </is>
      </c>
      <c r="S96">
        <f>HYPERLINK("https://klasma.github.io/Logging_1737/artfynd/A 53198-2020 artfynd.xlsx", "A 53198-2020")</f>
        <v/>
      </c>
      <c r="T96">
        <f>HYPERLINK("https://klasma.github.io/Logging_1737/kartor/A 53198-2020 karta.png", "A 53198-2020")</f>
        <v/>
      </c>
      <c r="V96">
        <f>HYPERLINK("https://klasma.github.io/Logging_1737/klagomål/A 53198-2020 FSC-klagomål.docx", "A 53198-2020")</f>
        <v/>
      </c>
      <c r="W96">
        <f>HYPERLINK("https://klasma.github.io/Logging_1737/klagomålsmail/A 53198-2020 FSC-klagomål mail.docx", "A 53198-2020")</f>
        <v/>
      </c>
      <c r="X96">
        <f>HYPERLINK("https://klasma.github.io/Logging_1737/tillsyn/A 53198-2020 tillsynsbegäran.docx", "A 53198-2020")</f>
        <v/>
      </c>
      <c r="Y96">
        <f>HYPERLINK("https://klasma.github.io/Logging_1737/tillsynsmail/A 53198-2020 tillsynsbegäran mail.docx", "A 53198-2020")</f>
        <v/>
      </c>
    </row>
    <row r="97" ht="15" customHeight="1">
      <c r="A97" t="inlineStr">
        <is>
          <t>A 1524-2021</t>
        </is>
      </c>
      <c r="B97" s="1" t="n">
        <v>44209</v>
      </c>
      <c r="C97" s="1" t="n">
        <v>45822</v>
      </c>
      <c r="D97" t="inlineStr">
        <is>
          <t>VÄRMLANDS LÄN</t>
        </is>
      </c>
      <c r="E97" t="inlineStr">
        <is>
          <t>TORSBY</t>
        </is>
      </c>
      <c r="G97" t="n">
        <v>1</v>
      </c>
      <c r="H97" t="n">
        <v>0</v>
      </c>
      <c r="I97" t="n">
        <v>2</v>
      </c>
      <c r="J97" t="n">
        <v>0</v>
      </c>
      <c r="K97" t="n">
        <v>0</v>
      </c>
      <c r="L97" t="n">
        <v>0</v>
      </c>
      <c r="M97" t="n">
        <v>0</v>
      </c>
      <c r="N97" t="n">
        <v>0</v>
      </c>
      <c r="O97" t="n">
        <v>0</v>
      </c>
      <c r="P97" t="n">
        <v>0</v>
      </c>
      <c r="Q97" t="n">
        <v>2</v>
      </c>
      <c r="R97" s="2" t="inlineStr">
        <is>
          <t>Dropptaggsvamp
Skarp dropptaggsvamp</t>
        </is>
      </c>
      <c r="S97">
        <f>HYPERLINK("https://klasma.github.io/Logging_1737/artfynd/A 1524-2021 artfynd.xlsx", "A 1524-2021")</f>
        <v/>
      </c>
      <c r="T97">
        <f>HYPERLINK("https://klasma.github.io/Logging_1737/kartor/A 1524-2021 karta.png", "A 1524-2021")</f>
        <v/>
      </c>
      <c r="V97">
        <f>HYPERLINK("https://klasma.github.io/Logging_1737/klagomål/A 1524-2021 FSC-klagomål.docx", "A 1524-2021")</f>
        <v/>
      </c>
      <c r="W97">
        <f>HYPERLINK("https://klasma.github.io/Logging_1737/klagomålsmail/A 1524-2021 FSC-klagomål mail.docx", "A 1524-2021")</f>
        <v/>
      </c>
      <c r="X97">
        <f>HYPERLINK("https://klasma.github.io/Logging_1737/tillsyn/A 1524-2021 tillsynsbegäran.docx", "A 1524-2021")</f>
        <v/>
      </c>
      <c r="Y97">
        <f>HYPERLINK("https://klasma.github.io/Logging_1737/tillsynsmail/A 1524-2021 tillsynsbegäran mail.docx", "A 1524-2021")</f>
        <v/>
      </c>
    </row>
    <row r="98" ht="15" customHeight="1">
      <c r="A98" t="inlineStr">
        <is>
          <t>A 43023-2021</t>
        </is>
      </c>
      <c r="B98" s="1" t="n">
        <v>44431</v>
      </c>
      <c r="C98" s="1" t="n">
        <v>45822</v>
      </c>
      <c r="D98" t="inlineStr">
        <is>
          <t>VÄRMLANDS LÄN</t>
        </is>
      </c>
      <c r="E98" t="inlineStr">
        <is>
          <t>TORSBY</t>
        </is>
      </c>
      <c r="G98" t="n">
        <v>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43023-2021 artfynd.xlsx", "A 43023-2021")</f>
        <v/>
      </c>
      <c r="T98">
        <f>HYPERLINK("https://klasma.github.io/Logging_1737/kartor/A 43023-2021 karta.png", "A 43023-2021")</f>
        <v/>
      </c>
      <c r="V98">
        <f>HYPERLINK("https://klasma.github.io/Logging_1737/klagomål/A 43023-2021 FSC-klagomål.docx", "A 43023-2021")</f>
        <v/>
      </c>
      <c r="W98">
        <f>HYPERLINK("https://klasma.github.io/Logging_1737/klagomålsmail/A 43023-2021 FSC-klagomål mail.docx", "A 43023-2021")</f>
        <v/>
      </c>
      <c r="X98">
        <f>HYPERLINK("https://klasma.github.io/Logging_1737/tillsyn/A 43023-2021 tillsynsbegäran.docx", "A 43023-2021")</f>
        <v/>
      </c>
      <c r="Y98">
        <f>HYPERLINK("https://klasma.github.io/Logging_1737/tillsynsmail/A 43023-2021 tillsynsbegäran mail.docx", "A 43023-2021")</f>
        <v/>
      </c>
    </row>
    <row r="99" ht="15" customHeight="1">
      <c r="A99" t="inlineStr">
        <is>
          <t>A 12375-2022</t>
        </is>
      </c>
      <c r="B99" s="1" t="n">
        <v>44637</v>
      </c>
      <c r="C99" s="1" t="n">
        <v>45822</v>
      </c>
      <c r="D99" t="inlineStr">
        <is>
          <t>VÄRMLANDS LÄN</t>
        </is>
      </c>
      <c r="E99" t="inlineStr">
        <is>
          <t>TORSBY</t>
        </is>
      </c>
      <c r="G99" t="n">
        <v>5.8</v>
      </c>
      <c r="H99" t="n">
        <v>0</v>
      </c>
      <c r="I99" t="n">
        <v>1</v>
      </c>
      <c r="J99" t="n">
        <v>1</v>
      </c>
      <c r="K99" t="n">
        <v>0</v>
      </c>
      <c r="L99" t="n">
        <v>0</v>
      </c>
      <c r="M99" t="n">
        <v>0</v>
      </c>
      <c r="N99" t="n">
        <v>0</v>
      </c>
      <c r="O99" t="n">
        <v>1</v>
      </c>
      <c r="P99" t="n">
        <v>0</v>
      </c>
      <c r="Q99" t="n">
        <v>2</v>
      </c>
      <c r="R99" s="2" t="inlineStr">
        <is>
          <t>Garnlav
Nästlav</t>
        </is>
      </c>
      <c r="S99">
        <f>HYPERLINK("https://klasma.github.io/Logging_1737/artfynd/A 12375-2022 artfynd.xlsx", "A 12375-2022")</f>
        <v/>
      </c>
      <c r="T99">
        <f>HYPERLINK("https://klasma.github.io/Logging_1737/kartor/A 12375-2022 karta.png", "A 12375-2022")</f>
        <v/>
      </c>
      <c r="V99">
        <f>HYPERLINK("https://klasma.github.io/Logging_1737/klagomål/A 12375-2022 FSC-klagomål.docx", "A 12375-2022")</f>
        <v/>
      </c>
      <c r="W99">
        <f>HYPERLINK("https://klasma.github.io/Logging_1737/klagomålsmail/A 12375-2022 FSC-klagomål mail.docx", "A 12375-2022")</f>
        <v/>
      </c>
      <c r="X99">
        <f>HYPERLINK("https://klasma.github.io/Logging_1737/tillsyn/A 12375-2022 tillsynsbegäran.docx", "A 12375-2022")</f>
        <v/>
      </c>
      <c r="Y99">
        <f>HYPERLINK("https://klasma.github.io/Logging_1737/tillsynsmail/A 12375-2022 tillsynsbegäran mail.docx", "A 12375-2022")</f>
        <v/>
      </c>
    </row>
    <row r="100" ht="15" customHeight="1">
      <c r="A100" t="inlineStr">
        <is>
          <t>A 12372-2022</t>
        </is>
      </c>
      <c r="B100" s="1" t="n">
        <v>44637</v>
      </c>
      <c r="C100" s="1" t="n">
        <v>45822</v>
      </c>
      <c r="D100" t="inlineStr">
        <is>
          <t>VÄRMLANDS LÄN</t>
        </is>
      </c>
      <c r="E100" t="inlineStr">
        <is>
          <t>TORSBY</t>
        </is>
      </c>
      <c r="G100" t="n">
        <v>3.4</v>
      </c>
      <c r="H100" t="n">
        <v>0</v>
      </c>
      <c r="I100" t="n">
        <v>0</v>
      </c>
      <c r="J100" t="n">
        <v>2</v>
      </c>
      <c r="K100" t="n">
        <v>0</v>
      </c>
      <c r="L100" t="n">
        <v>0</v>
      </c>
      <c r="M100" t="n">
        <v>0</v>
      </c>
      <c r="N100" t="n">
        <v>0</v>
      </c>
      <c r="O100" t="n">
        <v>2</v>
      </c>
      <c r="P100" t="n">
        <v>0</v>
      </c>
      <c r="Q100" t="n">
        <v>2</v>
      </c>
      <c r="R100" s="2" t="inlineStr">
        <is>
          <t>Gammelgransskål
Garnlav</t>
        </is>
      </c>
      <c r="S100">
        <f>HYPERLINK("https://klasma.github.io/Logging_1737/artfynd/A 12372-2022 artfynd.xlsx", "A 12372-2022")</f>
        <v/>
      </c>
      <c r="T100">
        <f>HYPERLINK("https://klasma.github.io/Logging_1737/kartor/A 12372-2022 karta.png", "A 12372-2022")</f>
        <v/>
      </c>
      <c r="V100">
        <f>HYPERLINK("https://klasma.github.io/Logging_1737/klagomål/A 12372-2022 FSC-klagomål.docx", "A 12372-2022")</f>
        <v/>
      </c>
      <c r="W100">
        <f>HYPERLINK("https://klasma.github.io/Logging_1737/klagomålsmail/A 12372-2022 FSC-klagomål mail.docx", "A 12372-2022")</f>
        <v/>
      </c>
      <c r="X100">
        <f>HYPERLINK("https://klasma.github.io/Logging_1737/tillsyn/A 12372-2022 tillsynsbegäran.docx", "A 12372-2022")</f>
        <v/>
      </c>
      <c r="Y100">
        <f>HYPERLINK("https://klasma.github.io/Logging_1737/tillsynsmail/A 12372-2022 tillsynsbegäran mail.docx", "A 12372-2022")</f>
        <v/>
      </c>
    </row>
    <row r="101" ht="15" customHeight="1">
      <c r="A101" t="inlineStr">
        <is>
          <t>A 22174-2022</t>
        </is>
      </c>
      <c r="B101" s="1" t="n">
        <v>44712</v>
      </c>
      <c r="C101" s="1" t="n">
        <v>45822</v>
      </c>
      <c r="D101" t="inlineStr">
        <is>
          <t>VÄRMLANDS LÄN</t>
        </is>
      </c>
      <c r="E101" t="inlineStr">
        <is>
          <t>TORSBY</t>
        </is>
      </c>
      <c r="G101" t="n">
        <v>11</v>
      </c>
      <c r="H101" t="n">
        <v>1</v>
      </c>
      <c r="I101" t="n">
        <v>1</v>
      </c>
      <c r="J101" t="n">
        <v>0</v>
      </c>
      <c r="K101" t="n">
        <v>0</v>
      </c>
      <c r="L101" t="n">
        <v>0</v>
      </c>
      <c r="M101" t="n">
        <v>0</v>
      </c>
      <c r="N101" t="n">
        <v>0</v>
      </c>
      <c r="O101" t="n">
        <v>0</v>
      </c>
      <c r="P101" t="n">
        <v>0</v>
      </c>
      <c r="Q101" t="n">
        <v>2</v>
      </c>
      <c r="R101" s="2" t="inlineStr">
        <is>
          <t>Svart trolldruva
Revlummer</t>
        </is>
      </c>
      <c r="S101">
        <f>HYPERLINK("https://klasma.github.io/Logging_1737/artfynd/A 22174-2022 artfynd.xlsx", "A 22174-2022")</f>
        <v/>
      </c>
      <c r="T101">
        <f>HYPERLINK("https://klasma.github.io/Logging_1737/kartor/A 22174-2022 karta.png", "A 22174-2022")</f>
        <v/>
      </c>
      <c r="V101">
        <f>HYPERLINK("https://klasma.github.io/Logging_1737/klagomål/A 22174-2022 FSC-klagomål.docx", "A 22174-2022")</f>
        <v/>
      </c>
      <c r="W101">
        <f>HYPERLINK("https://klasma.github.io/Logging_1737/klagomålsmail/A 22174-2022 FSC-klagomål mail.docx", "A 22174-2022")</f>
        <v/>
      </c>
      <c r="X101">
        <f>HYPERLINK("https://klasma.github.io/Logging_1737/tillsyn/A 22174-2022 tillsynsbegäran.docx", "A 22174-2022")</f>
        <v/>
      </c>
      <c r="Y101">
        <f>HYPERLINK("https://klasma.github.io/Logging_1737/tillsynsmail/A 22174-2022 tillsynsbegäran mail.docx", "A 22174-2022")</f>
        <v/>
      </c>
    </row>
    <row r="102" ht="15" customHeight="1">
      <c r="A102" t="inlineStr">
        <is>
          <t>A 28156-2022</t>
        </is>
      </c>
      <c r="B102" s="1" t="n">
        <v>44746</v>
      </c>
      <c r="C102" s="1" t="n">
        <v>45822</v>
      </c>
      <c r="D102" t="inlineStr">
        <is>
          <t>VÄRMLANDS LÄN</t>
        </is>
      </c>
      <c r="E102" t="inlineStr">
        <is>
          <t>TORSBY</t>
        </is>
      </c>
      <c r="F102" t="inlineStr">
        <is>
          <t>Bergvik skog väst AB</t>
        </is>
      </c>
      <c r="G102" t="n">
        <v>8.300000000000001</v>
      </c>
      <c r="H102" t="n">
        <v>0</v>
      </c>
      <c r="I102" t="n">
        <v>0</v>
      </c>
      <c r="J102" t="n">
        <v>1</v>
      </c>
      <c r="K102" t="n">
        <v>1</v>
      </c>
      <c r="L102" t="n">
        <v>0</v>
      </c>
      <c r="M102" t="n">
        <v>0</v>
      </c>
      <c r="N102" t="n">
        <v>0</v>
      </c>
      <c r="O102" t="n">
        <v>2</v>
      </c>
      <c r="P102" t="n">
        <v>1</v>
      </c>
      <c r="Q102" t="n">
        <v>2</v>
      </c>
      <c r="R102" s="2" t="inlineStr">
        <is>
          <t>Raggbock
Tallticka</t>
        </is>
      </c>
      <c r="S102">
        <f>HYPERLINK("https://klasma.github.io/Logging_1737/artfynd/A 28156-2022 artfynd.xlsx", "A 28156-2022")</f>
        <v/>
      </c>
      <c r="T102">
        <f>HYPERLINK("https://klasma.github.io/Logging_1737/kartor/A 28156-2022 karta.png", "A 28156-2022")</f>
        <v/>
      </c>
      <c r="V102">
        <f>HYPERLINK("https://klasma.github.io/Logging_1737/klagomål/A 28156-2022 FSC-klagomål.docx", "A 28156-2022")</f>
        <v/>
      </c>
      <c r="W102">
        <f>HYPERLINK("https://klasma.github.io/Logging_1737/klagomålsmail/A 28156-2022 FSC-klagomål mail.docx", "A 28156-2022")</f>
        <v/>
      </c>
      <c r="X102">
        <f>HYPERLINK("https://klasma.github.io/Logging_1737/tillsyn/A 28156-2022 tillsynsbegäran.docx", "A 28156-2022")</f>
        <v/>
      </c>
      <c r="Y102">
        <f>HYPERLINK("https://klasma.github.io/Logging_1737/tillsynsmail/A 28156-2022 tillsynsbegäran mail.docx", "A 28156-2022")</f>
        <v/>
      </c>
    </row>
    <row r="103" ht="15" customHeight="1">
      <c r="A103" t="inlineStr">
        <is>
          <t>A 34930-2022</t>
        </is>
      </c>
      <c r="B103" s="1" t="n">
        <v>44796</v>
      </c>
      <c r="C103" s="1" t="n">
        <v>45822</v>
      </c>
      <c r="D103" t="inlineStr">
        <is>
          <t>VÄRMLANDS LÄN</t>
        </is>
      </c>
      <c r="E103" t="inlineStr">
        <is>
          <t>TORSBY</t>
        </is>
      </c>
      <c r="G103" t="n">
        <v>3.3</v>
      </c>
      <c r="H103" t="n">
        <v>0</v>
      </c>
      <c r="I103" t="n">
        <v>2</v>
      </c>
      <c r="J103" t="n">
        <v>0</v>
      </c>
      <c r="K103" t="n">
        <v>0</v>
      </c>
      <c r="L103" t="n">
        <v>0</v>
      </c>
      <c r="M103" t="n">
        <v>0</v>
      </c>
      <c r="N103" t="n">
        <v>0</v>
      </c>
      <c r="O103" t="n">
        <v>0</v>
      </c>
      <c r="P103" t="n">
        <v>0</v>
      </c>
      <c r="Q103" t="n">
        <v>2</v>
      </c>
      <c r="R103" s="2" t="inlineStr">
        <is>
          <t>Mörk husmossa
Terpentinmossa</t>
        </is>
      </c>
      <c r="S103">
        <f>HYPERLINK("https://klasma.github.io/Logging_1737/artfynd/A 34930-2022 artfynd.xlsx", "A 34930-2022")</f>
        <v/>
      </c>
      <c r="T103">
        <f>HYPERLINK("https://klasma.github.io/Logging_1737/kartor/A 34930-2022 karta.png", "A 34930-2022")</f>
        <v/>
      </c>
      <c r="V103">
        <f>HYPERLINK("https://klasma.github.io/Logging_1737/klagomål/A 34930-2022 FSC-klagomål.docx", "A 34930-2022")</f>
        <v/>
      </c>
      <c r="W103">
        <f>HYPERLINK("https://klasma.github.io/Logging_1737/klagomålsmail/A 34930-2022 FSC-klagomål mail.docx", "A 34930-2022")</f>
        <v/>
      </c>
      <c r="X103">
        <f>HYPERLINK("https://klasma.github.io/Logging_1737/tillsyn/A 34930-2022 tillsynsbegäran.docx", "A 34930-2022")</f>
        <v/>
      </c>
      <c r="Y103">
        <f>HYPERLINK("https://klasma.github.io/Logging_1737/tillsynsmail/A 34930-2022 tillsynsbegäran mail.docx", "A 34930-2022")</f>
        <v/>
      </c>
    </row>
    <row r="104" ht="15" customHeight="1">
      <c r="A104" t="inlineStr">
        <is>
          <t>A 2000-2023</t>
        </is>
      </c>
      <c r="B104" s="1" t="n">
        <v>44939</v>
      </c>
      <c r="C104" s="1" t="n">
        <v>45822</v>
      </c>
      <c r="D104" t="inlineStr">
        <is>
          <t>VÄRMLANDS LÄN</t>
        </is>
      </c>
      <c r="E104" t="inlineStr">
        <is>
          <t>TORSBY</t>
        </is>
      </c>
      <c r="G104" t="n">
        <v>3.2</v>
      </c>
      <c r="H104" t="n">
        <v>2</v>
      </c>
      <c r="I104" t="n">
        <v>1</v>
      </c>
      <c r="J104" t="n">
        <v>0</v>
      </c>
      <c r="K104" t="n">
        <v>0</v>
      </c>
      <c r="L104" t="n">
        <v>0</v>
      </c>
      <c r="M104" t="n">
        <v>0</v>
      </c>
      <c r="N104" t="n">
        <v>0</v>
      </c>
      <c r="O104" t="n">
        <v>0</v>
      </c>
      <c r="P104" t="n">
        <v>0</v>
      </c>
      <c r="Q104" t="n">
        <v>2</v>
      </c>
      <c r="R104" s="2" t="inlineStr">
        <is>
          <t>Spindelblomster
Mattlummer</t>
        </is>
      </c>
      <c r="S104">
        <f>HYPERLINK("https://klasma.github.io/Logging_1737/artfynd/A 2000-2023 artfynd.xlsx", "A 2000-2023")</f>
        <v/>
      </c>
      <c r="T104">
        <f>HYPERLINK("https://klasma.github.io/Logging_1737/kartor/A 2000-2023 karta.png", "A 2000-2023")</f>
        <v/>
      </c>
      <c r="V104">
        <f>HYPERLINK("https://klasma.github.io/Logging_1737/klagomål/A 2000-2023 FSC-klagomål.docx", "A 2000-2023")</f>
        <v/>
      </c>
      <c r="W104">
        <f>HYPERLINK("https://klasma.github.io/Logging_1737/klagomålsmail/A 2000-2023 FSC-klagomål mail.docx", "A 2000-2023")</f>
        <v/>
      </c>
      <c r="X104">
        <f>HYPERLINK("https://klasma.github.io/Logging_1737/tillsyn/A 2000-2023 tillsynsbegäran.docx", "A 2000-2023")</f>
        <v/>
      </c>
      <c r="Y104">
        <f>HYPERLINK("https://klasma.github.io/Logging_1737/tillsynsmail/A 2000-2023 tillsynsbegäran mail.docx", "A 2000-2023")</f>
        <v/>
      </c>
    </row>
    <row r="105" ht="15" customHeight="1">
      <c r="A105" t="inlineStr">
        <is>
          <t>A 4718-2023</t>
        </is>
      </c>
      <c r="B105" s="1" t="n">
        <v>44957</v>
      </c>
      <c r="C105" s="1" t="n">
        <v>45822</v>
      </c>
      <c r="D105" t="inlineStr">
        <is>
          <t>VÄRMLANDS LÄN</t>
        </is>
      </c>
      <c r="E105" t="inlineStr">
        <is>
          <t>TORSBY</t>
        </is>
      </c>
      <c r="G105" t="n">
        <v>8.5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4718-2023 artfynd.xlsx", "A 4718-2023")</f>
        <v/>
      </c>
      <c r="T105">
        <f>HYPERLINK("https://klasma.github.io/Logging_1737/kartor/A 4718-2023 karta.png", "A 4718-2023")</f>
        <v/>
      </c>
      <c r="V105">
        <f>HYPERLINK("https://klasma.github.io/Logging_1737/klagomål/A 4718-2023 FSC-klagomål.docx", "A 4718-2023")</f>
        <v/>
      </c>
      <c r="W105">
        <f>HYPERLINK("https://klasma.github.io/Logging_1737/klagomålsmail/A 4718-2023 FSC-klagomål mail.docx", "A 4718-2023")</f>
        <v/>
      </c>
      <c r="X105">
        <f>HYPERLINK("https://klasma.github.io/Logging_1737/tillsyn/A 4718-2023 tillsynsbegäran.docx", "A 4718-2023")</f>
        <v/>
      </c>
      <c r="Y105">
        <f>HYPERLINK("https://klasma.github.io/Logging_1737/tillsynsmail/A 4718-2023 tillsynsbegäran mail.docx", "A 4718-2023")</f>
        <v/>
      </c>
    </row>
    <row r="106" ht="15" customHeight="1">
      <c r="A106" t="inlineStr">
        <is>
          <t>A 13364-2023</t>
        </is>
      </c>
      <c r="B106" s="1" t="n">
        <v>45005</v>
      </c>
      <c r="C106" s="1" t="n">
        <v>45822</v>
      </c>
      <c r="D106" t="inlineStr">
        <is>
          <t>VÄRMLANDS LÄN</t>
        </is>
      </c>
      <c r="E106" t="inlineStr">
        <is>
          <t>TORSBY</t>
        </is>
      </c>
      <c r="G106" t="n">
        <v>16.3</v>
      </c>
      <c r="H106" t="n">
        <v>0</v>
      </c>
      <c r="I106" t="n">
        <v>1</v>
      </c>
      <c r="J106" t="n">
        <v>1</v>
      </c>
      <c r="K106" t="n">
        <v>0</v>
      </c>
      <c r="L106" t="n">
        <v>0</v>
      </c>
      <c r="M106" t="n">
        <v>0</v>
      </c>
      <c r="N106" t="n">
        <v>0</v>
      </c>
      <c r="O106" t="n">
        <v>1</v>
      </c>
      <c r="P106" t="n">
        <v>0</v>
      </c>
      <c r="Q106" t="n">
        <v>2</v>
      </c>
      <c r="R106" s="2" t="inlineStr">
        <is>
          <t>Mörk kolflarnlav
Dropptaggsvamp</t>
        </is>
      </c>
      <c r="S106">
        <f>HYPERLINK("https://klasma.github.io/Logging_1737/artfynd/A 13364-2023 artfynd.xlsx", "A 13364-2023")</f>
        <v/>
      </c>
      <c r="T106">
        <f>HYPERLINK("https://klasma.github.io/Logging_1737/kartor/A 13364-2023 karta.png", "A 13364-2023")</f>
        <v/>
      </c>
      <c r="V106">
        <f>HYPERLINK("https://klasma.github.io/Logging_1737/klagomål/A 13364-2023 FSC-klagomål.docx", "A 13364-2023")</f>
        <v/>
      </c>
      <c r="W106">
        <f>HYPERLINK("https://klasma.github.io/Logging_1737/klagomålsmail/A 13364-2023 FSC-klagomål mail.docx", "A 13364-2023")</f>
        <v/>
      </c>
      <c r="X106">
        <f>HYPERLINK("https://klasma.github.io/Logging_1737/tillsyn/A 13364-2023 tillsynsbegäran.docx", "A 13364-2023")</f>
        <v/>
      </c>
      <c r="Y106">
        <f>HYPERLINK("https://klasma.github.io/Logging_1737/tillsynsmail/A 13364-2023 tillsynsbegäran mail.docx", "A 13364-2023")</f>
        <v/>
      </c>
    </row>
    <row r="107" ht="15" customHeight="1">
      <c r="A107" t="inlineStr">
        <is>
          <t>A 16414-2023</t>
        </is>
      </c>
      <c r="B107" s="1" t="n">
        <v>45022</v>
      </c>
      <c r="C107" s="1" t="n">
        <v>45822</v>
      </c>
      <c r="D107" t="inlineStr">
        <is>
          <t>VÄRMLANDS LÄN</t>
        </is>
      </c>
      <c r="E107" t="inlineStr">
        <is>
          <t>TORSBY</t>
        </is>
      </c>
      <c r="G107" t="n">
        <v>8.800000000000001</v>
      </c>
      <c r="H107" t="n">
        <v>2</v>
      </c>
      <c r="I107" t="n">
        <v>0</v>
      </c>
      <c r="J107" t="n">
        <v>2</v>
      </c>
      <c r="K107" t="n">
        <v>0</v>
      </c>
      <c r="L107" t="n">
        <v>0</v>
      </c>
      <c r="M107" t="n">
        <v>0</v>
      </c>
      <c r="N107" t="n">
        <v>0</v>
      </c>
      <c r="O107" t="n">
        <v>2</v>
      </c>
      <c r="P107" t="n">
        <v>0</v>
      </c>
      <c r="Q107" t="n">
        <v>2</v>
      </c>
      <c r="R107" s="2" t="inlineStr">
        <is>
          <t>Spillkråka
Talltita</t>
        </is>
      </c>
      <c r="S107">
        <f>HYPERLINK("https://klasma.github.io/Logging_1737/artfynd/A 16414-2023 artfynd.xlsx", "A 16414-2023")</f>
        <v/>
      </c>
      <c r="T107">
        <f>HYPERLINK("https://klasma.github.io/Logging_1737/kartor/A 16414-2023 karta.png", "A 16414-2023")</f>
        <v/>
      </c>
      <c r="V107">
        <f>HYPERLINK("https://klasma.github.io/Logging_1737/klagomål/A 16414-2023 FSC-klagomål.docx", "A 16414-2023")</f>
        <v/>
      </c>
      <c r="W107">
        <f>HYPERLINK("https://klasma.github.io/Logging_1737/klagomålsmail/A 16414-2023 FSC-klagomål mail.docx", "A 16414-2023")</f>
        <v/>
      </c>
      <c r="X107">
        <f>HYPERLINK("https://klasma.github.io/Logging_1737/tillsyn/A 16414-2023 tillsynsbegäran.docx", "A 16414-2023")</f>
        <v/>
      </c>
      <c r="Y107">
        <f>HYPERLINK("https://klasma.github.io/Logging_1737/tillsynsmail/A 16414-2023 tillsynsbegäran mail.docx", "A 16414-2023")</f>
        <v/>
      </c>
      <c r="Z107">
        <f>HYPERLINK("https://klasma.github.io/Logging_1737/fåglar/A 16414-2023 prioriterade fågelarter.docx", "A 16414-2023")</f>
        <v/>
      </c>
    </row>
    <row r="108" ht="15" customHeight="1">
      <c r="A108" t="inlineStr">
        <is>
          <t>A 16442-2023</t>
        </is>
      </c>
      <c r="B108" s="1" t="n">
        <v>45026</v>
      </c>
      <c r="C108" s="1" t="n">
        <v>45822</v>
      </c>
      <c r="D108" t="inlineStr">
        <is>
          <t>VÄRMLANDS LÄN</t>
        </is>
      </c>
      <c r="E108" t="inlineStr">
        <is>
          <t>TORSBY</t>
        </is>
      </c>
      <c r="G108" t="n">
        <v>2.1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16442-2023 artfynd.xlsx", "A 16442-2023")</f>
        <v/>
      </c>
      <c r="T108">
        <f>HYPERLINK("https://klasma.github.io/Logging_1737/kartor/A 16442-2023 karta.png", "A 16442-2023")</f>
        <v/>
      </c>
      <c r="V108">
        <f>HYPERLINK("https://klasma.github.io/Logging_1737/klagomål/A 16442-2023 FSC-klagomål.docx", "A 16442-2023")</f>
        <v/>
      </c>
      <c r="W108">
        <f>HYPERLINK("https://klasma.github.io/Logging_1737/klagomålsmail/A 16442-2023 FSC-klagomål mail.docx", "A 16442-2023")</f>
        <v/>
      </c>
      <c r="X108">
        <f>HYPERLINK("https://klasma.github.io/Logging_1737/tillsyn/A 16442-2023 tillsynsbegäran.docx", "A 16442-2023")</f>
        <v/>
      </c>
      <c r="Y108">
        <f>HYPERLINK("https://klasma.github.io/Logging_1737/tillsynsmail/A 16442-2023 tillsynsbegäran mail.docx", "A 16442-2023")</f>
        <v/>
      </c>
    </row>
    <row r="109" ht="15" customHeight="1">
      <c r="A109" t="inlineStr">
        <is>
          <t>A 42610-2023</t>
        </is>
      </c>
      <c r="B109" s="1" t="n">
        <v>45181</v>
      </c>
      <c r="C109" s="1" t="n">
        <v>45822</v>
      </c>
      <c r="D109" t="inlineStr">
        <is>
          <t>VÄRMLANDS LÄN</t>
        </is>
      </c>
      <c r="E109" t="inlineStr">
        <is>
          <t>TORSBY</t>
        </is>
      </c>
      <c r="G109" t="n">
        <v>16.9</v>
      </c>
      <c r="H109" t="n">
        <v>1</v>
      </c>
      <c r="I109" t="n">
        <v>0</v>
      </c>
      <c r="J109" t="n">
        <v>1</v>
      </c>
      <c r="K109" t="n">
        <v>0</v>
      </c>
      <c r="L109" t="n">
        <v>0</v>
      </c>
      <c r="M109" t="n">
        <v>0</v>
      </c>
      <c r="N109" t="n">
        <v>0</v>
      </c>
      <c r="O109" t="n">
        <v>1</v>
      </c>
      <c r="P109" t="n">
        <v>0</v>
      </c>
      <c r="Q109" t="n">
        <v>2</v>
      </c>
      <c r="R109" s="2" t="inlineStr">
        <is>
          <t>Garnlav
Tjäder</t>
        </is>
      </c>
      <c r="S109">
        <f>HYPERLINK("https://klasma.github.io/Logging_1737/artfynd/A 42610-2023 artfynd.xlsx", "A 42610-2023")</f>
        <v/>
      </c>
      <c r="T109">
        <f>HYPERLINK("https://klasma.github.io/Logging_1737/kartor/A 42610-2023 karta.png", "A 42610-2023")</f>
        <v/>
      </c>
      <c r="V109">
        <f>HYPERLINK("https://klasma.github.io/Logging_1737/klagomål/A 42610-2023 FSC-klagomål.docx", "A 42610-2023")</f>
        <v/>
      </c>
      <c r="W109">
        <f>HYPERLINK("https://klasma.github.io/Logging_1737/klagomålsmail/A 42610-2023 FSC-klagomål mail.docx", "A 42610-2023")</f>
        <v/>
      </c>
      <c r="X109">
        <f>HYPERLINK("https://klasma.github.io/Logging_1737/tillsyn/A 42610-2023 tillsynsbegäran.docx", "A 42610-2023")</f>
        <v/>
      </c>
      <c r="Y109">
        <f>HYPERLINK("https://klasma.github.io/Logging_1737/tillsynsmail/A 42610-2023 tillsynsbegäran mail.docx", "A 42610-2023")</f>
        <v/>
      </c>
      <c r="Z109">
        <f>HYPERLINK("https://klasma.github.io/Logging_1737/fåglar/A 42610-2023 prioriterade fågelarter.docx", "A 42610-2023")</f>
        <v/>
      </c>
    </row>
    <row r="110" ht="15" customHeight="1">
      <c r="A110" t="inlineStr">
        <is>
          <t>A 46008-2023</t>
        </is>
      </c>
      <c r="B110" s="1" t="n">
        <v>45196</v>
      </c>
      <c r="C110" s="1" t="n">
        <v>45822</v>
      </c>
      <c r="D110" t="inlineStr">
        <is>
          <t>VÄRMLANDS LÄN</t>
        </is>
      </c>
      <c r="E110" t="inlineStr">
        <is>
          <t>TORSBY</t>
        </is>
      </c>
      <c r="G110" t="n">
        <v>15.4</v>
      </c>
      <c r="H110" t="n">
        <v>0</v>
      </c>
      <c r="I110" t="n">
        <v>0</v>
      </c>
      <c r="J110" t="n">
        <v>2</v>
      </c>
      <c r="K110" t="n">
        <v>0</v>
      </c>
      <c r="L110" t="n">
        <v>0</v>
      </c>
      <c r="M110" t="n">
        <v>0</v>
      </c>
      <c r="N110" t="n">
        <v>0</v>
      </c>
      <c r="O110" t="n">
        <v>2</v>
      </c>
      <c r="P110" t="n">
        <v>0</v>
      </c>
      <c r="Q110" t="n">
        <v>2</v>
      </c>
      <c r="R110" s="2" t="inlineStr">
        <is>
          <t>Dvärgbägarlav
Garnlav</t>
        </is>
      </c>
      <c r="S110">
        <f>HYPERLINK("https://klasma.github.io/Logging_1737/artfynd/A 46008-2023 artfynd.xlsx", "A 46008-2023")</f>
        <v/>
      </c>
      <c r="T110">
        <f>HYPERLINK("https://klasma.github.io/Logging_1737/kartor/A 46008-2023 karta.png", "A 46008-2023")</f>
        <v/>
      </c>
      <c r="V110">
        <f>HYPERLINK("https://klasma.github.io/Logging_1737/klagomål/A 46008-2023 FSC-klagomål.docx", "A 46008-2023")</f>
        <v/>
      </c>
      <c r="W110">
        <f>HYPERLINK("https://klasma.github.io/Logging_1737/klagomålsmail/A 46008-2023 FSC-klagomål mail.docx", "A 46008-2023")</f>
        <v/>
      </c>
      <c r="X110">
        <f>HYPERLINK("https://klasma.github.io/Logging_1737/tillsyn/A 46008-2023 tillsynsbegäran.docx", "A 46008-2023")</f>
        <v/>
      </c>
      <c r="Y110">
        <f>HYPERLINK("https://klasma.github.io/Logging_1737/tillsynsmail/A 46008-2023 tillsynsbegäran mail.docx", "A 46008-2023")</f>
        <v/>
      </c>
    </row>
    <row r="111" ht="15" customHeight="1">
      <c r="A111" t="inlineStr">
        <is>
          <t>A 48292-2023</t>
        </is>
      </c>
      <c r="B111" s="1" t="n">
        <v>45205</v>
      </c>
      <c r="C111" s="1" t="n">
        <v>45822</v>
      </c>
      <c r="D111" t="inlineStr">
        <is>
          <t>VÄRMLANDS LÄN</t>
        </is>
      </c>
      <c r="E111" t="inlineStr">
        <is>
          <t>TORSBY</t>
        </is>
      </c>
      <c r="G111" t="n">
        <v>2.3</v>
      </c>
      <c r="H111" t="n">
        <v>0</v>
      </c>
      <c r="I111" t="n">
        <v>1</v>
      </c>
      <c r="J111" t="n">
        <v>1</v>
      </c>
      <c r="K111" t="n">
        <v>0</v>
      </c>
      <c r="L111" t="n">
        <v>0</v>
      </c>
      <c r="M111" t="n">
        <v>0</v>
      </c>
      <c r="N111" t="n">
        <v>0</v>
      </c>
      <c r="O111" t="n">
        <v>1</v>
      </c>
      <c r="P111" t="n">
        <v>0</v>
      </c>
      <c r="Q111" t="n">
        <v>2</v>
      </c>
      <c r="R111" s="2" t="inlineStr">
        <is>
          <t>Vedtrappmossa
Vedticka</t>
        </is>
      </c>
      <c r="S111">
        <f>HYPERLINK("https://klasma.github.io/Logging_1737/artfynd/A 48292-2023 artfynd.xlsx", "A 48292-2023")</f>
        <v/>
      </c>
      <c r="T111">
        <f>HYPERLINK("https://klasma.github.io/Logging_1737/kartor/A 48292-2023 karta.png", "A 48292-2023")</f>
        <v/>
      </c>
      <c r="V111">
        <f>HYPERLINK("https://klasma.github.io/Logging_1737/klagomål/A 48292-2023 FSC-klagomål.docx", "A 48292-2023")</f>
        <v/>
      </c>
      <c r="W111">
        <f>HYPERLINK("https://klasma.github.io/Logging_1737/klagomålsmail/A 48292-2023 FSC-klagomål mail.docx", "A 48292-2023")</f>
        <v/>
      </c>
      <c r="X111">
        <f>HYPERLINK("https://klasma.github.io/Logging_1737/tillsyn/A 48292-2023 tillsynsbegäran.docx", "A 48292-2023")</f>
        <v/>
      </c>
      <c r="Y111">
        <f>HYPERLINK("https://klasma.github.io/Logging_1737/tillsynsmail/A 48292-2023 tillsynsbegäran mail.docx", "A 48292-2023")</f>
        <v/>
      </c>
    </row>
    <row r="112" ht="15" customHeight="1">
      <c r="A112" t="inlineStr">
        <is>
          <t>A 62955-2023</t>
        </is>
      </c>
      <c r="B112" s="1" t="n">
        <v>45271</v>
      </c>
      <c r="C112" s="1" t="n">
        <v>45822</v>
      </c>
      <c r="D112" t="inlineStr">
        <is>
          <t>VÄRMLANDS LÄN</t>
        </is>
      </c>
      <c r="E112" t="inlineStr">
        <is>
          <t>TORSBY</t>
        </is>
      </c>
      <c r="F112" t="inlineStr">
        <is>
          <t>Övriga statliga verk och myndigheter</t>
        </is>
      </c>
      <c r="G112" t="n">
        <v>4.2</v>
      </c>
      <c r="H112" t="n">
        <v>0</v>
      </c>
      <c r="I112" t="n">
        <v>0</v>
      </c>
      <c r="J112" t="n">
        <v>2</v>
      </c>
      <c r="K112" t="n">
        <v>0</v>
      </c>
      <c r="L112" t="n">
        <v>0</v>
      </c>
      <c r="M112" t="n">
        <v>0</v>
      </c>
      <c r="N112" t="n">
        <v>0</v>
      </c>
      <c r="O112" t="n">
        <v>2</v>
      </c>
      <c r="P112" t="n">
        <v>0</v>
      </c>
      <c r="Q112" t="n">
        <v>2</v>
      </c>
      <c r="R112" s="2" t="inlineStr">
        <is>
          <t>Garnlav
Vedtrappmossa</t>
        </is>
      </c>
      <c r="S112">
        <f>HYPERLINK("https://klasma.github.io/Logging_1737/artfynd/A 62955-2023 artfynd.xlsx", "A 62955-2023")</f>
        <v/>
      </c>
      <c r="T112">
        <f>HYPERLINK("https://klasma.github.io/Logging_1737/kartor/A 62955-2023 karta.png", "A 62955-2023")</f>
        <v/>
      </c>
      <c r="V112">
        <f>HYPERLINK("https://klasma.github.io/Logging_1737/klagomål/A 62955-2023 FSC-klagomål.docx", "A 62955-2023")</f>
        <v/>
      </c>
      <c r="W112">
        <f>HYPERLINK("https://klasma.github.io/Logging_1737/klagomålsmail/A 62955-2023 FSC-klagomål mail.docx", "A 62955-2023")</f>
        <v/>
      </c>
      <c r="X112">
        <f>HYPERLINK("https://klasma.github.io/Logging_1737/tillsyn/A 62955-2023 tillsynsbegäran.docx", "A 62955-2023")</f>
        <v/>
      </c>
      <c r="Y112">
        <f>HYPERLINK("https://klasma.github.io/Logging_1737/tillsynsmail/A 62955-2023 tillsynsbegäran mail.docx", "A 62955-2023")</f>
        <v/>
      </c>
    </row>
    <row r="113" ht="15" customHeight="1">
      <c r="A113" t="inlineStr">
        <is>
          <t>A 4068-2024</t>
        </is>
      </c>
      <c r="B113" s="1" t="n">
        <v>45323</v>
      </c>
      <c r="C113" s="1" t="n">
        <v>45822</v>
      </c>
      <c r="D113" t="inlineStr">
        <is>
          <t>VÄRMLANDS LÄN</t>
        </is>
      </c>
      <c r="E113" t="inlineStr">
        <is>
          <t>TORSBY</t>
        </is>
      </c>
      <c r="G113" t="n">
        <v>2.9</v>
      </c>
      <c r="H113" t="n">
        <v>1</v>
      </c>
      <c r="I113" t="n">
        <v>2</v>
      </c>
      <c r="J113" t="n">
        <v>0</v>
      </c>
      <c r="K113" t="n">
        <v>0</v>
      </c>
      <c r="L113" t="n">
        <v>0</v>
      </c>
      <c r="M113" t="n">
        <v>0</v>
      </c>
      <c r="N113" t="n">
        <v>0</v>
      </c>
      <c r="O113" t="n">
        <v>0</v>
      </c>
      <c r="P113" t="n">
        <v>0</v>
      </c>
      <c r="Q113" t="n">
        <v>2</v>
      </c>
      <c r="R113" s="2" t="inlineStr">
        <is>
          <t>Korallrot
Springkorn</t>
        </is>
      </c>
      <c r="S113">
        <f>HYPERLINK("https://klasma.github.io/Logging_1737/artfynd/A 4068-2024 artfynd.xlsx", "A 4068-2024")</f>
        <v/>
      </c>
      <c r="T113">
        <f>HYPERLINK("https://klasma.github.io/Logging_1737/kartor/A 4068-2024 karta.png", "A 4068-2024")</f>
        <v/>
      </c>
      <c r="V113">
        <f>HYPERLINK("https://klasma.github.io/Logging_1737/klagomål/A 4068-2024 FSC-klagomål.docx", "A 4068-2024")</f>
        <v/>
      </c>
      <c r="W113">
        <f>HYPERLINK("https://klasma.github.io/Logging_1737/klagomålsmail/A 4068-2024 FSC-klagomål mail.docx", "A 4068-2024")</f>
        <v/>
      </c>
      <c r="X113">
        <f>HYPERLINK("https://klasma.github.io/Logging_1737/tillsyn/A 4068-2024 tillsynsbegäran.docx", "A 4068-2024")</f>
        <v/>
      </c>
      <c r="Y113">
        <f>HYPERLINK("https://klasma.github.io/Logging_1737/tillsynsmail/A 4068-2024 tillsynsbegäran mail.docx", "A 4068-2024")</f>
        <v/>
      </c>
    </row>
    <row r="114" ht="15" customHeight="1">
      <c r="A114" t="inlineStr">
        <is>
          <t>A 23091-2024</t>
        </is>
      </c>
      <c r="B114" s="1" t="n">
        <v>45450</v>
      </c>
      <c r="C114" s="1" t="n">
        <v>45822</v>
      </c>
      <c r="D114" t="inlineStr">
        <is>
          <t>VÄRMLANDS LÄN</t>
        </is>
      </c>
      <c r="E114" t="inlineStr">
        <is>
          <t>TORSBY</t>
        </is>
      </c>
      <c r="F114" t="inlineStr">
        <is>
          <t>Bergvik skog väst AB</t>
        </is>
      </c>
      <c r="G114" t="n">
        <v>14.3</v>
      </c>
      <c r="H114" t="n">
        <v>0</v>
      </c>
      <c r="I114" t="n">
        <v>1</v>
      </c>
      <c r="J114" t="n">
        <v>1</v>
      </c>
      <c r="K114" t="n">
        <v>0</v>
      </c>
      <c r="L114" t="n">
        <v>0</v>
      </c>
      <c r="M114" t="n">
        <v>0</v>
      </c>
      <c r="N114" t="n">
        <v>0</v>
      </c>
      <c r="O114" t="n">
        <v>1</v>
      </c>
      <c r="P114" t="n">
        <v>0</v>
      </c>
      <c r="Q114" t="n">
        <v>2</v>
      </c>
      <c r="R114" s="2" t="inlineStr">
        <is>
          <t>Vedskivlav
Kambräken</t>
        </is>
      </c>
      <c r="S114">
        <f>HYPERLINK("https://klasma.github.io/Logging_1737/artfynd/A 23091-2024 artfynd.xlsx", "A 23091-2024")</f>
        <v/>
      </c>
      <c r="T114">
        <f>HYPERLINK("https://klasma.github.io/Logging_1737/kartor/A 23091-2024 karta.png", "A 23091-2024")</f>
        <v/>
      </c>
      <c r="V114">
        <f>HYPERLINK("https://klasma.github.io/Logging_1737/klagomål/A 23091-2024 FSC-klagomål.docx", "A 23091-2024")</f>
        <v/>
      </c>
      <c r="W114">
        <f>HYPERLINK("https://klasma.github.io/Logging_1737/klagomålsmail/A 23091-2024 FSC-klagomål mail.docx", "A 23091-2024")</f>
        <v/>
      </c>
      <c r="X114">
        <f>HYPERLINK("https://klasma.github.io/Logging_1737/tillsyn/A 23091-2024 tillsynsbegäran.docx", "A 23091-2024")</f>
        <v/>
      </c>
      <c r="Y114">
        <f>HYPERLINK("https://klasma.github.io/Logging_1737/tillsynsmail/A 23091-2024 tillsynsbegäran mail.docx", "A 23091-2024")</f>
        <v/>
      </c>
    </row>
    <row r="115" ht="15" customHeight="1">
      <c r="A115" t="inlineStr">
        <is>
          <t>A 34491-2024</t>
        </is>
      </c>
      <c r="B115" s="1" t="n">
        <v>45525</v>
      </c>
      <c r="C115" s="1" t="n">
        <v>45822</v>
      </c>
      <c r="D115" t="inlineStr">
        <is>
          <t>VÄRMLANDS LÄN</t>
        </is>
      </c>
      <c r="E115" t="inlineStr">
        <is>
          <t>TORSBY</t>
        </is>
      </c>
      <c r="G115" t="n">
        <v>3.1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34491-2024 artfynd.xlsx", "A 34491-2024")</f>
        <v/>
      </c>
      <c r="T115">
        <f>HYPERLINK("https://klasma.github.io/Logging_1737/kartor/A 34491-2024 karta.png", "A 34491-2024")</f>
        <v/>
      </c>
      <c r="V115">
        <f>HYPERLINK("https://klasma.github.io/Logging_1737/klagomål/A 34491-2024 FSC-klagomål.docx", "A 34491-2024")</f>
        <v/>
      </c>
      <c r="W115">
        <f>HYPERLINK("https://klasma.github.io/Logging_1737/klagomålsmail/A 34491-2024 FSC-klagomål mail.docx", "A 34491-2024")</f>
        <v/>
      </c>
      <c r="X115">
        <f>HYPERLINK("https://klasma.github.io/Logging_1737/tillsyn/A 34491-2024 tillsynsbegäran.docx", "A 34491-2024")</f>
        <v/>
      </c>
      <c r="Y115">
        <f>HYPERLINK("https://klasma.github.io/Logging_1737/tillsynsmail/A 34491-2024 tillsynsbegäran mail.docx", "A 34491-2024")</f>
        <v/>
      </c>
    </row>
    <row r="116" ht="15" customHeight="1">
      <c r="A116" t="inlineStr">
        <is>
          <t>A 37351-2024</t>
        </is>
      </c>
      <c r="B116" s="1" t="n">
        <v>45540</v>
      </c>
      <c r="C116" s="1" t="n">
        <v>45822</v>
      </c>
      <c r="D116" t="inlineStr">
        <is>
          <t>VÄRMLANDS LÄN</t>
        </is>
      </c>
      <c r="E116" t="inlineStr">
        <is>
          <t>TORSBY</t>
        </is>
      </c>
      <c r="F116" t="inlineStr">
        <is>
          <t>Bergvik skog väst AB</t>
        </is>
      </c>
      <c r="G116" t="n">
        <v>22.7</v>
      </c>
      <c r="H116" t="n">
        <v>1</v>
      </c>
      <c r="I116" t="n">
        <v>0</v>
      </c>
      <c r="J116" t="n">
        <v>2</v>
      </c>
      <c r="K116" t="n">
        <v>0</v>
      </c>
      <c r="L116" t="n">
        <v>0</v>
      </c>
      <c r="M116" t="n">
        <v>0</v>
      </c>
      <c r="N116" t="n">
        <v>0</v>
      </c>
      <c r="O116" t="n">
        <v>2</v>
      </c>
      <c r="P116" t="n">
        <v>0</v>
      </c>
      <c r="Q116" t="n">
        <v>2</v>
      </c>
      <c r="R116" s="2" t="inlineStr">
        <is>
          <t>Motaggsvamp
Talltita</t>
        </is>
      </c>
      <c r="S116">
        <f>HYPERLINK("https://klasma.github.io/Logging_1737/artfynd/A 37351-2024 artfynd.xlsx", "A 37351-2024")</f>
        <v/>
      </c>
      <c r="T116">
        <f>HYPERLINK("https://klasma.github.io/Logging_1737/kartor/A 37351-2024 karta.png", "A 37351-2024")</f>
        <v/>
      </c>
      <c r="V116">
        <f>HYPERLINK("https://klasma.github.io/Logging_1737/klagomål/A 37351-2024 FSC-klagomål.docx", "A 37351-2024")</f>
        <v/>
      </c>
      <c r="W116">
        <f>HYPERLINK("https://klasma.github.io/Logging_1737/klagomålsmail/A 37351-2024 FSC-klagomål mail.docx", "A 37351-2024")</f>
        <v/>
      </c>
      <c r="X116">
        <f>HYPERLINK("https://klasma.github.io/Logging_1737/tillsyn/A 37351-2024 tillsynsbegäran.docx", "A 37351-2024")</f>
        <v/>
      </c>
      <c r="Y116">
        <f>HYPERLINK("https://klasma.github.io/Logging_1737/tillsynsmail/A 37351-2024 tillsynsbegäran mail.docx", "A 37351-2024")</f>
        <v/>
      </c>
      <c r="Z116">
        <f>HYPERLINK("https://klasma.github.io/Logging_1737/fåglar/A 37351-2024 prioriterade fågelarter.docx", "A 37351-2024")</f>
        <v/>
      </c>
    </row>
    <row r="117" ht="15" customHeight="1">
      <c r="A117" t="inlineStr">
        <is>
          <t>A 37936-2024</t>
        </is>
      </c>
      <c r="B117" s="1" t="n">
        <v>45544</v>
      </c>
      <c r="C117" s="1" t="n">
        <v>45822</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Dvärgbägarlav
Vedflamlav</t>
        </is>
      </c>
      <c r="S117">
        <f>HYPERLINK("https://klasma.github.io/Logging_1737/artfynd/A 37936-2024 artfynd.xlsx", "A 37936-2024")</f>
        <v/>
      </c>
      <c r="T117">
        <f>HYPERLINK("https://klasma.github.io/Logging_1737/kartor/A 37936-2024 karta.png", "A 37936-2024")</f>
        <v/>
      </c>
      <c r="V117">
        <f>HYPERLINK("https://klasma.github.io/Logging_1737/klagomål/A 37936-2024 FSC-klagomål.docx", "A 37936-2024")</f>
        <v/>
      </c>
      <c r="W117">
        <f>HYPERLINK("https://klasma.github.io/Logging_1737/klagomålsmail/A 37936-2024 FSC-klagomål mail.docx", "A 37936-2024")</f>
        <v/>
      </c>
      <c r="X117">
        <f>HYPERLINK("https://klasma.github.io/Logging_1737/tillsyn/A 37936-2024 tillsynsbegäran.docx", "A 37936-2024")</f>
        <v/>
      </c>
      <c r="Y117">
        <f>HYPERLINK("https://klasma.github.io/Logging_1737/tillsynsmail/A 37936-2024 tillsynsbegäran mail.docx", "A 37936-2024")</f>
        <v/>
      </c>
    </row>
    <row r="118" ht="15" customHeight="1">
      <c r="A118" t="inlineStr">
        <is>
          <t>A 50800-2024</t>
        </is>
      </c>
      <c r="B118" s="1" t="n">
        <v>45602</v>
      </c>
      <c r="C118" s="1" t="n">
        <v>45822</v>
      </c>
      <c r="D118" t="inlineStr">
        <is>
          <t>VÄRMLANDS LÄN</t>
        </is>
      </c>
      <c r="E118" t="inlineStr">
        <is>
          <t>TORSBY</t>
        </is>
      </c>
      <c r="G118" t="n">
        <v>6.3</v>
      </c>
      <c r="H118" t="n">
        <v>0</v>
      </c>
      <c r="I118" t="n">
        <v>0</v>
      </c>
      <c r="J118" t="n">
        <v>2</v>
      </c>
      <c r="K118" t="n">
        <v>0</v>
      </c>
      <c r="L118" t="n">
        <v>0</v>
      </c>
      <c r="M118" t="n">
        <v>0</v>
      </c>
      <c r="N118" t="n">
        <v>0</v>
      </c>
      <c r="O118" t="n">
        <v>2</v>
      </c>
      <c r="P118" t="n">
        <v>0</v>
      </c>
      <c r="Q118" t="n">
        <v>2</v>
      </c>
      <c r="R118" s="2" t="inlineStr">
        <is>
          <t>Garnlav
Violettgrå tagellav</t>
        </is>
      </c>
      <c r="S118">
        <f>HYPERLINK("https://klasma.github.io/Logging_1737/artfynd/A 50800-2024 artfynd.xlsx", "A 50800-2024")</f>
        <v/>
      </c>
      <c r="T118">
        <f>HYPERLINK("https://klasma.github.io/Logging_1737/kartor/A 50800-2024 karta.png", "A 50800-2024")</f>
        <v/>
      </c>
      <c r="V118">
        <f>HYPERLINK("https://klasma.github.io/Logging_1737/klagomål/A 50800-2024 FSC-klagomål.docx", "A 50800-2024")</f>
        <v/>
      </c>
      <c r="W118">
        <f>HYPERLINK("https://klasma.github.io/Logging_1737/klagomålsmail/A 50800-2024 FSC-klagomål mail.docx", "A 50800-2024")</f>
        <v/>
      </c>
      <c r="X118">
        <f>HYPERLINK("https://klasma.github.io/Logging_1737/tillsyn/A 50800-2024 tillsynsbegäran.docx", "A 50800-2024")</f>
        <v/>
      </c>
      <c r="Y118">
        <f>HYPERLINK("https://klasma.github.io/Logging_1737/tillsynsmail/A 50800-2024 tillsynsbegäran mail.docx", "A 50800-2024")</f>
        <v/>
      </c>
    </row>
    <row r="119" ht="15" customHeight="1">
      <c r="A119" t="inlineStr">
        <is>
          <t>A 57775-2024</t>
        </is>
      </c>
      <c r="B119" s="1" t="n">
        <v>45630</v>
      </c>
      <c r="C119" s="1" t="n">
        <v>45822</v>
      </c>
      <c r="D119" t="inlineStr">
        <is>
          <t>VÄRMLANDS LÄN</t>
        </is>
      </c>
      <c r="E119" t="inlineStr">
        <is>
          <t>TORSBY</t>
        </is>
      </c>
      <c r="G119" t="n">
        <v>7.1</v>
      </c>
      <c r="H119" t="n">
        <v>0</v>
      </c>
      <c r="I119" t="n">
        <v>0</v>
      </c>
      <c r="J119" t="n">
        <v>2</v>
      </c>
      <c r="K119" t="n">
        <v>0</v>
      </c>
      <c r="L119" t="n">
        <v>0</v>
      </c>
      <c r="M119" t="n">
        <v>0</v>
      </c>
      <c r="N119" t="n">
        <v>0</v>
      </c>
      <c r="O119" t="n">
        <v>2</v>
      </c>
      <c r="P119" t="n">
        <v>0</v>
      </c>
      <c r="Q119" t="n">
        <v>2</v>
      </c>
      <c r="R119" s="2" t="inlineStr">
        <is>
          <t>Garnlav
Vedskivlav</t>
        </is>
      </c>
      <c r="S119">
        <f>HYPERLINK("https://klasma.github.io/Logging_1737/artfynd/A 57775-2024 artfynd.xlsx", "A 57775-2024")</f>
        <v/>
      </c>
      <c r="T119">
        <f>HYPERLINK("https://klasma.github.io/Logging_1737/kartor/A 57775-2024 karta.png", "A 57775-2024")</f>
        <v/>
      </c>
      <c r="V119">
        <f>HYPERLINK("https://klasma.github.io/Logging_1737/klagomål/A 57775-2024 FSC-klagomål.docx", "A 57775-2024")</f>
        <v/>
      </c>
      <c r="W119">
        <f>HYPERLINK("https://klasma.github.io/Logging_1737/klagomålsmail/A 57775-2024 FSC-klagomål mail.docx", "A 57775-2024")</f>
        <v/>
      </c>
      <c r="X119">
        <f>HYPERLINK("https://klasma.github.io/Logging_1737/tillsyn/A 57775-2024 tillsynsbegäran.docx", "A 57775-2024")</f>
        <v/>
      </c>
      <c r="Y119">
        <f>HYPERLINK("https://klasma.github.io/Logging_1737/tillsynsmail/A 57775-2024 tillsynsbegäran mail.docx", "A 57775-2024")</f>
        <v/>
      </c>
    </row>
    <row r="120" ht="15" customHeight="1">
      <c r="A120" t="inlineStr">
        <is>
          <t>A 61950-2024</t>
        </is>
      </c>
      <c r="B120" s="1" t="n">
        <v>45653</v>
      </c>
      <c r="C120" s="1" t="n">
        <v>45822</v>
      </c>
      <c r="D120" t="inlineStr">
        <is>
          <t>VÄRMLANDS LÄN</t>
        </is>
      </c>
      <c r="E120" t="inlineStr">
        <is>
          <t>TORSBY</t>
        </is>
      </c>
      <c r="G120" t="n">
        <v>2.1</v>
      </c>
      <c r="H120" t="n">
        <v>2</v>
      </c>
      <c r="I120" t="n">
        <v>0</v>
      </c>
      <c r="J120" t="n">
        <v>2</v>
      </c>
      <c r="K120" t="n">
        <v>0</v>
      </c>
      <c r="L120" t="n">
        <v>0</v>
      </c>
      <c r="M120" t="n">
        <v>0</v>
      </c>
      <c r="N120" t="n">
        <v>0</v>
      </c>
      <c r="O120" t="n">
        <v>2</v>
      </c>
      <c r="P120" t="n">
        <v>0</v>
      </c>
      <c r="Q120" t="n">
        <v>2</v>
      </c>
      <c r="R120" s="2" t="inlineStr">
        <is>
          <t>Björktrast
Rödvingetrast</t>
        </is>
      </c>
      <c r="S120">
        <f>HYPERLINK("https://klasma.github.io/Logging_1737/artfynd/A 61950-2024 artfynd.xlsx", "A 61950-2024")</f>
        <v/>
      </c>
      <c r="T120">
        <f>HYPERLINK("https://klasma.github.io/Logging_1737/kartor/A 61950-2024 karta.png", "A 61950-2024")</f>
        <v/>
      </c>
      <c r="V120">
        <f>HYPERLINK("https://klasma.github.io/Logging_1737/klagomål/A 61950-2024 FSC-klagomål.docx", "A 61950-2024")</f>
        <v/>
      </c>
      <c r="W120">
        <f>HYPERLINK("https://klasma.github.io/Logging_1737/klagomålsmail/A 61950-2024 FSC-klagomål mail.docx", "A 61950-2024")</f>
        <v/>
      </c>
      <c r="X120">
        <f>HYPERLINK("https://klasma.github.io/Logging_1737/tillsyn/A 61950-2024 tillsynsbegäran.docx", "A 61950-2024")</f>
        <v/>
      </c>
      <c r="Y120">
        <f>HYPERLINK("https://klasma.github.io/Logging_1737/tillsynsmail/A 61950-2024 tillsynsbegäran mail.docx", "A 61950-2024")</f>
        <v/>
      </c>
      <c r="Z120">
        <f>HYPERLINK("https://klasma.github.io/Logging_1737/fåglar/A 61950-2024 prioriterade fågelarter.docx", "A 61950-2024")</f>
        <v/>
      </c>
    </row>
    <row r="121" ht="15" customHeight="1">
      <c r="A121" t="inlineStr">
        <is>
          <t>A 537-2025</t>
        </is>
      </c>
      <c r="B121" s="1" t="n">
        <v>45664</v>
      </c>
      <c r="C121" s="1" t="n">
        <v>45822</v>
      </c>
      <c r="D121" t="inlineStr">
        <is>
          <t>VÄRMLANDS LÄN</t>
        </is>
      </c>
      <c r="E121" t="inlineStr">
        <is>
          <t>TORSBY</t>
        </is>
      </c>
      <c r="G121" t="n">
        <v>10.6</v>
      </c>
      <c r="H121" t="n">
        <v>0</v>
      </c>
      <c r="I121" t="n">
        <v>0</v>
      </c>
      <c r="J121" t="n">
        <v>2</v>
      </c>
      <c r="K121" t="n">
        <v>0</v>
      </c>
      <c r="L121" t="n">
        <v>0</v>
      </c>
      <c r="M121" t="n">
        <v>0</v>
      </c>
      <c r="N121" t="n">
        <v>0</v>
      </c>
      <c r="O121" t="n">
        <v>2</v>
      </c>
      <c r="P121" t="n">
        <v>0</v>
      </c>
      <c r="Q121" t="n">
        <v>2</v>
      </c>
      <c r="R121" s="2" t="inlineStr">
        <is>
          <t>Gammelgransskål
Garnlav</t>
        </is>
      </c>
      <c r="S121">
        <f>HYPERLINK("https://klasma.github.io/Logging_1737/artfynd/A 537-2025 artfynd.xlsx", "A 537-2025")</f>
        <v/>
      </c>
      <c r="T121">
        <f>HYPERLINK("https://klasma.github.io/Logging_1737/kartor/A 537-2025 karta.png", "A 537-2025")</f>
        <v/>
      </c>
      <c r="V121">
        <f>HYPERLINK("https://klasma.github.io/Logging_1737/klagomål/A 537-2025 FSC-klagomål.docx", "A 537-2025")</f>
        <v/>
      </c>
      <c r="W121">
        <f>HYPERLINK("https://klasma.github.io/Logging_1737/klagomålsmail/A 537-2025 FSC-klagomål mail.docx", "A 537-2025")</f>
        <v/>
      </c>
      <c r="X121">
        <f>HYPERLINK("https://klasma.github.io/Logging_1737/tillsyn/A 537-2025 tillsynsbegäran.docx", "A 537-2025")</f>
        <v/>
      </c>
      <c r="Y121">
        <f>HYPERLINK("https://klasma.github.io/Logging_1737/tillsynsmail/A 537-2025 tillsynsbegäran mail.docx", "A 537-2025")</f>
        <v/>
      </c>
    </row>
    <row r="122" ht="15" customHeight="1">
      <c r="A122" t="inlineStr">
        <is>
          <t>A 16011-2025</t>
        </is>
      </c>
      <c r="B122" s="1" t="n">
        <v>45749</v>
      </c>
      <c r="C122" s="1" t="n">
        <v>45822</v>
      </c>
      <c r="D122" t="inlineStr">
        <is>
          <t>VÄRMLANDS LÄN</t>
        </is>
      </c>
      <c r="E122" t="inlineStr">
        <is>
          <t>TORSBY</t>
        </is>
      </c>
      <c r="G122" t="n">
        <v>3.8</v>
      </c>
      <c r="H122" t="n">
        <v>0</v>
      </c>
      <c r="I122" t="n">
        <v>1</v>
      </c>
      <c r="J122" t="n">
        <v>1</v>
      </c>
      <c r="K122" t="n">
        <v>0</v>
      </c>
      <c r="L122" t="n">
        <v>0</v>
      </c>
      <c r="M122" t="n">
        <v>0</v>
      </c>
      <c r="N122" t="n">
        <v>0</v>
      </c>
      <c r="O122" t="n">
        <v>1</v>
      </c>
      <c r="P122" t="n">
        <v>0</v>
      </c>
      <c r="Q122" t="n">
        <v>2</v>
      </c>
      <c r="R122" s="2" t="inlineStr">
        <is>
          <t>Lunglav
Korallblylav</t>
        </is>
      </c>
      <c r="S122">
        <f>HYPERLINK("https://klasma.github.io/Logging_171737/artfynd/A 16011-2025 artfynd.xlsx", "A 16011-2025")</f>
        <v/>
      </c>
      <c r="T122">
        <f>HYPERLINK("https://klasma.github.io/Logging_171737/kartor/A 16011-2025 karta.png", "A 16011-2025")</f>
        <v/>
      </c>
      <c r="V122">
        <f>HYPERLINK("https://klasma.github.io/Logging_171737/klagomål/A 16011-2025 FSC-klagomål.docx", "A 16011-2025")</f>
        <v/>
      </c>
      <c r="W122">
        <f>HYPERLINK("https://klasma.github.io/Logging_171737/klagomålsmail/A 16011-2025 FSC-klagomål mail.docx", "A 16011-2025")</f>
        <v/>
      </c>
      <c r="X122">
        <f>HYPERLINK("https://klasma.github.io/Logging_171737/tillsyn/A 16011-2025 tillsynsbegäran.docx", "A 16011-2025")</f>
        <v/>
      </c>
      <c r="Y122">
        <f>HYPERLINK("https://klasma.github.io/Logging_171737/tillsynsmail/A 16011-2025 tillsynsbegäran mail.docx", "A 16011-2025")</f>
        <v/>
      </c>
    </row>
    <row r="123" ht="15" customHeight="1">
      <c r="A123" t="inlineStr">
        <is>
          <t>A 17747-2025</t>
        </is>
      </c>
      <c r="B123" s="1" t="n">
        <v>45758</v>
      </c>
      <c r="C123" s="1" t="n">
        <v>45822</v>
      </c>
      <c r="D123" t="inlineStr">
        <is>
          <t>VÄRMLANDS LÄN</t>
        </is>
      </c>
      <c r="E123" t="inlineStr">
        <is>
          <t>TORSBY</t>
        </is>
      </c>
      <c r="G123" t="n">
        <v>14.1</v>
      </c>
      <c r="H123" t="n">
        <v>0</v>
      </c>
      <c r="I123" t="n">
        <v>0</v>
      </c>
      <c r="J123" t="n">
        <v>2</v>
      </c>
      <c r="K123" t="n">
        <v>0</v>
      </c>
      <c r="L123" t="n">
        <v>0</v>
      </c>
      <c r="M123" t="n">
        <v>0</v>
      </c>
      <c r="N123" t="n">
        <v>0</v>
      </c>
      <c r="O123" t="n">
        <v>2</v>
      </c>
      <c r="P123" t="n">
        <v>0</v>
      </c>
      <c r="Q123" t="n">
        <v>2</v>
      </c>
      <c r="R123" s="2" t="inlineStr">
        <is>
          <t>Garnlav
Vedtrappmossa</t>
        </is>
      </c>
      <c r="S123">
        <f>HYPERLINK("https://klasma.github.io/Logging_171737/artfynd/A 17747-2025 artfynd.xlsx", "A 17747-2025")</f>
        <v/>
      </c>
      <c r="T123">
        <f>HYPERLINK("https://klasma.github.io/Logging_171737/kartor/A 17747-2025 karta.png", "A 17747-2025")</f>
        <v/>
      </c>
      <c r="V123">
        <f>HYPERLINK("https://klasma.github.io/Logging_171737/klagomål/A 17747-2025 FSC-klagomål.docx", "A 17747-2025")</f>
        <v/>
      </c>
      <c r="W123">
        <f>HYPERLINK("https://klasma.github.io/Logging_171737/klagomålsmail/A 17747-2025 FSC-klagomål mail.docx", "A 17747-2025")</f>
        <v/>
      </c>
      <c r="X123">
        <f>HYPERLINK("https://klasma.github.io/Logging_171737/tillsyn/A 17747-2025 tillsynsbegäran.docx", "A 17747-2025")</f>
        <v/>
      </c>
      <c r="Y123">
        <f>HYPERLINK("https://klasma.github.io/Logging_171737/tillsynsmail/A 17747-2025 tillsynsbegäran mail.docx", "A 17747-2025")</f>
        <v/>
      </c>
    </row>
    <row r="124" ht="15" customHeight="1">
      <c r="A124" t="inlineStr">
        <is>
          <t>A 25212-2025</t>
        </is>
      </c>
      <c r="B124" s="1" t="n">
        <v>45800</v>
      </c>
      <c r="C124" s="1" t="n">
        <v>45822</v>
      </c>
      <c r="D124" t="inlineStr">
        <is>
          <t>VÄRMLANDS LÄN</t>
        </is>
      </c>
      <c r="E124" t="inlineStr">
        <is>
          <t>TORSBY</t>
        </is>
      </c>
      <c r="F124" t="inlineStr">
        <is>
          <t>Bergvik skog väst AB</t>
        </is>
      </c>
      <c r="G124" t="n">
        <v>6.4</v>
      </c>
      <c r="H124" t="n">
        <v>1</v>
      </c>
      <c r="I124" t="n">
        <v>1</v>
      </c>
      <c r="J124" t="n">
        <v>0</v>
      </c>
      <c r="K124" t="n">
        <v>1</v>
      </c>
      <c r="L124" t="n">
        <v>0</v>
      </c>
      <c r="M124" t="n">
        <v>0</v>
      </c>
      <c r="N124" t="n">
        <v>0</v>
      </c>
      <c r="O124" t="n">
        <v>1</v>
      </c>
      <c r="P124" t="n">
        <v>1</v>
      </c>
      <c r="Q124" t="n">
        <v>2</v>
      </c>
      <c r="R124" s="2" t="inlineStr">
        <is>
          <t>Bombmurkla
Vedticka</t>
        </is>
      </c>
      <c r="S124">
        <f>HYPERLINK("https://klasma.github.io/Logging_171737/artfynd/A 25212-2025 artfynd.xlsx", "A 25212-2025")</f>
        <v/>
      </c>
      <c r="T124">
        <f>HYPERLINK("https://klasma.github.io/Logging_171737/kartor/A 25212-2025 karta.png", "A 25212-2025")</f>
        <v/>
      </c>
      <c r="V124">
        <f>HYPERLINK("https://klasma.github.io/Logging_171737/klagomål/A 25212-2025 FSC-klagomål.docx", "A 25212-2025")</f>
        <v/>
      </c>
      <c r="W124">
        <f>HYPERLINK("https://klasma.github.io/Logging_171737/klagomålsmail/A 25212-2025 FSC-klagomål mail.docx", "A 25212-2025")</f>
        <v/>
      </c>
      <c r="X124">
        <f>HYPERLINK("https://klasma.github.io/Logging_171737/tillsyn/A 25212-2025 tillsynsbegäran.docx", "A 25212-2025")</f>
        <v/>
      </c>
      <c r="Y124">
        <f>HYPERLINK("https://klasma.github.io/Logging_171737/tillsynsmail/A 25212-2025 tillsynsbegäran mail.docx", "A 25212-2025")</f>
        <v/>
      </c>
    </row>
    <row r="125" ht="15" customHeight="1">
      <c r="A125" t="inlineStr">
        <is>
          <t>A 18499-2019</t>
        </is>
      </c>
      <c r="B125" s="1" t="n">
        <v>43559</v>
      </c>
      <c r="C125" s="1" t="n">
        <v>45822</v>
      </c>
      <c r="D125" t="inlineStr">
        <is>
          <t>VÄRMLANDS LÄN</t>
        </is>
      </c>
      <c r="E125" t="inlineStr">
        <is>
          <t>TORSBY</t>
        </is>
      </c>
      <c r="G125" t="n">
        <v>4.8</v>
      </c>
      <c r="H125" t="n">
        <v>0</v>
      </c>
      <c r="I125" t="n">
        <v>0</v>
      </c>
      <c r="J125" t="n">
        <v>0</v>
      </c>
      <c r="K125" t="n">
        <v>1</v>
      </c>
      <c r="L125" t="n">
        <v>0</v>
      </c>
      <c r="M125" t="n">
        <v>0</v>
      </c>
      <c r="N125" t="n">
        <v>0</v>
      </c>
      <c r="O125" t="n">
        <v>1</v>
      </c>
      <c r="P125" t="n">
        <v>1</v>
      </c>
      <c r="Q125" t="n">
        <v>1</v>
      </c>
      <c r="R125" s="2" t="inlineStr">
        <is>
          <t>Raggbock</t>
        </is>
      </c>
      <c r="S125">
        <f>HYPERLINK("https://klasma.github.io/Logging_1737/artfynd/A 18499-2019 artfynd.xlsx", "A 18499-2019")</f>
        <v/>
      </c>
      <c r="T125">
        <f>HYPERLINK("https://klasma.github.io/Logging_1737/kartor/A 18499-2019 karta.png", "A 18499-2019")</f>
        <v/>
      </c>
      <c r="V125">
        <f>HYPERLINK("https://klasma.github.io/Logging_1737/klagomål/A 18499-2019 FSC-klagomål.docx", "A 18499-2019")</f>
        <v/>
      </c>
      <c r="W125">
        <f>HYPERLINK("https://klasma.github.io/Logging_1737/klagomålsmail/A 18499-2019 FSC-klagomål mail.docx", "A 18499-2019")</f>
        <v/>
      </c>
      <c r="X125">
        <f>HYPERLINK("https://klasma.github.io/Logging_1737/tillsyn/A 18499-2019 tillsynsbegäran.docx", "A 18499-2019")</f>
        <v/>
      </c>
      <c r="Y125">
        <f>HYPERLINK("https://klasma.github.io/Logging_1737/tillsynsmail/A 18499-2019 tillsynsbegäran mail.docx", "A 18499-2019")</f>
        <v/>
      </c>
    </row>
    <row r="126" ht="15" customHeight="1">
      <c r="A126" t="inlineStr">
        <is>
          <t>A 31848-2019</t>
        </is>
      </c>
      <c r="B126" s="1" t="n">
        <v>43642</v>
      </c>
      <c r="C126" s="1" t="n">
        <v>45822</v>
      </c>
      <c r="D126" t="inlineStr">
        <is>
          <t>VÄRMLANDS LÄN</t>
        </is>
      </c>
      <c r="E126" t="inlineStr">
        <is>
          <t>TORSBY</t>
        </is>
      </c>
      <c r="G126" t="n">
        <v>6.1</v>
      </c>
      <c r="H126" t="n">
        <v>1</v>
      </c>
      <c r="I126" t="n">
        <v>0</v>
      </c>
      <c r="J126" t="n">
        <v>0</v>
      </c>
      <c r="K126" t="n">
        <v>1</v>
      </c>
      <c r="L126" t="n">
        <v>0</v>
      </c>
      <c r="M126" t="n">
        <v>0</v>
      </c>
      <c r="N126" t="n">
        <v>0</v>
      </c>
      <c r="O126" t="n">
        <v>1</v>
      </c>
      <c r="P126" t="n">
        <v>1</v>
      </c>
      <c r="Q126" t="n">
        <v>1</v>
      </c>
      <c r="R126" s="2" t="inlineStr">
        <is>
          <t>Knärot</t>
        </is>
      </c>
      <c r="S126">
        <f>HYPERLINK("https://klasma.github.io/Logging_1737/artfynd/A 31848-2019 artfynd.xlsx", "A 31848-2019")</f>
        <v/>
      </c>
      <c r="T126">
        <f>HYPERLINK("https://klasma.github.io/Logging_1737/kartor/A 31848-2019 karta.png", "A 31848-2019")</f>
        <v/>
      </c>
      <c r="U126">
        <f>HYPERLINK("https://klasma.github.io/Logging_1737/knärot/A 31848-2019 karta knärot.png", "A 31848-2019")</f>
        <v/>
      </c>
      <c r="V126">
        <f>HYPERLINK("https://klasma.github.io/Logging_1737/klagomål/A 31848-2019 FSC-klagomål.docx", "A 31848-2019")</f>
        <v/>
      </c>
      <c r="W126">
        <f>HYPERLINK("https://klasma.github.io/Logging_1737/klagomålsmail/A 31848-2019 FSC-klagomål mail.docx", "A 31848-2019")</f>
        <v/>
      </c>
      <c r="X126">
        <f>HYPERLINK("https://klasma.github.io/Logging_1737/tillsyn/A 31848-2019 tillsynsbegäran.docx", "A 31848-2019")</f>
        <v/>
      </c>
      <c r="Y126">
        <f>HYPERLINK("https://klasma.github.io/Logging_1737/tillsynsmail/A 31848-2019 tillsynsbegäran mail.docx", "A 31848-2019")</f>
        <v/>
      </c>
    </row>
    <row r="127" ht="15" customHeight="1">
      <c r="A127" t="inlineStr">
        <is>
          <t>A 45844-2019</t>
        </is>
      </c>
      <c r="B127" s="1" t="n">
        <v>43717</v>
      </c>
      <c r="C127" s="1" t="n">
        <v>45822</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Talltita</t>
        </is>
      </c>
      <c r="S127">
        <f>HYPERLINK("https://klasma.github.io/Logging_1737/artfynd/A 45844-2019 artfynd.xlsx", "A 45844-2019")</f>
        <v/>
      </c>
      <c r="T127">
        <f>HYPERLINK("https://klasma.github.io/Logging_1737/kartor/A 45844-2019 karta.png", "A 45844-2019")</f>
        <v/>
      </c>
      <c r="V127">
        <f>HYPERLINK("https://klasma.github.io/Logging_1737/klagomål/A 45844-2019 FSC-klagomål.docx", "A 45844-2019")</f>
        <v/>
      </c>
      <c r="W127">
        <f>HYPERLINK("https://klasma.github.io/Logging_1737/klagomålsmail/A 45844-2019 FSC-klagomål mail.docx", "A 45844-2019")</f>
        <v/>
      </c>
      <c r="X127">
        <f>HYPERLINK("https://klasma.github.io/Logging_1737/tillsyn/A 45844-2019 tillsynsbegäran.docx", "A 45844-2019")</f>
        <v/>
      </c>
      <c r="Y127">
        <f>HYPERLINK("https://klasma.github.io/Logging_1737/tillsynsmail/A 45844-2019 tillsynsbegäran mail.docx", "A 45844-2019")</f>
        <v/>
      </c>
      <c r="Z127">
        <f>HYPERLINK("https://klasma.github.io/Logging_1737/fåglar/A 45844-2019 prioriterade fågelarter.docx", "A 45844-2019")</f>
        <v/>
      </c>
    </row>
    <row r="128" ht="15" customHeight="1">
      <c r="A128" t="inlineStr">
        <is>
          <t>A 47731-2019</t>
        </is>
      </c>
      <c r="B128" s="1" t="n">
        <v>43724</v>
      </c>
      <c r="C128" s="1" t="n">
        <v>45822</v>
      </c>
      <c r="D128" t="inlineStr">
        <is>
          <t>VÄRMLANDS LÄN</t>
        </is>
      </c>
      <c r="E128" t="inlineStr">
        <is>
          <t>TORSBY</t>
        </is>
      </c>
      <c r="G128" t="n">
        <v>3.5</v>
      </c>
      <c r="H128" t="n">
        <v>1</v>
      </c>
      <c r="I128" t="n">
        <v>0</v>
      </c>
      <c r="J128" t="n">
        <v>1</v>
      </c>
      <c r="K128" t="n">
        <v>0</v>
      </c>
      <c r="L128" t="n">
        <v>0</v>
      </c>
      <c r="M128" t="n">
        <v>0</v>
      </c>
      <c r="N128" t="n">
        <v>0</v>
      </c>
      <c r="O128" t="n">
        <v>1</v>
      </c>
      <c r="P128" t="n">
        <v>0</v>
      </c>
      <c r="Q128" t="n">
        <v>1</v>
      </c>
      <c r="R128" s="2" t="inlineStr">
        <is>
          <t>Gulsparv</t>
        </is>
      </c>
      <c r="S128">
        <f>HYPERLINK("https://klasma.github.io/Logging_1737/artfynd/A 47731-2019 artfynd.xlsx", "A 47731-2019")</f>
        <v/>
      </c>
      <c r="T128">
        <f>HYPERLINK("https://klasma.github.io/Logging_1737/kartor/A 47731-2019 karta.png", "A 47731-2019")</f>
        <v/>
      </c>
      <c r="V128">
        <f>HYPERLINK("https://klasma.github.io/Logging_1737/klagomål/A 47731-2019 FSC-klagomål.docx", "A 47731-2019")</f>
        <v/>
      </c>
      <c r="W128">
        <f>HYPERLINK("https://klasma.github.io/Logging_1737/klagomålsmail/A 47731-2019 FSC-klagomål mail.docx", "A 47731-2019")</f>
        <v/>
      </c>
      <c r="X128">
        <f>HYPERLINK("https://klasma.github.io/Logging_1737/tillsyn/A 47731-2019 tillsynsbegäran.docx", "A 47731-2019")</f>
        <v/>
      </c>
      <c r="Y128">
        <f>HYPERLINK("https://klasma.github.io/Logging_1737/tillsynsmail/A 47731-2019 tillsynsbegäran mail.docx", "A 47731-2019")</f>
        <v/>
      </c>
      <c r="Z128">
        <f>HYPERLINK("https://klasma.github.io/Logging_1737/fåglar/A 47731-2019 prioriterade fågelarter.docx", "A 47731-2019")</f>
        <v/>
      </c>
    </row>
    <row r="129" ht="15" customHeight="1">
      <c r="A129" t="inlineStr">
        <is>
          <t>A 53924-2019</t>
        </is>
      </c>
      <c r="B129" s="1" t="n">
        <v>43742</v>
      </c>
      <c r="C129" s="1" t="n">
        <v>45822</v>
      </c>
      <c r="D129" t="inlineStr">
        <is>
          <t>VÄRMLANDS LÄN</t>
        </is>
      </c>
      <c r="E129" t="inlineStr">
        <is>
          <t>TORSBY</t>
        </is>
      </c>
      <c r="G129" t="n">
        <v>7.1</v>
      </c>
      <c r="H129" t="n">
        <v>1</v>
      </c>
      <c r="I129" t="n">
        <v>0</v>
      </c>
      <c r="J129" t="n">
        <v>0</v>
      </c>
      <c r="K129" t="n">
        <v>0</v>
      </c>
      <c r="L129" t="n">
        <v>0</v>
      </c>
      <c r="M129" t="n">
        <v>0</v>
      </c>
      <c r="N129" t="n">
        <v>0</v>
      </c>
      <c r="O129" t="n">
        <v>0</v>
      </c>
      <c r="P129" t="n">
        <v>0</v>
      </c>
      <c r="Q129" t="n">
        <v>1</v>
      </c>
      <c r="R129" s="2" t="inlineStr">
        <is>
          <t>Fläcknycklar</t>
        </is>
      </c>
      <c r="S129">
        <f>HYPERLINK("https://klasma.github.io/Logging_1737/artfynd/A 53924-2019 artfynd.xlsx", "A 53924-2019")</f>
        <v/>
      </c>
      <c r="T129">
        <f>HYPERLINK("https://klasma.github.io/Logging_1737/kartor/A 53924-2019 karta.png", "A 53924-2019")</f>
        <v/>
      </c>
      <c r="V129">
        <f>HYPERLINK("https://klasma.github.io/Logging_1737/klagomål/A 53924-2019 FSC-klagomål.docx", "A 53924-2019")</f>
        <v/>
      </c>
      <c r="W129">
        <f>HYPERLINK("https://klasma.github.io/Logging_1737/klagomålsmail/A 53924-2019 FSC-klagomål mail.docx", "A 53924-2019")</f>
        <v/>
      </c>
      <c r="X129">
        <f>HYPERLINK("https://klasma.github.io/Logging_1737/tillsyn/A 53924-2019 tillsynsbegäran.docx", "A 53924-2019")</f>
        <v/>
      </c>
      <c r="Y129">
        <f>HYPERLINK("https://klasma.github.io/Logging_1737/tillsynsmail/A 53924-2019 tillsynsbegäran mail.docx", "A 53924-2019")</f>
        <v/>
      </c>
    </row>
    <row r="130" ht="15" customHeight="1">
      <c r="A130" t="inlineStr">
        <is>
          <t>A 63767-2019</t>
        </is>
      </c>
      <c r="B130" s="1" t="n">
        <v>43795</v>
      </c>
      <c r="C130" s="1" t="n">
        <v>45822</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63767-2019 artfynd.xlsx", "A 63767-2019")</f>
        <v/>
      </c>
      <c r="T130">
        <f>HYPERLINK("https://klasma.github.io/Logging_1737/kartor/A 63767-2019 karta.png", "A 63767-2019")</f>
        <v/>
      </c>
      <c r="V130">
        <f>HYPERLINK("https://klasma.github.io/Logging_1737/klagomål/A 63767-2019 FSC-klagomål.docx", "A 63767-2019")</f>
        <v/>
      </c>
      <c r="W130">
        <f>HYPERLINK("https://klasma.github.io/Logging_1737/klagomålsmail/A 63767-2019 FSC-klagomål mail.docx", "A 63767-2019")</f>
        <v/>
      </c>
      <c r="X130">
        <f>HYPERLINK("https://klasma.github.io/Logging_1737/tillsyn/A 63767-2019 tillsynsbegäran.docx", "A 63767-2019")</f>
        <v/>
      </c>
      <c r="Y130">
        <f>HYPERLINK("https://klasma.github.io/Logging_1737/tillsynsmail/A 63767-2019 tillsynsbegäran mail.docx", "A 63767-2019")</f>
        <v/>
      </c>
    </row>
    <row r="131" ht="15" customHeight="1">
      <c r="A131" t="inlineStr">
        <is>
          <t>A 65129-2019</t>
        </is>
      </c>
      <c r="B131" s="1" t="n">
        <v>43802</v>
      </c>
      <c r="C131" s="1" t="n">
        <v>45822</v>
      </c>
      <c r="D131" t="inlineStr">
        <is>
          <t>VÄRMLANDS LÄN</t>
        </is>
      </c>
      <c r="E131" t="inlineStr">
        <is>
          <t>TORSBY</t>
        </is>
      </c>
      <c r="G131" t="n">
        <v>3.3</v>
      </c>
      <c r="H131" t="n">
        <v>0</v>
      </c>
      <c r="I131" t="n">
        <v>0</v>
      </c>
      <c r="J131" t="n">
        <v>1</v>
      </c>
      <c r="K131" t="n">
        <v>0</v>
      </c>
      <c r="L131" t="n">
        <v>0</v>
      </c>
      <c r="M131" t="n">
        <v>0</v>
      </c>
      <c r="N131" t="n">
        <v>0</v>
      </c>
      <c r="O131" t="n">
        <v>1</v>
      </c>
      <c r="P131" t="n">
        <v>0</v>
      </c>
      <c r="Q131" t="n">
        <v>1</v>
      </c>
      <c r="R131" s="2" t="inlineStr">
        <is>
          <t>Garnlav</t>
        </is>
      </c>
      <c r="S131">
        <f>HYPERLINK("https://klasma.github.io/Logging_1737/artfynd/A 65129-2019 artfynd.xlsx", "A 65129-2019")</f>
        <v/>
      </c>
      <c r="T131">
        <f>HYPERLINK("https://klasma.github.io/Logging_1737/kartor/A 65129-2019 karta.png", "A 65129-2019")</f>
        <v/>
      </c>
      <c r="V131">
        <f>HYPERLINK("https://klasma.github.io/Logging_1737/klagomål/A 65129-2019 FSC-klagomål.docx", "A 65129-2019")</f>
        <v/>
      </c>
      <c r="W131">
        <f>HYPERLINK("https://klasma.github.io/Logging_1737/klagomålsmail/A 65129-2019 FSC-klagomål mail.docx", "A 65129-2019")</f>
        <v/>
      </c>
      <c r="X131">
        <f>HYPERLINK("https://klasma.github.io/Logging_1737/tillsyn/A 65129-2019 tillsynsbegäran.docx", "A 65129-2019")</f>
        <v/>
      </c>
      <c r="Y131">
        <f>HYPERLINK("https://klasma.github.io/Logging_1737/tillsynsmail/A 65129-2019 tillsynsbegäran mail.docx", "A 65129-2019")</f>
        <v/>
      </c>
    </row>
    <row r="132" ht="15" customHeight="1">
      <c r="A132" t="inlineStr">
        <is>
          <t>A 37035-2020</t>
        </is>
      </c>
      <c r="B132" s="1" t="n">
        <v>44054</v>
      </c>
      <c r="C132" s="1" t="n">
        <v>45822</v>
      </c>
      <c r="D132" t="inlineStr">
        <is>
          <t>VÄRMLANDS LÄN</t>
        </is>
      </c>
      <c r="E132" t="inlineStr">
        <is>
          <t>TORSBY</t>
        </is>
      </c>
      <c r="G132" t="n">
        <v>2.7</v>
      </c>
      <c r="H132" t="n">
        <v>0</v>
      </c>
      <c r="I132" t="n">
        <v>0</v>
      </c>
      <c r="J132" t="n">
        <v>0</v>
      </c>
      <c r="K132" t="n">
        <v>1</v>
      </c>
      <c r="L132" t="n">
        <v>0</v>
      </c>
      <c r="M132" t="n">
        <v>0</v>
      </c>
      <c r="N132" t="n">
        <v>0</v>
      </c>
      <c r="O132" t="n">
        <v>1</v>
      </c>
      <c r="P132" t="n">
        <v>1</v>
      </c>
      <c r="Q132" t="n">
        <v>1</v>
      </c>
      <c r="R132" s="2" t="inlineStr">
        <is>
          <t>Raggbock</t>
        </is>
      </c>
      <c r="S132">
        <f>HYPERLINK("https://klasma.github.io/Logging_1737/artfynd/A 37035-2020 artfynd.xlsx", "A 37035-2020")</f>
        <v/>
      </c>
      <c r="T132">
        <f>HYPERLINK("https://klasma.github.io/Logging_1737/kartor/A 37035-2020 karta.png", "A 37035-2020")</f>
        <v/>
      </c>
      <c r="V132">
        <f>HYPERLINK("https://klasma.github.io/Logging_1737/klagomål/A 37035-2020 FSC-klagomål.docx", "A 37035-2020")</f>
        <v/>
      </c>
      <c r="W132">
        <f>HYPERLINK("https://klasma.github.io/Logging_1737/klagomålsmail/A 37035-2020 FSC-klagomål mail.docx", "A 37035-2020")</f>
        <v/>
      </c>
      <c r="X132">
        <f>HYPERLINK("https://klasma.github.io/Logging_1737/tillsyn/A 37035-2020 tillsynsbegäran.docx", "A 37035-2020")</f>
        <v/>
      </c>
      <c r="Y132">
        <f>HYPERLINK("https://klasma.github.io/Logging_1737/tillsynsmail/A 37035-2020 tillsynsbegäran mail.docx", "A 37035-2020")</f>
        <v/>
      </c>
    </row>
    <row r="133" ht="15" customHeight="1">
      <c r="A133" t="inlineStr">
        <is>
          <t>A 50854-2020</t>
        </is>
      </c>
      <c r="B133" s="1" t="n">
        <v>44105</v>
      </c>
      <c r="C133" s="1" t="n">
        <v>45822</v>
      </c>
      <c r="D133" t="inlineStr">
        <is>
          <t>VÄRMLANDS LÄN</t>
        </is>
      </c>
      <c r="E133" t="inlineStr">
        <is>
          <t>TORSBY</t>
        </is>
      </c>
      <c r="G133" t="n">
        <v>6.5</v>
      </c>
      <c r="H133" t="n">
        <v>1</v>
      </c>
      <c r="I133" t="n">
        <v>0</v>
      </c>
      <c r="J133" t="n">
        <v>0</v>
      </c>
      <c r="K133" t="n">
        <v>1</v>
      </c>
      <c r="L133" t="n">
        <v>0</v>
      </c>
      <c r="M133" t="n">
        <v>0</v>
      </c>
      <c r="N133" t="n">
        <v>0</v>
      </c>
      <c r="O133" t="n">
        <v>1</v>
      </c>
      <c r="P133" t="n">
        <v>1</v>
      </c>
      <c r="Q133" t="n">
        <v>1</v>
      </c>
      <c r="R133" s="2" t="inlineStr">
        <is>
          <t>Knärot</t>
        </is>
      </c>
      <c r="S133">
        <f>HYPERLINK("https://klasma.github.io/Logging_1737/artfynd/A 50854-2020 artfynd.xlsx", "A 50854-2020")</f>
        <v/>
      </c>
      <c r="T133">
        <f>HYPERLINK("https://klasma.github.io/Logging_1737/kartor/A 50854-2020 karta.png", "A 50854-2020")</f>
        <v/>
      </c>
      <c r="U133">
        <f>HYPERLINK("https://klasma.github.io/Logging_1737/knärot/A 50854-2020 karta knärot.png", "A 50854-2020")</f>
        <v/>
      </c>
      <c r="V133">
        <f>HYPERLINK("https://klasma.github.io/Logging_1737/klagomål/A 50854-2020 FSC-klagomål.docx", "A 50854-2020")</f>
        <v/>
      </c>
      <c r="W133">
        <f>HYPERLINK("https://klasma.github.io/Logging_1737/klagomålsmail/A 50854-2020 FSC-klagomål mail.docx", "A 50854-2020")</f>
        <v/>
      </c>
      <c r="X133">
        <f>HYPERLINK("https://klasma.github.io/Logging_1737/tillsyn/A 50854-2020 tillsynsbegäran.docx", "A 50854-2020")</f>
        <v/>
      </c>
      <c r="Y133">
        <f>HYPERLINK("https://klasma.github.io/Logging_1737/tillsynsmail/A 50854-2020 tillsynsbegäran mail.docx", "A 50854-2020")</f>
        <v/>
      </c>
    </row>
    <row r="134" ht="15" customHeight="1">
      <c r="A134" t="inlineStr">
        <is>
          <t>A 50089-2020</t>
        </is>
      </c>
      <c r="B134" s="1" t="n">
        <v>44109</v>
      </c>
      <c r="C134" s="1" t="n">
        <v>45822</v>
      </c>
      <c r="D134" t="inlineStr">
        <is>
          <t>VÄRMLANDS LÄN</t>
        </is>
      </c>
      <c r="E134" t="inlineStr">
        <is>
          <t>TORSBY</t>
        </is>
      </c>
      <c r="G134" t="n">
        <v>0.9</v>
      </c>
      <c r="H134" t="n">
        <v>1</v>
      </c>
      <c r="I134" t="n">
        <v>0</v>
      </c>
      <c r="J134" t="n">
        <v>1</v>
      </c>
      <c r="K134" t="n">
        <v>0</v>
      </c>
      <c r="L134" t="n">
        <v>0</v>
      </c>
      <c r="M134" t="n">
        <v>0</v>
      </c>
      <c r="N134" t="n">
        <v>0</v>
      </c>
      <c r="O134" t="n">
        <v>1</v>
      </c>
      <c r="P134" t="n">
        <v>0</v>
      </c>
      <c r="Q134" t="n">
        <v>1</v>
      </c>
      <c r="R134" s="2" t="inlineStr">
        <is>
          <t>Spillkråka</t>
        </is>
      </c>
      <c r="S134">
        <f>HYPERLINK("https://klasma.github.io/Logging_1737/artfynd/A 50089-2020 artfynd.xlsx", "A 50089-2020")</f>
        <v/>
      </c>
      <c r="T134">
        <f>HYPERLINK("https://klasma.github.io/Logging_1737/kartor/A 50089-2020 karta.png", "A 50089-2020")</f>
        <v/>
      </c>
      <c r="V134">
        <f>HYPERLINK("https://klasma.github.io/Logging_1737/klagomål/A 50089-2020 FSC-klagomål.docx", "A 50089-2020")</f>
        <v/>
      </c>
      <c r="W134">
        <f>HYPERLINK("https://klasma.github.io/Logging_1737/klagomålsmail/A 50089-2020 FSC-klagomål mail.docx", "A 50089-2020")</f>
        <v/>
      </c>
      <c r="X134">
        <f>HYPERLINK("https://klasma.github.io/Logging_1737/tillsyn/A 50089-2020 tillsynsbegäran.docx", "A 50089-2020")</f>
        <v/>
      </c>
      <c r="Y134">
        <f>HYPERLINK("https://klasma.github.io/Logging_1737/tillsynsmail/A 50089-2020 tillsynsbegäran mail.docx", "A 50089-2020")</f>
        <v/>
      </c>
      <c r="Z134">
        <f>HYPERLINK("https://klasma.github.io/Logging_1737/fåglar/A 50089-2020 prioriterade fågelarter.docx", "A 50089-2020")</f>
        <v/>
      </c>
    </row>
    <row r="135" ht="15" customHeight="1">
      <c r="A135" t="inlineStr">
        <is>
          <t>A 53491-2020</t>
        </is>
      </c>
      <c r="B135" s="1" t="n">
        <v>44123</v>
      </c>
      <c r="C135" s="1" t="n">
        <v>45822</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53491-2020 artfynd.xlsx", "A 53491-2020")</f>
        <v/>
      </c>
      <c r="T135">
        <f>HYPERLINK("https://klasma.github.io/Logging_1737/kartor/A 53491-2020 karta.png", "A 53491-2020")</f>
        <v/>
      </c>
      <c r="V135">
        <f>HYPERLINK("https://klasma.github.io/Logging_1737/klagomål/A 53491-2020 FSC-klagomål.docx", "A 53491-2020")</f>
        <v/>
      </c>
      <c r="W135">
        <f>HYPERLINK("https://klasma.github.io/Logging_1737/klagomålsmail/A 53491-2020 FSC-klagomål mail.docx", "A 53491-2020")</f>
        <v/>
      </c>
      <c r="X135">
        <f>HYPERLINK("https://klasma.github.io/Logging_1737/tillsyn/A 53491-2020 tillsynsbegäran.docx", "A 53491-2020")</f>
        <v/>
      </c>
      <c r="Y135">
        <f>HYPERLINK("https://klasma.github.io/Logging_1737/tillsynsmail/A 53491-2020 tillsynsbegäran mail.docx", "A 53491-2020")</f>
        <v/>
      </c>
    </row>
    <row r="136" ht="15" customHeight="1">
      <c r="A136" t="inlineStr">
        <is>
          <t>A 8747-2021</t>
        </is>
      </c>
      <c r="B136" s="1" t="n">
        <v>44246</v>
      </c>
      <c r="C136" s="1" t="n">
        <v>45822</v>
      </c>
      <c r="D136" t="inlineStr">
        <is>
          <t>VÄRMLANDS LÄN</t>
        </is>
      </c>
      <c r="E136" t="inlineStr">
        <is>
          <t>TORSBY</t>
        </is>
      </c>
      <c r="G136" t="n">
        <v>8.5</v>
      </c>
      <c r="H136" t="n">
        <v>0</v>
      </c>
      <c r="I136" t="n">
        <v>0</v>
      </c>
      <c r="J136" t="n">
        <v>1</v>
      </c>
      <c r="K136" t="n">
        <v>0</v>
      </c>
      <c r="L136" t="n">
        <v>0</v>
      </c>
      <c r="M136" t="n">
        <v>0</v>
      </c>
      <c r="N136" t="n">
        <v>0</v>
      </c>
      <c r="O136" t="n">
        <v>1</v>
      </c>
      <c r="P136" t="n">
        <v>0</v>
      </c>
      <c r="Q136" t="n">
        <v>1</v>
      </c>
      <c r="R136" s="2" t="inlineStr">
        <is>
          <t>Garnlav</t>
        </is>
      </c>
      <c r="S136">
        <f>HYPERLINK("https://klasma.github.io/Logging_1737/artfynd/A 8747-2021 artfynd.xlsx", "A 8747-2021")</f>
        <v/>
      </c>
      <c r="T136">
        <f>HYPERLINK("https://klasma.github.io/Logging_1737/kartor/A 8747-2021 karta.png", "A 8747-2021")</f>
        <v/>
      </c>
      <c r="V136">
        <f>HYPERLINK("https://klasma.github.io/Logging_1737/klagomål/A 8747-2021 FSC-klagomål.docx", "A 8747-2021")</f>
        <v/>
      </c>
      <c r="W136">
        <f>HYPERLINK("https://klasma.github.io/Logging_1737/klagomålsmail/A 8747-2021 FSC-klagomål mail.docx", "A 8747-2021")</f>
        <v/>
      </c>
      <c r="X136">
        <f>HYPERLINK("https://klasma.github.io/Logging_1737/tillsyn/A 8747-2021 tillsynsbegäran.docx", "A 8747-2021")</f>
        <v/>
      </c>
      <c r="Y136">
        <f>HYPERLINK("https://klasma.github.io/Logging_1737/tillsynsmail/A 8747-2021 tillsynsbegäran mail.docx", "A 8747-2021")</f>
        <v/>
      </c>
    </row>
    <row r="137" ht="15" customHeight="1">
      <c r="A137" t="inlineStr">
        <is>
          <t>A 24042-2021</t>
        </is>
      </c>
      <c r="B137" s="1" t="n">
        <v>44336</v>
      </c>
      <c r="C137" s="1" t="n">
        <v>45822</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34876-2021</t>
        </is>
      </c>
      <c r="B138" s="1" t="n">
        <v>44383</v>
      </c>
      <c r="C138" s="1" t="n">
        <v>45822</v>
      </c>
      <c r="D138" t="inlineStr">
        <is>
          <t>VÄRMLANDS LÄN</t>
        </is>
      </c>
      <c r="E138" t="inlineStr">
        <is>
          <t>TORSBY</t>
        </is>
      </c>
      <c r="G138" t="n">
        <v>4.7</v>
      </c>
      <c r="H138" t="n">
        <v>0</v>
      </c>
      <c r="I138" t="n">
        <v>0</v>
      </c>
      <c r="J138" t="n">
        <v>1</v>
      </c>
      <c r="K138" t="n">
        <v>0</v>
      </c>
      <c r="L138" t="n">
        <v>0</v>
      </c>
      <c r="M138" t="n">
        <v>0</v>
      </c>
      <c r="N138" t="n">
        <v>0</v>
      </c>
      <c r="O138" t="n">
        <v>1</v>
      </c>
      <c r="P138" t="n">
        <v>0</v>
      </c>
      <c r="Q138" t="n">
        <v>1</v>
      </c>
      <c r="R138" s="2" t="inlineStr">
        <is>
          <t>Doftskinn</t>
        </is>
      </c>
      <c r="S138">
        <f>HYPERLINK("https://klasma.github.io/Logging_1737/artfynd/A 34876-2021 artfynd.xlsx", "A 34876-2021")</f>
        <v/>
      </c>
      <c r="T138">
        <f>HYPERLINK("https://klasma.github.io/Logging_1737/kartor/A 34876-2021 karta.png", "A 34876-2021")</f>
        <v/>
      </c>
      <c r="V138">
        <f>HYPERLINK("https://klasma.github.io/Logging_1737/klagomål/A 34876-2021 FSC-klagomål.docx", "A 34876-2021")</f>
        <v/>
      </c>
      <c r="W138">
        <f>HYPERLINK("https://klasma.github.io/Logging_1737/klagomålsmail/A 34876-2021 FSC-klagomål mail.docx", "A 34876-2021")</f>
        <v/>
      </c>
      <c r="X138">
        <f>HYPERLINK("https://klasma.github.io/Logging_1737/tillsyn/A 34876-2021 tillsynsbegäran.docx", "A 34876-2021")</f>
        <v/>
      </c>
      <c r="Y138">
        <f>HYPERLINK("https://klasma.github.io/Logging_1737/tillsynsmail/A 34876-2021 tillsynsbegäran mail.docx", "A 34876-2021")</f>
        <v/>
      </c>
    </row>
    <row r="139" ht="15" customHeight="1">
      <c r="A139" t="inlineStr">
        <is>
          <t>A 34853-2021</t>
        </is>
      </c>
      <c r="B139" s="1" t="n">
        <v>44383</v>
      </c>
      <c r="C139" s="1" t="n">
        <v>45822</v>
      </c>
      <c r="D139" t="inlineStr">
        <is>
          <t>VÄRMLANDS LÄN</t>
        </is>
      </c>
      <c r="E139" t="inlineStr">
        <is>
          <t>TORSBY</t>
        </is>
      </c>
      <c r="G139" t="n">
        <v>14.8</v>
      </c>
      <c r="H139" t="n">
        <v>1</v>
      </c>
      <c r="I139" t="n">
        <v>0</v>
      </c>
      <c r="J139" t="n">
        <v>1</v>
      </c>
      <c r="K139" t="n">
        <v>0</v>
      </c>
      <c r="L139" t="n">
        <v>0</v>
      </c>
      <c r="M139" t="n">
        <v>0</v>
      </c>
      <c r="N139" t="n">
        <v>0</v>
      </c>
      <c r="O139" t="n">
        <v>1</v>
      </c>
      <c r="P139" t="n">
        <v>0</v>
      </c>
      <c r="Q139" t="n">
        <v>1</v>
      </c>
      <c r="R139" s="2" t="inlineStr">
        <is>
          <t>Talltita</t>
        </is>
      </c>
      <c r="S139">
        <f>HYPERLINK("https://klasma.github.io/Logging_1737/artfynd/A 34853-2021 artfynd.xlsx", "A 34853-2021")</f>
        <v/>
      </c>
      <c r="T139">
        <f>HYPERLINK("https://klasma.github.io/Logging_1737/kartor/A 34853-2021 karta.png", "A 34853-2021")</f>
        <v/>
      </c>
      <c r="V139">
        <f>HYPERLINK("https://klasma.github.io/Logging_1737/klagomål/A 34853-2021 FSC-klagomål.docx", "A 34853-2021")</f>
        <v/>
      </c>
      <c r="W139">
        <f>HYPERLINK("https://klasma.github.io/Logging_1737/klagomålsmail/A 34853-2021 FSC-klagomål mail.docx", "A 34853-2021")</f>
        <v/>
      </c>
      <c r="X139">
        <f>HYPERLINK("https://klasma.github.io/Logging_1737/tillsyn/A 34853-2021 tillsynsbegäran.docx", "A 34853-2021")</f>
        <v/>
      </c>
      <c r="Y139">
        <f>HYPERLINK("https://klasma.github.io/Logging_1737/tillsynsmail/A 34853-2021 tillsynsbegäran mail.docx", "A 34853-2021")</f>
        <v/>
      </c>
      <c r="Z139">
        <f>HYPERLINK("https://klasma.github.io/Logging_1737/fåglar/A 34853-2021 prioriterade fågelarter.docx", "A 34853-2021")</f>
        <v/>
      </c>
    </row>
    <row r="140" ht="15" customHeight="1">
      <c r="A140" t="inlineStr">
        <is>
          <t>A 40265-2021</t>
        </is>
      </c>
      <c r="B140" s="1" t="n">
        <v>44419</v>
      </c>
      <c r="C140" s="1" t="n">
        <v>45822</v>
      </c>
      <c r="D140" t="inlineStr">
        <is>
          <t>VÄRMLANDS LÄN</t>
        </is>
      </c>
      <c r="E140" t="inlineStr">
        <is>
          <t>TORSBY</t>
        </is>
      </c>
      <c r="F140" t="inlineStr">
        <is>
          <t>Bergvik skog väst AB</t>
        </is>
      </c>
      <c r="G140" t="n">
        <v>5.7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40265-2021 artfynd.xlsx", "A 40265-2021")</f>
        <v/>
      </c>
      <c r="T140">
        <f>HYPERLINK("https://klasma.github.io/Logging_1737/kartor/A 40265-2021 karta.png", "A 40265-2021")</f>
        <v/>
      </c>
      <c r="V140">
        <f>HYPERLINK("https://klasma.github.io/Logging_1737/klagomål/A 40265-2021 FSC-klagomål.docx", "A 40265-2021")</f>
        <v/>
      </c>
      <c r="W140">
        <f>HYPERLINK("https://klasma.github.io/Logging_1737/klagomålsmail/A 40265-2021 FSC-klagomål mail.docx", "A 40265-2021")</f>
        <v/>
      </c>
      <c r="X140">
        <f>HYPERLINK("https://klasma.github.io/Logging_1737/tillsyn/A 40265-2021 tillsynsbegäran.docx", "A 40265-2021")</f>
        <v/>
      </c>
      <c r="Y140">
        <f>HYPERLINK("https://klasma.github.io/Logging_1737/tillsynsmail/A 40265-2021 tillsynsbegäran mail.docx", "A 40265-2021")</f>
        <v/>
      </c>
    </row>
    <row r="141" ht="15" customHeight="1">
      <c r="A141" t="inlineStr">
        <is>
          <t>A 43784-2021</t>
        </is>
      </c>
      <c r="B141" s="1" t="n">
        <v>44433</v>
      </c>
      <c r="C141" s="1" t="n">
        <v>45822</v>
      </c>
      <c r="D141" t="inlineStr">
        <is>
          <t>VÄRMLANDS LÄN</t>
        </is>
      </c>
      <c r="E141" t="inlineStr">
        <is>
          <t>TORSBY</t>
        </is>
      </c>
      <c r="G141" t="n">
        <v>5.2</v>
      </c>
      <c r="H141" t="n">
        <v>1</v>
      </c>
      <c r="I141" t="n">
        <v>0</v>
      </c>
      <c r="J141" t="n">
        <v>0</v>
      </c>
      <c r="K141" t="n">
        <v>0</v>
      </c>
      <c r="L141" t="n">
        <v>0</v>
      </c>
      <c r="M141" t="n">
        <v>0</v>
      </c>
      <c r="N141" t="n">
        <v>0</v>
      </c>
      <c r="O141" t="n">
        <v>0</v>
      </c>
      <c r="P141" t="n">
        <v>0</v>
      </c>
      <c r="Q141" t="n">
        <v>1</v>
      </c>
      <c r="R141" s="2" t="inlineStr">
        <is>
          <t>Kopparödla</t>
        </is>
      </c>
      <c r="S141">
        <f>HYPERLINK("https://klasma.github.io/Logging_1737/artfynd/A 43784-2021 artfynd.xlsx", "A 43784-2021")</f>
        <v/>
      </c>
      <c r="T141">
        <f>HYPERLINK("https://klasma.github.io/Logging_1737/kartor/A 43784-2021 karta.png", "A 43784-2021")</f>
        <v/>
      </c>
      <c r="V141">
        <f>HYPERLINK("https://klasma.github.io/Logging_1737/klagomål/A 43784-2021 FSC-klagomål.docx", "A 43784-2021")</f>
        <v/>
      </c>
      <c r="W141">
        <f>HYPERLINK("https://klasma.github.io/Logging_1737/klagomålsmail/A 43784-2021 FSC-klagomål mail.docx", "A 43784-2021")</f>
        <v/>
      </c>
      <c r="X141">
        <f>HYPERLINK("https://klasma.github.io/Logging_1737/tillsyn/A 43784-2021 tillsynsbegäran.docx", "A 43784-2021")</f>
        <v/>
      </c>
      <c r="Y141">
        <f>HYPERLINK("https://klasma.github.io/Logging_1737/tillsynsmail/A 43784-2021 tillsynsbegäran mail.docx", "A 43784-2021")</f>
        <v/>
      </c>
    </row>
    <row r="142" ht="15" customHeight="1">
      <c r="A142" t="inlineStr">
        <is>
          <t>A 49110-2021</t>
        </is>
      </c>
      <c r="B142" s="1" t="n">
        <v>44453</v>
      </c>
      <c r="C142" s="1" t="n">
        <v>45822</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54982-2021</t>
        </is>
      </c>
      <c r="B143" s="1" t="n">
        <v>44469</v>
      </c>
      <c r="C143" s="1" t="n">
        <v>45822</v>
      </c>
      <c r="D143" t="inlineStr">
        <is>
          <t>VÄRMLANDS LÄN</t>
        </is>
      </c>
      <c r="E143" t="inlineStr">
        <is>
          <t>TORSBY</t>
        </is>
      </c>
      <c r="G143" t="n">
        <v>4.1</v>
      </c>
      <c r="H143" t="n">
        <v>0</v>
      </c>
      <c r="I143" t="n">
        <v>1</v>
      </c>
      <c r="J143" t="n">
        <v>0</v>
      </c>
      <c r="K143" t="n">
        <v>0</v>
      </c>
      <c r="L143" t="n">
        <v>0</v>
      </c>
      <c r="M143" t="n">
        <v>0</v>
      </c>
      <c r="N143" t="n">
        <v>0</v>
      </c>
      <c r="O143" t="n">
        <v>0</v>
      </c>
      <c r="P143" t="n">
        <v>0</v>
      </c>
      <c r="Q143" t="n">
        <v>1</v>
      </c>
      <c r="R143" s="2" t="inlineStr">
        <is>
          <t>Tibast</t>
        </is>
      </c>
      <c r="S143">
        <f>HYPERLINK("https://klasma.github.io/Logging_1737/artfynd/A 54982-2021 artfynd.xlsx", "A 54982-2021")</f>
        <v/>
      </c>
      <c r="T143">
        <f>HYPERLINK("https://klasma.github.io/Logging_1737/kartor/A 54982-2021 karta.png", "A 54982-2021")</f>
        <v/>
      </c>
      <c r="V143">
        <f>HYPERLINK("https://klasma.github.io/Logging_1737/klagomål/A 54982-2021 FSC-klagomål.docx", "A 54982-2021")</f>
        <v/>
      </c>
      <c r="W143">
        <f>HYPERLINK("https://klasma.github.io/Logging_1737/klagomålsmail/A 54982-2021 FSC-klagomål mail.docx", "A 54982-2021")</f>
        <v/>
      </c>
      <c r="X143">
        <f>HYPERLINK("https://klasma.github.io/Logging_1737/tillsyn/A 54982-2021 tillsynsbegäran.docx", "A 54982-2021")</f>
        <v/>
      </c>
      <c r="Y143">
        <f>HYPERLINK("https://klasma.github.io/Logging_1737/tillsynsmail/A 54982-2021 tillsynsbegäran mail.docx", "A 54982-2021")</f>
        <v/>
      </c>
    </row>
    <row r="144" ht="15" customHeight="1">
      <c r="A144" t="inlineStr">
        <is>
          <t>A 58471-2021</t>
        </is>
      </c>
      <c r="B144" s="1" t="n">
        <v>44488</v>
      </c>
      <c r="C144" s="1" t="n">
        <v>45822</v>
      </c>
      <c r="D144" t="inlineStr">
        <is>
          <t>VÄRMLANDS LÄN</t>
        </is>
      </c>
      <c r="E144" t="inlineStr">
        <is>
          <t>TORSBY</t>
        </is>
      </c>
      <c r="G144" t="n">
        <v>2.5</v>
      </c>
      <c r="H144" t="n">
        <v>0</v>
      </c>
      <c r="I144" t="n">
        <v>1</v>
      </c>
      <c r="J144" t="n">
        <v>0</v>
      </c>
      <c r="K144" t="n">
        <v>0</v>
      </c>
      <c r="L144" t="n">
        <v>0</v>
      </c>
      <c r="M144" t="n">
        <v>0</v>
      </c>
      <c r="N144" t="n">
        <v>0</v>
      </c>
      <c r="O144" t="n">
        <v>0</v>
      </c>
      <c r="P144" t="n">
        <v>0</v>
      </c>
      <c r="Q144" t="n">
        <v>1</v>
      </c>
      <c r="R144" s="2" t="inlineStr">
        <is>
          <t>Korallblylav</t>
        </is>
      </c>
      <c r="S144">
        <f>HYPERLINK("https://klasma.github.io/Logging_1737/artfynd/A 58471-2021 artfynd.xlsx", "A 58471-2021")</f>
        <v/>
      </c>
      <c r="T144">
        <f>HYPERLINK("https://klasma.github.io/Logging_1737/kartor/A 58471-2021 karta.png", "A 58471-2021")</f>
        <v/>
      </c>
      <c r="V144">
        <f>HYPERLINK("https://klasma.github.io/Logging_1737/klagomål/A 58471-2021 FSC-klagomål.docx", "A 58471-2021")</f>
        <v/>
      </c>
      <c r="W144">
        <f>HYPERLINK("https://klasma.github.io/Logging_1737/klagomålsmail/A 58471-2021 FSC-klagomål mail.docx", "A 58471-2021")</f>
        <v/>
      </c>
      <c r="X144">
        <f>HYPERLINK("https://klasma.github.io/Logging_1737/tillsyn/A 58471-2021 tillsynsbegäran.docx", "A 58471-2021")</f>
        <v/>
      </c>
      <c r="Y144">
        <f>HYPERLINK("https://klasma.github.io/Logging_1737/tillsynsmail/A 58471-2021 tillsynsbegäran mail.docx", "A 58471-2021")</f>
        <v/>
      </c>
    </row>
    <row r="145" ht="15" customHeight="1">
      <c r="A145" t="inlineStr">
        <is>
          <t>A 61813-2021</t>
        </is>
      </c>
      <c r="B145" s="1" t="n">
        <v>44501</v>
      </c>
      <c r="C145" s="1" t="n">
        <v>45822</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Tallticka</t>
        </is>
      </c>
      <c r="S145">
        <f>HYPERLINK("https://klasma.github.io/Logging_1737/artfynd/A 61813-2021 artfynd.xlsx", "A 61813-2021")</f>
        <v/>
      </c>
      <c r="T145">
        <f>HYPERLINK("https://klasma.github.io/Logging_1737/kartor/A 61813-2021 karta.png", "A 61813-2021")</f>
        <v/>
      </c>
      <c r="V145">
        <f>HYPERLINK("https://klasma.github.io/Logging_1737/klagomål/A 61813-2021 FSC-klagomål.docx", "A 61813-2021")</f>
        <v/>
      </c>
      <c r="W145">
        <f>HYPERLINK("https://klasma.github.io/Logging_1737/klagomålsmail/A 61813-2021 FSC-klagomål mail.docx", "A 61813-2021")</f>
        <v/>
      </c>
      <c r="X145">
        <f>HYPERLINK("https://klasma.github.io/Logging_1737/tillsyn/A 61813-2021 tillsynsbegäran.docx", "A 61813-2021")</f>
        <v/>
      </c>
      <c r="Y145">
        <f>HYPERLINK("https://klasma.github.io/Logging_1737/tillsynsmail/A 61813-2021 tillsynsbegäran mail.docx", "A 61813-2021")</f>
        <v/>
      </c>
    </row>
    <row r="146" ht="15" customHeight="1">
      <c r="A146" t="inlineStr">
        <is>
          <t>A 65767-2021</t>
        </is>
      </c>
      <c r="B146" s="1" t="n">
        <v>44516</v>
      </c>
      <c r="C146" s="1" t="n">
        <v>45822</v>
      </c>
      <c r="D146" t="inlineStr">
        <is>
          <t>VÄRMLANDS LÄN</t>
        </is>
      </c>
      <c r="E146" t="inlineStr">
        <is>
          <t>TORSBY</t>
        </is>
      </c>
      <c r="G146" t="n">
        <v>7.5</v>
      </c>
      <c r="H146" t="n">
        <v>0</v>
      </c>
      <c r="I146" t="n">
        <v>1</v>
      </c>
      <c r="J146" t="n">
        <v>0</v>
      </c>
      <c r="K146" t="n">
        <v>0</v>
      </c>
      <c r="L146" t="n">
        <v>0</v>
      </c>
      <c r="M146" t="n">
        <v>0</v>
      </c>
      <c r="N146" t="n">
        <v>0</v>
      </c>
      <c r="O146" t="n">
        <v>0</v>
      </c>
      <c r="P146" t="n">
        <v>0</v>
      </c>
      <c r="Q146" t="n">
        <v>1</v>
      </c>
      <c r="R146" s="2" t="inlineStr">
        <is>
          <t>Mörk husmossa</t>
        </is>
      </c>
      <c r="S146">
        <f>HYPERLINK("https://klasma.github.io/Logging_1737/artfynd/A 65767-2021 artfynd.xlsx", "A 65767-2021")</f>
        <v/>
      </c>
      <c r="T146">
        <f>HYPERLINK("https://klasma.github.io/Logging_1737/kartor/A 65767-2021 karta.png", "A 65767-2021")</f>
        <v/>
      </c>
      <c r="V146">
        <f>HYPERLINK("https://klasma.github.io/Logging_1737/klagomål/A 65767-2021 FSC-klagomål.docx", "A 65767-2021")</f>
        <v/>
      </c>
      <c r="W146">
        <f>HYPERLINK("https://klasma.github.io/Logging_1737/klagomålsmail/A 65767-2021 FSC-klagomål mail.docx", "A 65767-2021")</f>
        <v/>
      </c>
      <c r="X146">
        <f>HYPERLINK("https://klasma.github.io/Logging_1737/tillsyn/A 65767-2021 tillsynsbegäran.docx", "A 65767-2021")</f>
        <v/>
      </c>
      <c r="Y146">
        <f>HYPERLINK("https://klasma.github.io/Logging_1737/tillsynsmail/A 65767-2021 tillsynsbegäran mail.docx", "A 65767-2021")</f>
        <v/>
      </c>
    </row>
    <row r="147" ht="15" customHeight="1">
      <c r="A147" t="inlineStr">
        <is>
          <t>A 71594-2021</t>
        </is>
      </c>
      <c r="B147" s="1" t="n">
        <v>44541</v>
      </c>
      <c r="C147" s="1" t="n">
        <v>45822</v>
      </c>
      <c r="D147" t="inlineStr">
        <is>
          <t>VÄRMLANDS LÄN</t>
        </is>
      </c>
      <c r="E147" t="inlineStr">
        <is>
          <t>TORSBY</t>
        </is>
      </c>
      <c r="G147" t="n">
        <v>13.1</v>
      </c>
      <c r="H147" t="n">
        <v>0</v>
      </c>
      <c r="I147" t="n">
        <v>0</v>
      </c>
      <c r="J147" t="n">
        <v>1</v>
      </c>
      <c r="K147" t="n">
        <v>0</v>
      </c>
      <c r="L147" t="n">
        <v>0</v>
      </c>
      <c r="M147" t="n">
        <v>0</v>
      </c>
      <c r="N147" t="n">
        <v>0</v>
      </c>
      <c r="O147" t="n">
        <v>1</v>
      </c>
      <c r="P147" t="n">
        <v>0</v>
      </c>
      <c r="Q147" t="n">
        <v>1</v>
      </c>
      <c r="R147" s="2" t="inlineStr">
        <is>
          <t>Garnlav</t>
        </is>
      </c>
      <c r="S147">
        <f>HYPERLINK("https://klasma.github.io/Logging_1737/artfynd/A 71594-2021 artfynd.xlsx", "A 71594-2021")</f>
        <v/>
      </c>
      <c r="T147">
        <f>HYPERLINK("https://klasma.github.io/Logging_1737/kartor/A 71594-2021 karta.png", "A 71594-2021")</f>
        <v/>
      </c>
      <c r="V147">
        <f>HYPERLINK("https://klasma.github.io/Logging_1737/klagomål/A 71594-2021 FSC-klagomål.docx", "A 71594-2021")</f>
        <v/>
      </c>
      <c r="W147">
        <f>HYPERLINK("https://klasma.github.io/Logging_1737/klagomålsmail/A 71594-2021 FSC-klagomål mail.docx", "A 71594-2021")</f>
        <v/>
      </c>
      <c r="X147">
        <f>HYPERLINK("https://klasma.github.io/Logging_1737/tillsyn/A 71594-2021 tillsynsbegäran.docx", "A 71594-2021")</f>
        <v/>
      </c>
      <c r="Y147">
        <f>HYPERLINK("https://klasma.github.io/Logging_1737/tillsynsmail/A 71594-2021 tillsynsbegäran mail.docx", "A 71594-2021")</f>
        <v/>
      </c>
    </row>
    <row r="148" ht="15" customHeight="1">
      <c r="A148" t="inlineStr">
        <is>
          <t>A 3404-2022</t>
        </is>
      </c>
      <c r="B148" s="1" t="n">
        <v>44585</v>
      </c>
      <c r="C148" s="1" t="n">
        <v>45822</v>
      </c>
      <c r="D148" t="inlineStr">
        <is>
          <t>VÄRMLANDS LÄN</t>
        </is>
      </c>
      <c r="E148" t="inlineStr">
        <is>
          <t>TORSBY</t>
        </is>
      </c>
      <c r="G148" t="n">
        <v>1</v>
      </c>
      <c r="H148" t="n">
        <v>0</v>
      </c>
      <c r="I148" t="n">
        <v>0</v>
      </c>
      <c r="J148" t="n">
        <v>1</v>
      </c>
      <c r="K148" t="n">
        <v>0</v>
      </c>
      <c r="L148" t="n">
        <v>0</v>
      </c>
      <c r="M148" t="n">
        <v>0</v>
      </c>
      <c r="N148" t="n">
        <v>0</v>
      </c>
      <c r="O148" t="n">
        <v>1</v>
      </c>
      <c r="P148" t="n">
        <v>0</v>
      </c>
      <c r="Q148" t="n">
        <v>1</v>
      </c>
      <c r="R148" s="2" t="inlineStr">
        <is>
          <t>Vedtrappmossa</t>
        </is>
      </c>
      <c r="S148">
        <f>HYPERLINK("https://klasma.github.io/Logging_1737/artfynd/A 3404-2022 artfynd.xlsx", "A 3404-2022")</f>
        <v/>
      </c>
      <c r="T148">
        <f>HYPERLINK("https://klasma.github.io/Logging_1737/kartor/A 3404-2022 karta.png", "A 3404-2022")</f>
        <v/>
      </c>
      <c r="V148">
        <f>HYPERLINK("https://klasma.github.io/Logging_1737/klagomål/A 3404-2022 FSC-klagomål.docx", "A 3404-2022")</f>
        <v/>
      </c>
      <c r="W148">
        <f>HYPERLINK("https://klasma.github.io/Logging_1737/klagomålsmail/A 3404-2022 FSC-klagomål mail.docx", "A 3404-2022")</f>
        <v/>
      </c>
      <c r="X148">
        <f>HYPERLINK("https://klasma.github.io/Logging_1737/tillsyn/A 3404-2022 tillsynsbegäran.docx", "A 3404-2022")</f>
        <v/>
      </c>
      <c r="Y148">
        <f>HYPERLINK("https://klasma.github.io/Logging_1737/tillsynsmail/A 3404-2022 tillsynsbegäran mail.docx", "A 3404-2022")</f>
        <v/>
      </c>
    </row>
    <row r="149" ht="15" customHeight="1">
      <c r="A149" t="inlineStr">
        <is>
          <t>A 16572-2022</t>
        </is>
      </c>
      <c r="B149" s="1" t="n">
        <v>44672</v>
      </c>
      <c r="C149" s="1" t="n">
        <v>45822</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Skogsklocka</t>
        </is>
      </c>
      <c r="S149">
        <f>HYPERLINK("https://klasma.github.io/Logging_1737/artfynd/A 16572-2022 artfynd.xlsx", "A 16572-2022")</f>
        <v/>
      </c>
      <c r="T149">
        <f>HYPERLINK("https://klasma.github.io/Logging_1737/kartor/A 16572-2022 karta.png", "A 16572-2022")</f>
        <v/>
      </c>
      <c r="V149">
        <f>HYPERLINK("https://klasma.github.io/Logging_1737/klagomål/A 16572-2022 FSC-klagomål.docx", "A 16572-2022")</f>
        <v/>
      </c>
      <c r="W149">
        <f>HYPERLINK("https://klasma.github.io/Logging_1737/klagomålsmail/A 16572-2022 FSC-klagomål mail.docx", "A 16572-2022")</f>
        <v/>
      </c>
      <c r="X149">
        <f>HYPERLINK("https://klasma.github.io/Logging_1737/tillsyn/A 16572-2022 tillsynsbegäran.docx", "A 16572-2022")</f>
        <v/>
      </c>
      <c r="Y149">
        <f>HYPERLINK("https://klasma.github.io/Logging_1737/tillsynsmail/A 16572-2022 tillsynsbegäran mail.docx", "A 16572-2022")</f>
        <v/>
      </c>
    </row>
    <row r="150" ht="15" customHeight="1">
      <c r="A150" t="inlineStr">
        <is>
          <t>A 23486-2022</t>
        </is>
      </c>
      <c r="B150" s="1" t="n">
        <v>44721</v>
      </c>
      <c r="C150" s="1" t="n">
        <v>45822</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Tallriska</t>
        </is>
      </c>
      <c r="S150">
        <f>HYPERLINK("https://klasma.github.io/Logging_1737/artfynd/A 23486-2022 artfynd.xlsx", "A 23486-2022")</f>
        <v/>
      </c>
      <c r="T150">
        <f>HYPERLINK("https://klasma.github.io/Logging_1737/kartor/A 23486-2022 karta.png", "A 23486-2022")</f>
        <v/>
      </c>
      <c r="V150">
        <f>HYPERLINK("https://klasma.github.io/Logging_1737/klagomål/A 23486-2022 FSC-klagomål.docx", "A 23486-2022")</f>
        <v/>
      </c>
      <c r="W150">
        <f>HYPERLINK("https://klasma.github.io/Logging_1737/klagomålsmail/A 23486-2022 FSC-klagomål mail.docx", "A 23486-2022")</f>
        <v/>
      </c>
      <c r="X150">
        <f>HYPERLINK("https://klasma.github.io/Logging_1737/tillsyn/A 23486-2022 tillsynsbegäran.docx", "A 23486-2022")</f>
        <v/>
      </c>
      <c r="Y150">
        <f>HYPERLINK("https://klasma.github.io/Logging_1737/tillsynsmail/A 23486-2022 tillsynsbegäran mail.docx", "A 23486-2022")</f>
        <v/>
      </c>
    </row>
    <row r="151" ht="15" customHeight="1">
      <c r="A151" t="inlineStr">
        <is>
          <t>A 25999-2022</t>
        </is>
      </c>
      <c r="B151" s="1" t="n">
        <v>44734</v>
      </c>
      <c r="C151" s="1" t="n">
        <v>45822</v>
      </c>
      <c r="D151" t="inlineStr">
        <is>
          <t>VÄRMLANDS LÄN</t>
        </is>
      </c>
      <c r="E151" t="inlineStr">
        <is>
          <t>TORSBY</t>
        </is>
      </c>
      <c r="G151" t="n">
        <v>0.6</v>
      </c>
      <c r="H151" t="n">
        <v>0</v>
      </c>
      <c r="I151" t="n">
        <v>1</v>
      </c>
      <c r="J151" t="n">
        <v>0</v>
      </c>
      <c r="K151" t="n">
        <v>0</v>
      </c>
      <c r="L151" t="n">
        <v>0</v>
      </c>
      <c r="M151" t="n">
        <v>0</v>
      </c>
      <c r="N151" t="n">
        <v>0</v>
      </c>
      <c r="O151" t="n">
        <v>0</v>
      </c>
      <c r="P151" t="n">
        <v>0</v>
      </c>
      <c r="Q151" t="n">
        <v>1</v>
      </c>
      <c r="R151" s="2" t="inlineStr">
        <is>
          <t>Korallblylav</t>
        </is>
      </c>
      <c r="S151">
        <f>HYPERLINK("https://klasma.github.io/Logging_1737/artfynd/A 25999-2022 artfynd.xlsx", "A 25999-2022")</f>
        <v/>
      </c>
      <c r="T151">
        <f>HYPERLINK("https://klasma.github.io/Logging_1737/kartor/A 25999-2022 karta.png", "A 25999-2022")</f>
        <v/>
      </c>
      <c r="V151">
        <f>HYPERLINK("https://klasma.github.io/Logging_1737/klagomål/A 25999-2022 FSC-klagomål.docx", "A 25999-2022")</f>
        <v/>
      </c>
      <c r="W151">
        <f>HYPERLINK("https://klasma.github.io/Logging_1737/klagomålsmail/A 25999-2022 FSC-klagomål mail.docx", "A 25999-2022")</f>
        <v/>
      </c>
      <c r="X151">
        <f>HYPERLINK("https://klasma.github.io/Logging_1737/tillsyn/A 25999-2022 tillsynsbegäran.docx", "A 25999-2022")</f>
        <v/>
      </c>
      <c r="Y151">
        <f>HYPERLINK("https://klasma.github.io/Logging_1737/tillsynsmail/A 25999-2022 tillsynsbegäran mail.docx", "A 25999-2022")</f>
        <v/>
      </c>
    </row>
    <row r="152" ht="15" customHeight="1">
      <c r="A152" t="inlineStr">
        <is>
          <t>A 35709-2022</t>
        </is>
      </c>
      <c r="B152" s="1" t="n">
        <v>44799</v>
      </c>
      <c r="C152" s="1" t="n">
        <v>45822</v>
      </c>
      <c r="D152" t="inlineStr">
        <is>
          <t>VÄRMLANDS LÄN</t>
        </is>
      </c>
      <c r="E152" t="inlineStr">
        <is>
          <t>TORSBY</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35709-2022 artfynd.xlsx", "A 35709-2022")</f>
        <v/>
      </c>
      <c r="T152">
        <f>HYPERLINK("https://klasma.github.io/Logging_1737/kartor/A 35709-2022 karta.png", "A 35709-2022")</f>
        <v/>
      </c>
      <c r="V152">
        <f>HYPERLINK("https://klasma.github.io/Logging_1737/klagomål/A 35709-2022 FSC-klagomål.docx", "A 35709-2022")</f>
        <v/>
      </c>
      <c r="W152">
        <f>HYPERLINK("https://klasma.github.io/Logging_1737/klagomålsmail/A 35709-2022 FSC-klagomål mail.docx", "A 35709-2022")</f>
        <v/>
      </c>
      <c r="X152">
        <f>HYPERLINK("https://klasma.github.io/Logging_1737/tillsyn/A 35709-2022 tillsynsbegäran.docx", "A 35709-2022")</f>
        <v/>
      </c>
      <c r="Y152">
        <f>HYPERLINK("https://klasma.github.io/Logging_1737/tillsynsmail/A 35709-2022 tillsynsbegäran mail.docx", "A 35709-2022")</f>
        <v/>
      </c>
    </row>
    <row r="153" ht="15" customHeight="1">
      <c r="A153" t="inlineStr">
        <is>
          <t>A 42500-2022</t>
        </is>
      </c>
      <c r="B153" s="1" t="n">
        <v>44831</v>
      </c>
      <c r="C153" s="1" t="n">
        <v>45822</v>
      </c>
      <c r="D153" t="inlineStr">
        <is>
          <t>VÄRMLANDS LÄN</t>
        </is>
      </c>
      <c r="E153" t="inlineStr">
        <is>
          <t>TORSBY</t>
        </is>
      </c>
      <c r="F153" t="inlineStr">
        <is>
          <t>Kommuner</t>
        </is>
      </c>
      <c r="G153" t="n">
        <v>2.3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42500-2022 artfynd.xlsx", "A 42500-2022")</f>
        <v/>
      </c>
      <c r="T153">
        <f>HYPERLINK("https://klasma.github.io/Logging_1737/kartor/A 42500-2022 karta.png", "A 42500-2022")</f>
        <v/>
      </c>
      <c r="U153">
        <f>HYPERLINK("https://klasma.github.io/Logging_1737/knärot/A 42500-2022 karta knärot.png", "A 42500-2022")</f>
        <v/>
      </c>
      <c r="V153">
        <f>HYPERLINK("https://klasma.github.io/Logging_1737/klagomål/A 42500-2022 FSC-klagomål.docx", "A 42500-2022")</f>
        <v/>
      </c>
      <c r="W153">
        <f>HYPERLINK("https://klasma.github.io/Logging_1737/klagomålsmail/A 42500-2022 FSC-klagomål mail.docx", "A 42500-2022")</f>
        <v/>
      </c>
      <c r="X153">
        <f>HYPERLINK("https://klasma.github.io/Logging_1737/tillsyn/A 42500-2022 tillsynsbegäran.docx", "A 42500-2022")</f>
        <v/>
      </c>
      <c r="Y153">
        <f>HYPERLINK("https://klasma.github.io/Logging_1737/tillsynsmail/A 42500-2022 tillsynsbegäran mail.docx", "A 42500-2022")</f>
        <v/>
      </c>
    </row>
    <row r="154" ht="15" customHeight="1">
      <c r="A154" t="inlineStr">
        <is>
          <t>A 44007-2022</t>
        </is>
      </c>
      <c r="B154" s="1" t="n">
        <v>44838</v>
      </c>
      <c r="C154" s="1" t="n">
        <v>45822</v>
      </c>
      <c r="D154" t="inlineStr">
        <is>
          <t>VÄRMLANDS LÄN</t>
        </is>
      </c>
      <c r="E154" t="inlineStr">
        <is>
          <t>TORSBY</t>
        </is>
      </c>
      <c r="F154" t="inlineStr">
        <is>
          <t>Bergvik skog väst AB</t>
        </is>
      </c>
      <c r="G154" t="n">
        <v>8</v>
      </c>
      <c r="H154" t="n">
        <v>1</v>
      </c>
      <c r="I154" t="n">
        <v>0</v>
      </c>
      <c r="J154" t="n">
        <v>1</v>
      </c>
      <c r="K154" t="n">
        <v>0</v>
      </c>
      <c r="L154" t="n">
        <v>0</v>
      </c>
      <c r="M154" t="n">
        <v>0</v>
      </c>
      <c r="N154" t="n">
        <v>0</v>
      </c>
      <c r="O154" t="n">
        <v>1</v>
      </c>
      <c r="P154" t="n">
        <v>0</v>
      </c>
      <c r="Q154" t="n">
        <v>1</v>
      </c>
      <c r="R154" s="2" t="inlineStr">
        <is>
          <t>Utter</t>
        </is>
      </c>
      <c r="S154">
        <f>HYPERLINK("https://klasma.github.io/Logging_1737/artfynd/A 44007-2022 artfynd.xlsx", "A 44007-2022")</f>
        <v/>
      </c>
      <c r="T154">
        <f>HYPERLINK("https://klasma.github.io/Logging_1737/kartor/A 44007-2022 karta.png", "A 44007-2022")</f>
        <v/>
      </c>
      <c r="V154">
        <f>HYPERLINK("https://klasma.github.io/Logging_1737/klagomål/A 44007-2022 FSC-klagomål.docx", "A 44007-2022")</f>
        <v/>
      </c>
      <c r="W154">
        <f>HYPERLINK("https://klasma.github.io/Logging_1737/klagomålsmail/A 44007-2022 FSC-klagomål mail.docx", "A 44007-2022")</f>
        <v/>
      </c>
      <c r="X154">
        <f>HYPERLINK("https://klasma.github.io/Logging_1737/tillsyn/A 44007-2022 tillsynsbegäran.docx", "A 44007-2022")</f>
        <v/>
      </c>
      <c r="Y154">
        <f>HYPERLINK("https://klasma.github.io/Logging_1737/tillsynsmail/A 44007-2022 tillsynsbegäran mail.docx", "A 44007-2022")</f>
        <v/>
      </c>
    </row>
    <row r="155" ht="15" customHeight="1">
      <c r="A155" t="inlineStr">
        <is>
          <t>A 50236-2022</t>
        </is>
      </c>
      <c r="B155" s="1" t="n">
        <v>44865</v>
      </c>
      <c r="C155" s="1" t="n">
        <v>45822</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51288-2022</t>
        </is>
      </c>
      <c r="B156" s="1" t="n">
        <v>44868</v>
      </c>
      <c r="C156" s="1" t="n">
        <v>45822</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13361-2023</t>
        </is>
      </c>
      <c r="B157" s="1" t="n">
        <v>45005</v>
      </c>
      <c r="C157" s="1" t="n">
        <v>45822</v>
      </c>
      <c r="D157" t="inlineStr">
        <is>
          <t>VÄRMLANDS LÄN</t>
        </is>
      </c>
      <c r="E157" t="inlineStr">
        <is>
          <t>TORSBY</t>
        </is>
      </c>
      <c r="G157" t="n">
        <v>8.5</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13361-2023 artfynd.xlsx", "A 13361-2023")</f>
        <v/>
      </c>
      <c r="T157">
        <f>HYPERLINK("https://klasma.github.io/Logging_1737/kartor/A 13361-2023 karta.png", "A 13361-2023")</f>
        <v/>
      </c>
      <c r="V157">
        <f>HYPERLINK("https://klasma.github.io/Logging_1737/klagomål/A 13361-2023 FSC-klagomål.docx", "A 13361-2023")</f>
        <v/>
      </c>
      <c r="W157">
        <f>HYPERLINK("https://klasma.github.io/Logging_1737/klagomålsmail/A 13361-2023 FSC-klagomål mail.docx", "A 13361-2023")</f>
        <v/>
      </c>
      <c r="X157">
        <f>HYPERLINK("https://klasma.github.io/Logging_1737/tillsyn/A 13361-2023 tillsynsbegäran.docx", "A 13361-2023")</f>
        <v/>
      </c>
      <c r="Y157">
        <f>HYPERLINK("https://klasma.github.io/Logging_1737/tillsynsmail/A 13361-2023 tillsynsbegäran mail.docx", "A 13361-2023")</f>
        <v/>
      </c>
    </row>
    <row r="158" ht="15" customHeight="1">
      <c r="A158" t="inlineStr">
        <is>
          <t>A 13359-2023</t>
        </is>
      </c>
      <c r="B158" s="1" t="n">
        <v>45005</v>
      </c>
      <c r="C158" s="1" t="n">
        <v>45822</v>
      </c>
      <c r="D158" t="inlineStr">
        <is>
          <t>VÄRMLANDS LÄN</t>
        </is>
      </c>
      <c r="E158" t="inlineStr">
        <is>
          <t>TORSBY</t>
        </is>
      </c>
      <c r="G158" t="n">
        <v>12.9</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15548-2023</t>
        </is>
      </c>
      <c r="B159" s="1" t="n">
        <v>45020</v>
      </c>
      <c r="C159" s="1" t="n">
        <v>45822</v>
      </c>
      <c r="D159" t="inlineStr">
        <is>
          <t>VÄRMLANDS LÄN</t>
        </is>
      </c>
      <c r="E159" t="inlineStr">
        <is>
          <t>TORSBY</t>
        </is>
      </c>
      <c r="G159" t="n">
        <v>0.6</v>
      </c>
      <c r="H159" t="n">
        <v>1</v>
      </c>
      <c r="I159" t="n">
        <v>0</v>
      </c>
      <c r="J159" t="n">
        <v>1</v>
      </c>
      <c r="K159" t="n">
        <v>0</v>
      </c>
      <c r="L159" t="n">
        <v>0</v>
      </c>
      <c r="M159" t="n">
        <v>0</v>
      </c>
      <c r="N159" t="n">
        <v>0</v>
      </c>
      <c r="O159" t="n">
        <v>1</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18882-2023</t>
        </is>
      </c>
      <c r="B160" s="1" t="n">
        <v>45044</v>
      </c>
      <c r="C160" s="1" t="n">
        <v>45822</v>
      </c>
      <c r="D160" t="inlineStr">
        <is>
          <t>VÄRMLANDS LÄN</t>
        </is>
      </c>
      <c r="E160" t="inlineStr">
        <is>
          <t>TORSBY</t>
        </is>
      </c>
      <c r="G160" t="n">
        <v>3</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18882-2023 artfynd.xlsx", "A 18882-2023")</f>
        <v/>
      </c>
      <c r="T160">
        <f>HYPERLINK("https://klasma.github.io/Logging_1737/kartor/A 18882-2023 karta.png", "A 18882-2023")</f>
        <v/>
      </c>
      <c r="V160">
        <f>HYPERLINK("https://klasma.github.io/Logging_1737/klagomål/A 18882-2023 FSC-klagomål.docx", "A 18882-2023")</f>
        <v/>
      </c>
      <c r="W160">
        <f>HYPERLINK("https://klasma.github.io/Logging_1737/klagomålsmail/A 18882-2023 FSC-klagomål mail.docx", "A 18882-2023")</f>
        <v/>
      </c>
      <c r="X160">
        <f>HYPERLINK("https://klasma.github.io/Logging_1737/tillsyn/A 18882-2023 tillsynsbegäran.docx", "A 18882-2023")</f>
        <v/>
      </c>
      <c r="Y160">
        <f>HYPERLINK("https://klasma.github.io/Logging_1737/tillsynsmail/A 18882-2023 tillsynsbegäran mail.docx", "A 18882-2023")</f>
        <v/>
      </c>
    </row>
    <row r="161" ht="15" customHeight="1">
      <c r="A161" t="inlineStr">
        <is>
          <t>A 19669-2023</t>
        </is>
      </c>
      <c r="B161" s="1" t="n">
        <v>45051</v>
      </c>
      <c r="C161" s="1" t="n">
        <v>45822</v>
      </c>
      <c r="D161" t="inlineStr">
        <is>
          <t>VÄRMLANDS LÄN</t>
        </is>
      </c>
      <c r="E161" t="inlineStr">
        <is>
          <t>TORSBY</t>
        </is>
      </c>
      <c r="F161" t="inlineStr">
        <is>
          <t>Kyrkan</t>
        </is>
      </c>
      <c r="G161" t="n">
        <v>5.2</v>
      </c>
      <c r="H161" t="n">
        <v>1</v>
      </c>
      <c r="I161" t="n">
        <v>0</v>
      </c>
      <c r="J161" t="n">
        <v>1</v>
      </c>
      <c r="K161" t="n">
        <v>0</v>
      </c>
      <c r="L161" t="n">
        <v>0</v>
      </c>
      <c r="M161" t="n">
        <v>0</v>
      </c>
      <c r="N161" t="n">
        <v>0</v>
      </c>
      <c r="O161" t="n">
        <v>1</v>
      </c>
      <c r="P161" t="n">
        <v>0</v>
      </c>
      <c r="Q161" t="n">
        <v>1</v>
      </c>
      <c r="R161" s="2" t="inlineStr">
        <is>
          <t>Utter</t>
        </is>
      </c>
      <c r="S161">
        <f>HYPERLINK("https://klasma.github.io/Logging_1737/artfynd/A 19669-2023 artfynd.xlsx", "A 19669-2023")</f>
        <v/>
      </c>
      <c r="T161">
        <f>HYPERLINK("https://klasma.github.io/Logging_1737/kartor/A 19669-2023 karta.png", "A 19669-2023")</f>
        <v/>
      </c>
      <c r="V161">
        <f>HYPERLINK("https://klasma.github.io/Logging_1737/klagomål/A 19669-2023 FSC-klagomål.docx", "A 19669-2023")</f>
        <v/>
      </c>
      <c r="W161">
        <f>HYPERLINK("https://klasma.github.io/Logging_1737/klagomålsmail/A 19669-2023 FSC-klagomål mail.docx", "A 19669-2023")</f>
        <v/>
      </c>
      <c r="X161">
        <f>HYPERLINK("https://klasma.github.io/Logging_1737/tillsyn/A 19669-2023 tillsynsbegäran.docx", "A 19669-2023")</f>
        <v/>
      </c>
      <c r="Y161">
        <f>HYPERLINK("https://klasma.github.io/Logging_1737/tillsynsmail/A 19669-2023 tillsynsbegäran mail.docx", "A 19669-2023")</f>
        <v/>
      </c>
    </row>
    <row r="162" ht="15" customHeight="1">
      <c r="A162" t="inlineStr">
        <is>
          <t>A 26747-2023</t>
        </is>
      </c>
      <c r="B162" s="1" t="n">
        <v>45090</v>
      </c>
      <c r="C162" s="1" t="n">
        <v>45822</v>
      </c>
      <c r="D162" t="inlineStr">
        <is>
          <t>VÄRMLANDS LÄN</t>
        </is>
      </c>
      <c r="E162" t="inlineStr">
        <is>
          <t>TORSBY</t>
        </is>
      </c>
      <c r="F162" t="inlineStr">
        <is>
          <t>Övriga statliga verk och myndigheter</t>
        </is>
      </c>
      <c r="G162" t="n">
        <v>4.5</v>
      </c>
      <c r="H162" t="n">
        <v>0</v>
      </c>
      <c r="I162" t="n">
        <v>0</v>
      </c>
      <c r="J162" t="n">
        <v>1</v>
      </c>
      <c r="K162" t="n">
        <v>0</v>
      </c>
      <c r="L162" t="n">
        <v>0</v>
      </c>
      <c r="M162" t="n">
        <v>0</v>
      </c>
      <c r="N162" t="n">
        <v>0</v>
      </c>
      <c r="O162" t="n">
        <v>1</v>
      </c>
      <c r="P162" t="n">
        <v>0</v>
      </c>
      <c r="Q162" t="n">
        <v>1</v>
      </c>
      <c r="R162" s="2" t="inlineStr">
        <is>
          <t>Garnlav</t>
        </is>
      </c>
      <c r="S162">
        <f>HYPERLINK("https://klasma.github.io/Logging_1737/artfynd/A 26747-2023 artfynd.xlsx", "A 26747-2023")</f>
        <v/>
      </c>
      <c r="T162">
        <f>HYPERLINK("https://klasma.github.io/Logging_1737/kartor/A 26747-2023 karta.png", "A 26747-2023")</f>
        <v/>
      </c>
      <c r="V162">
        <f>HYPERLINK("https://klasma.github.io/Logging_1737/klagomål/A 26747-2023 FSC-klagomål.docx", "A 26747-2023")</f>
        <v/>
      </c>
      <c r="W162">
        <f>HYPERLINK("https://klasma.github.io/Logging_1737/klagomålsmail/A 26747-2023 FSC-klagomål mail.docx", "A 26747-2023")</f>
        <v/>
      </c>
      <c r="X162">
        <f>HYPERLINK("https://klasma.github.io/Logging_1737/tillsyn/A 26747-2023 tillsynsbegäran.docx", "A 26747-2023")</f>
        <v/>
      </c>
      <c r="Y162">
        <f>HYPERLINK("https://klasma.github.io/Logging_1737/tillsynsmail/A 26747-2023 tillsynsbegäran mail.docx", "A 26747-2023")</f>
        <v/>
      </c>
    </row>
    <row r="163" ht="15" customHeight="1">
      <c r="A163" t="inlineStr">
        <is>
          <t>A 33835-2023</t>
        </is>
      </c>
      <c r="B163" s="1" t="n">
        <v>45133</v>
      </c>
      <c r="C163" s="1" t="n">
        <v>45822</v>
      </c>
      <c r="D163" t="inlineStr">
        <is>
          <t>VÄRMLANDS LÄN</t>
        </is>
      </c>
      <c r="E163" t="inlineStr">
        <is>
          <t>TORSBY</t>
        </is>
      </c>
      <c r="F163" t="inlineStr">
        <is>
          <t>Bergvik skog väst AB</t>
        </is>
      </c>
      <c r="G163" t="n">
        <v>17.3</v>
      </c>
      <c r="H163" t="n">
        <v>1</v>
      </c>
      <c r="I163" t="n">
        <v>0</v>
      </c>
      <c r="J163" t="n">
        <v>0</v>
      </c>
      <c r="K163" t="n">
        <v>0</v>
      </c>
      <c r="L163" t="n">
        <v>0</v>
      </c>
      <c r="M163" t="n">
        <v>0</v>
      </c>
      <c r="N163" t="n">
        <v>0</v>
      </c>
      <c r="O163" t="n">
        <v>0</v>
      </c>
      <c r="P163" t="n">
        <v>0</v>
      </c>
      <c r="Q163" t="n">
        <v>1</v>
      </c>
      <c r="R163" s="2" t="inlineStr">
        <is>
          <t>Sparvuggla</t>
        </is>
      </c>
      <c r="S163">
        <f>HYPERLINK("https://klasma.github.io/Logging_1737/artfynd/A 33835-2023 artfynd.xlsx", "A 33835-2023")</f>
        <v/>
      </c>
      <c r="T163">
        <f>HYPERLINK("https://klasma.github.io/Logging_1737/kartor/A 33835-2023 karta.png", "A 33835-2023")</f>
        <v/>
      </c>
      <c r="V163">
        <f>HYPERLINK("https://klasma.github.io/Logging_1737/klagomål/A 33835-2023 FSC-klagomål.docx", "A 33835-2023")</f>
        <v/>
      </c>
      <c r="W163">
        <f>HYPERLINK("https://klasma.github.io/Logging_1737/klagomålsmail/A 33835-2023 FSC-klagomål mail.docx", "A 33835-2023")</f>
        <v/>
      </c>
      <c r="X163">
        <f>HYPERLINK("https://klasma.github.io/Logging_1737/tillsyn/A 33835-2023 tillsynsbegäran.docx", "A 33835-2023")</f>
        <v/>
      </c>
      <c r="Y163">
        <f>HYPERLINK("https://klasma.github.io/Logging_1737/tillsynsmail/A 33835-2023 tillsynsbegäran mail.docx", "A 33835-2023")</f>
        <v/>
      </c>
      <c r="Z163">
        <f>HYPERLINK("https://klasma.github.io/Logging_1737/fåglar/A 33835-2023 prioriterade fågelarter.docx", "A 33835-2023")</f>
        <v/>
      </c>
    </row>
    <row r="164" ht="15" customHeight="1">
      <c r="A164" t="inlineStr">
        <is>
          <t>A 35809-2023</t>
        </is>
      </c>
      <c r="B164" s="1" t="n">
        <v>45147</v>
      </c>
      <c r="C164" s="1" t="n">
        <v>45822</v>
      </c>
      <c r="D164" t="inlineStr">
        <is>
          <t>VÄRMLANDS LÄN</t>
        </is>
      </c>
      <c r="E164" t="inlineStr">
        <is>
          <t>TORSBY</t>
        </is>
      </c>
      <c r="F164" t="inlineStr">
        <is>
          <t>Övriga statliga verk och myndigheter</t>
        </is>
      </c>
      <c r="G164" t="n">
        <v>7.2</v>
      </c>
      <c r="H164" t="n">
        <v>1</v>
      </c>
      <c r="I164" t="n">
        <v>0</v>
      </c>
      <c r="J164" t="n">
        <v>0</v>
      </c>
      <c r="K164" t="n">
        <v>0</v>
      </c>
      <c r="L164" t="n">
        <v>0</v>
      </c>
      <c r="M164" t="n">
        <v>0</v>
      </c>
      <c r="N164" t="n">
        <v>0</v>
      </c>
      <c r="O164" t="n">
        <v>0</v>
      </c>
      <c r="P164" t="n">
        <v>0</v>
      </c>
      <c r="Q164" t="n">
        <v>1</v>
      </c>
      <c r="R164" s="2" t="inlineStr">
        <is>
          <t>Fläcknycklar</t>
        </is>
      </c>
      <c r="S164">
        <f>HYPERLINK("https://klasma.github.io/Logging_1737/artfynd/A 35809-2023 artfynd.xlsx", "A 35809-2023")</f>
        <v/>
      </c>
      <c r="T164">
        <f>HYPERLINK("https://klasma.github.io/Logging_1737/kartor/A 35809-2023 karta.png", "A 35809-2023")</f>
        <v/>
      </c>
      <c r="V164">
        <f>HYPERLINK("https://klasma.github.io/Logging_1737/klagomål/A 35809-2023 FSC-klagomål.docx", "A 35809-2023")</f>
        <v/>
      </c>
      <c r="W164">
        <f>HYPERLINK("https://klasma.github.io/Logging_1737/klagomålsmail/A 35809-2023 FSC-klagomål mail.docx", "A 35809-2023")</f>
        <v/>
      </c>
      <c r="X164">
        <f>HYPERLINK("https://klasma.github.io/Logging_1737/tillsyn/A 35809-2023 tillsynsbegäran.docx", "A 35809-2023")</f>
        <v/>
      </c>
      <c r="Y164">
        <f>HYPERLINK("https://klasma.github.io/Logging_1737/tillsynsmail/A 35809-2023 tillsynsbegäran mail.docx", "A 35809-2023")</f>
        <v/>
      </c>
    </row>
    <row r="165" ht="15" customHeight="1">
      <c r="A165" t="inlineStr">
        <is>
          <t>A 39681-2023</t>
        </is>
      </c>
      <c r="B165" s="1" t="n">
        <v>45167</v>
      </c>
      <c r="C165" s="1" t="n">
        <v>45822</v>
      </c>
      <c r="D165" t="inlineStr">
        <is>
          <t>VÄRMLANDS LÄN</t>
        </is>
      </c>
      <c r="E165" t="inlineStr">
        <is>
          <t>TORSBY</t>
        </is>
      </c>
      <c r="G165" t="n">
        <v>5.2</v>
      </c>
      <c r="H165" t="n">
        <v>0</v>
      </c>
      <c r="I165" t="n">
        <v>0</v>
      </c>
      <c r="J165" t="n">
        <v>1</v>
      </c>
      <c r="K165" t="n">
        <v>0</v>
      </c>
      <c r="L165" t="n">
        <v>0</v>
      </c>
      <c r="M165" t="n">
        <v>0</v>
      </c>
      <c r="N165" t="n">
        <v>0</v>
      </c>
      <c r="O165" t="n">
        <v>1</v>
      </c>
      <c r="P165" t="n">
        <v>0</v>
      </c>
      <c r="Q165" t="n">
        <v>1</v>
      </c>
      <c r="R165" s="2" t="inlineStr">
        <is>
          <t>Garnlav</t>
        </is>
      </c>
      <c r="S165">
        <f>HYPERLINK("https://klasma.github.io/Logging_1737/artfynd/A 39681-2023 artfynd.xlsx", "A 39681-2023")</f>
        <v/>
      </c>
      <c r="T165">
        <f>HYPERLINK("https://klasma.github.io/Logging_1737/kartor/A 39681-2023 karta.png", "A 39681-2023")</f>
        <v/>
      </c>
      <c r="V165">
        <f>HYPERLINK("https://klasma.github.io/Logging_1737/klagomål/A 39681-2023 FSC-klagomål.docx", "A 39681-2023")</f>
        <v/>
      </c>
      <c r="W165">
        <f>HYPERLINK("https://klasma.github.io/Logging_1737/klagomålsmail/A 39681-2023 FSC-klagomål mail.docx", "A 39681-2023")</f>
        <v/>
      </c>
      <c r="X165">
        <f>HYPERLINK("https://klasma.github.io/Logging_1737/tillsyn/A 39681-2023 tillsynsbegäran.docx", "A 39681-2023")</f>
        <v/>
      </c>
      <c r="Y165">
        <f>HYPERLINK("https://klasma.github.io/Logging_1737/tillsynsmail/A 39681-2023 tillsynsbegäran mail.docx", "A 39681-2023")</f>
        <v/>
      </c>
    </row>
    <row r="166" ht="15" customHeight="1">
      <c r="A166" t="inlineStr">
        <is>
          <t>A 39983-2023</t>
        </is>
      </c>
      <c r="B166" s="1" t="n">
        <v>45168</v>
      </c>
      <c r="C166" s="1" t="n">
        <v>45822</v>
      </c>
      <c r="D166" t="inlineStr">
        <is>
          <t>VÄRMLANDS LÄN</t>
        </is>
      </c>
      <c r="E166" t="inlineStr">
        <is>
          <t>TORSBY</t>
        </is>
      </c>
      <c r="G166" t="n">
        <v>17.2</v>
      </c>
      <c r="H166" t="n">
        <v>1</v>
      </c>
      <c r="I166" t="n">
        <v>0</v>
      </c>
      <c r="J166" t="n">
        <v>1</v>
      </c>
      <c r="K166" t="n">
        <v>0</v>
      </c>
      <c r="L166" t="n">
        <v>0</v>
      </c>
      <c r="M166" t="n">
        <v>0</v>
      </c>
      <c r="N166" t="n">
        <v>0</v>
      </c>
      <c r="O166" t="n">
        <v>1</v>
      </c>
      <c r="P166" t="n">
        <v>0</v>
      </c>
      <c r="Q166" t="n">
        <v>1</v>
      </c>
      <c r="R166" s="2" t="inlineStr">
        <is>
          <t>Kråka</t>
        </is>
      </c>
      <c r="S166">
        <f>HYPERLINK("https://klasma.github.io/Logging_1737/artfynd/A 39983-2023 artfynd.xlsx", "A 39983-2023")</f>
        <v/>
      </c>
      <c r="T166">
        <f>HYPERLINK("https://klasma.github.io/Logging_1737/kartor/A 39983-2023 karta.png", "A 39983-2023")</f>
        <v/>
      </c>
      <c r="V166">
        <f>HYPERLINK("https://klasma.github.io/Logging_1737/klagomål/A 39983-2023 FSC-klagomål.docx", "A 39983-2023")</f>
        <v/>
      </c>
      <c r="W166">
        <f>HYPERLINK("https://klasma.github.io/Logging_1737/klagomålsmail/A 39983-2023 FSC-klagomål mail.docx", "A 39983-2023")</f>
        <v/>
      </c>
      <c r="X166">
        <f>HYPERLINK("https://klasma.github.io/Logging_1737/tillsyn/A 39983-2023 tillsynsbegäran.docx", "A 39983-2023")</f>
        <v/>
      </c>
      <c r="Y166">
        <f>HYPERLINK("https://klasma.github.io/Logging_1737/tillsynsmail/A 39983-2023 tillsynsbegäran mail.docx", "A 39983-2023")</f>
        <v/>
      </c>
      <c r="Z166">
        <f>HYPERLINK("https://klasma.github.io/Logging_1737/fåglar/A 39983-2023 prioriterade fågelarter.docx", "A 39983-2023")</f>
        <v/>
      </c>
    </row>
    <row r="167" ht="15" customHeight="1">
      <c r="A167" t="inlineStr">
        <is>
          <t>A 46099-2023</t>
        </is>
      </c>
      <c r="B167" s="1" t="n">
        <v>45196</v>
      </c>
      <c r="C167" s="1" t="n">
        <v>45822</v>
      </c>
      <c r="D167" t="inlineStr">
        <is>
          <t>VÄRMLANDS LÄN</t>
        </is>
      </c>
      <c r="E167" t="inlineStr">
        <is>
          <t>TORSBY</t>
        </is>
      </c>
      <c r="G167" t="n">
        <v>8.4</v>
      </c>
      <c r="H167" t="n">
        <v>0</v>
      </c>
      <c r="I167" t="n">
        <v>0</v>
      </c>
      <c r="J167" t="n">
        <v>1</v>
      </c>
      <c r="K167" t="n">
        <v>0</v>
      </c>
      <c r="L167" t="n">
        <v>0</v>
      </c>
      <c r="M167" t="n">
        <v>0</v>
      </c>
      <c r="N167" t="n">
        <v>0</v>
      </c>
      <c r="O167" t="n">
        <v>1</v>
      </c>
      <c r="P167" t="n">
        <v>0</v>
      </c>
      <c r="Q167" t="n">
        <v>1</v>
      </c>
      <c r="R167" s="2" t="inlineStr">
        <is>
          <t>Gammelgransskål</t>
        </is>
      </c>
      <c r="S167">
        <f>HYPERLINK("https://klasma.github.io/Logging_1737/artfynd/A 46099-2023 artfynd.xlsx", "A 46099-2023")</f>
        <v/>
      </c>
      <c r="T167">
        <f>HYPERLINK("https://klasma.github.io/Logging_1737/kartor/A 46099-2023 karta.png", "A 46099-2023")</f>
        <v/>
      </c>
      <c r="V167">
        <f>HYPERLINK("https://klasma.github.io/Logging_1737/klagomål/A 46099-2023 FSC-klagomål.docx", "A 46099-2023")</f>
        <v/>
      </c>
      <c r="W167">
        <f>HYPERLINK("https://klasma.github.io/Logging_1737/klagomålsmail/A 46099-2023 FSC-klagomål mail.docx", "A 46099-2023")</f>
        <v/>
      </c>
      <c r="X167">
        <f>HYPERLINK("https://klasma.github.io/Logging_1737/tillsyn/A 46099-2023 tillsynsbegäran.docx", "A 46099-2023")</f>
        <v/>
      </c>
      <c r="Y167">
        <f>HYPERLINK("https://klasma.github.io/Logging_1737/tillsynsmail/A 46099-2023 tillsynsbegäran mail.docx", "A 46099-2023")</f>
        <v/>
      </c>
    </row>
    <row r="168" ht="15" customHeight="1">
      <c r="A168" t="inlineStr">
        <is>
          <t>A 49724-2023</t>
        </is>
      </c>
      <c r="B168" s="1" t="n">
        <v>45208</v>
      </c>
      <c r="C168" s="1" t="n">
        <v>45822</v>
      </c>
      <c r="D168" t="inlineStr">
        <is>
          <t>VÄRMLANDS LÄN</t>
        </is>
      </c>
      <c r="E168" t="inlineStr">
        <is>
          <t>TORSBY</t>
        </is>
      </c>
      <c r="G168" t="n">
        <v>2.6</v>
      </c>
      <c r="H168" t="n">
        <v>0</v>
      </c>
      <c r="I168" t="n">
        <v>0</v>
      </c>
      <c r="J168" t="n">
        <v>1</v>
      </c>
      <c r="K168" t="n">
        <v>0</v>
      </c>
      <c r="L168" t="n">
        <v>0</v>
      </c>
      <c r="M168" t="n">
        <v>0</v>
      </c>
      <c r="N168" t="n">
        <v>0</v>
      </c>
      <c r="O168" t="n">
        <v>1</v>
      </c>
      <c r="P168" t="n">
        <v>0</v>
      </c>
      <c r="Q168" t="n">
        <v>1</v>
      </c>
      <c r="R168" s="2" t="inlineStr">
        <is>
          <t>Garnlav</t>
        </is>
      </c>
      <c r="S168">
        <f>HYPERLINK("https://klasma.github.io/Logging_1737/artfynd/A 49724-2023 artfynd.xlsx", "A 49724-2023")</f>
        <v/>
      </c>
      <c r="T168">
        <f>HYPERLINK("https://klasma.github.io/Logging_1737/kartor/A 49724-2023 karta.png", "A 49724-2023")</f>
        <v/>
      </c>
      <c r="V168">
        <f>HYPERLINK("https://klasma.github.io/Logging_1737/klagomål/A 49724-2023 FSC-klagomål.docx", "A 49724-2023")</f>
        <v/>
      </c>
      <c r="W168">
        <f>HYPERLINK("https://klasma.github.io/Logging_1737/klagomålsmail/A 49724-2023 FSC-klagomål mail.docx", "A 49724-2023")</f>
        <v/>
      </c>
      <c r="X168">
        <f>HYPERLINK("https://klasma.github.io/Logging_1737/tillsyn/A 49724-2023 tillsynsbegäran.docx", "A 49724-2023")</f>
        <v/>
      </c>
      <c r="Y168">
        <f>HYPERLINK("https://klasma.github.io/Logging_1737/tillsynsmail/A 49724-2023 tillsynsbegäran mail.docx", "A 49724-2023")</f>
        <v/>
      </c>
    </row>
    <row r="169" ht="15" customHeight="1">
      <c r="A169" t="inlineStr">
        <is>
          <t>A 57971-2023</t>
        </is>
      </c>
      <c r="B169" s="1" t="n">
        <v>45247</v>
      </c>
      <c r="C169" s="1" t="n">
        <v>45822</v>
      </c>
      <c r="D169" t="inlineStr">
        <is>
          <t>VÄRMLANDS LÄN</t>
        </is>
      </c>
      <c r="E169" t="inlineStr">
        <is>
          <t>TORSBY</t>
        </is>
      </c>
      <c r="G169" t="n">
        <v>12.4</v>
      </c>
      <c r="H169" t="n">
        <v>0</v>
      </c>
      <c r="I169" t="n">
        <v>0</v>
      </c>
      <c r="J169" t="n">
        <v>1</v>
      </c>
      <c r="K169" t="n">
        <v>0</v>
      </c>
      <c r="L169" t="n">
        <v>0</v>
      </c>
      <c r="M169" t="n">
        <v>0</v>
      </c>
      <c r="N169" t="n">
        <v>0</v>
      </c>
      <c r="O169" t="n">
        <v>1</v>
      </c>
      <c r="P169" t="n">
        <v>0</v>
      </c>
      <c r="Q169" t="n">
        <v>1</v>
      </c>
      <c r="R169" s="2" t="inlineStr">
        <is>
          <t>Garnlav</t>
        </is>
      </c>
      <c r="S169">
        <f>HYPERLINK("https://klasma.github.io/Logging_1737/artfynd/A 57971-2023 artfynd.xlsx", "A 57971-2023")</f>
        <v/>
      </c>
      <c r="T169">
        <f>HYPERLINK("https://klasma.github.io/Logging_1737/kartor/A 57971-2023 karta.png", "A 57971-2023")</f>
        <v/>
      </c>
      <c r="V169">
        <f>HYPERLINK("https://klasma.github.io/Logging_1737/klagomål/A 57971-2023 FSC-klagomål.docx", "A 57971-2023")</f>
        <v/>
      </c>
      <c r="W169">
        <f>HYPERLINK("https://klasma.github.io/Logging_1737/klagomålsmail/A 57971-2023 FSC-klagomål mail.docx", "A 57971-2023")</f>
        <v/>
      </c>
      <c r="X169">
        <f>HYPERLINK("https://klasma.github.io/Logging_1737/tillsyn/A 57971-2023 tillsynsbegäran.docx", "A 57971-2023")</f>
        <v/>
      </c>
      <c r="Y169">
        <f>HYPERLINK("https://klasma.github.io/Logging_1737/tillsynsmail/A 57971-2023 tillsynsbegäran mail.docx", "A 57971-2023")</f>
        <v/>
      </c>
    </row>
    <row r="170" ht="15" customHeight="1">
      <c r="A170" t="inlineStr">
        <is>
          <t>A 61911-2023</t>
        </is>
      </c>
      <c r="B170" s="1" t="n">
        <v>45266</v>
      </c>
      <c r="C170" s="1" t="n">
        <v>45822</v>
      </c>
      <c r="D170" t="inlineStr">
        <is>
          <t>VÄRMLANDS LÄN</t>
        </is>
      </c>
      <c r="E170" t="inlineStr">
        <is>
          <t>TORSBY</t>
        </is>
      </c>
      <c r="F170" t="inlineStr">
        <is>
          <t>Kommuner</t>
        </is>
      </c>
      <c r="G170" t="n">
        <v>9.1</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61911-2023 artfynd.xlsx", "A 61911-2023")</f>
        <v/>
      </c>
      <c r="T170">
        <f>HYPERLINK("https://klasma.github.io/Logging_1737/kartor/A 61911-2023 karta.png", "A 61911-2023")</f>
        <v/>
      </c>
      <c r="V170">
        <f>HYPERLINK("https://klasma.github.io/Logging_1737/klagomål/A 61911-2023 FSC-klagomål.docx", "A 61911-2023")</f>
        <v/>
      </c>
      <c r="W170">
        <f>HYPERLINK("https://klasma.github.io/Logging_1737/klagomålsmail/A 61911-2023 FSC-klagomål mail.docx", "A 61911-2023")</f>
        <v/>
      </c>
      <c r="X170">
        <f>HYPERLINK("https://klasma.github.io/Logging_1737/tillsyn/A 61911-2023 tillsynsbegäran.docx", "A 61911-2023")</f>
        <v/>
      </c>
      <c r="Y170">
        <f>HYPERLINK("https://klasma.github.io/Logging_1737/tillsynsmail/A 61911-2023 tillsynsbegäran mail.docx", "A 61911-2023")</f>
        <v/>
      </c>
    </row>
    <row r="171" ht="15" customHeight="1">
      <c r="A171" t="inlineStr">
        <is>
          <t>A 1811-2024</t>
        </is>
      </c>
      <c r="B171" s="1" t="n">
        <v>45307</v>
      </c>
      <c r="C171" s="1" t="n">
        <v>45822</v>
      </c>
      <c r="D171" t="inlineStr">
        <is>
          <t>VÄRMLANDS LÄN</t>
        </is>
      </c>
      <c r="E171" t="inlineStr">
        <is>
          <t>TORSBY</t>
        </is>
      </c>
      <c r="G171" t="n">
        <v>12.1</v>
      </c>
      <c r="H171" t="n">
        <v>1</v>
      </c>
      <c r="I171" t="n">
        <v>0</v>
      </c>
      <c r="J171" t="n">
        <v>0</v>
      </c>
      <c r="K171" t="n">
        <v>0</v>
      </c>
      <c r="L171" t="n">
        <v>0</v>
      </c>
      <c r="M171" t="n">
        <v>0</v>
      </c>
      <c r="N171" t="n">
        <v>0</v>
      </c>
      <c r="O171" t="n">
        <v>0</v>
      </c>
      <c r="P171" t="n">
        <v>0</v>
      </c>
      <c r="Q171" t="n">
        <v>1</v>
      </c>
      <c r="R171" s="2" t="inlineStr">
        <is>
          <t>Revlummer</t>
        </is>
      </c>
      <c r="S171">
        <f>HYPERLINK("https://klasma.github.io/Logging_1737/artfynd/A 1811-2024 artfynd.xlsx", "A 1811-2024")</f>
        <v/>
      </c>
      <c r="T171">
        <f>HYPERLINK("https://klasma.github.io/Logging_1737/kartor/A 1811-2024 karta.png", "A 1811-2024")</f>
        <v/>
      </c>
      <c r="V171">
        <f>HYPERLINK("https://klasma.github.io/Logging_1737/klagomål/A 1811-2024 FSC-klagomål.docx", "A 1811-2024")</f>
        <v/>
      </c>
      <c r="W171">
        <f>HYPERLINK("https://klasma.github.io/Logging_1737/klagomålsmail/A 1811-2024 FSC-klagomål mail.docx", "A 1811-2024")</f>
        <v/>
      </c>
      <c r="X171">
        <f>HYPERLINK("https://klasma.github.io/Logging_1737/tillsyn/A 1811-2024 tillsynsbegäran.docx", "A 1811-2024")</f>
        <v/>
      </c>
      <c r="Y171">
        <f>HYPERLINK("https://klasma.github.io/Logging_1737/tillsynsmail/A 1811-2024 tillsynsbegäran mail.docx", "A 1811-2024")</f>
        <v/>
      </c>
    </row>
    <row r="172" ht="15" customHeight="1">
      <c r="A172" t="inlineStr">
        <is>
          <t>A 2039-2024</t>
        </is>
      </c>
      <c r="B172" s="1" t="n">
        <v>45308</v>
      </c>
      <c r="C172" s="1" t="n">
        <v>45822</v>
      </c>
      <c r="D172" t="inlineStr">
        <is>
          <t>VÄRMLANDS LÄN</t>
        </is>
      </c>
      <c r="E172" t="inlineStr">
        <is>
          <t>TORSBY</t>
        </is>
      </c>
      <c r="G172" t="n">
        <v>6.4</v>
      </c>
      <c r="H172" t="n">
        <v>1</v>
      </c>
      <c r="I172" t="n">
        <v>0</v>
      </c>
      <c r="J172" t="n">
        <v>1</v>
      </c>
      <c r="K172" t="n">
        <v>0</v>
      </c>
      <c r="L172" t="n">
        <v>0</v>
      </c>
      <c r="M172" t="n">
        <v>0</v>
      </c>
      <c r="N172" t="n">
        <v>0</v>
      </c>
      <c r="O172" t="n">
        <v>1</v>
      </c>
      <c r="P172" t="n">
        <v>0</v>
      </c>
      <c r="Q172" t="n">
        <v>1</v>
      </c>
      <c r="R172" s="2" t="inlineStr">
        <is>
          <t>Kungsörn</t>
        </is>
      </c>
      <c r="S172">
        <f>HYPERLINK("https://klasma.github.io/Logging_1737/artfynd/A 2039-2024 artfynd.xlsx", "A 2039-2024")</f>
        <v/>
      </c>
      <c r="T172">
        <f>HYPERLINK("https://klasma.github.io/Logging_1737/kartor/A 2039-2024 karta.png", "A 2039-2024")</f>
        <v/>
      </c>
      <c r="V172">
        <f>HYPERLINK("https://klasma.github.io/Logging_1737/klagomål/A 2039-2024 FSC-klagomål.docx", "A 2039-2024")</f>
        <v/>
      </c>
      <c r="W172">
        <f>HYPERLINK("https://klasma.github.io/Logging_1737/klagomålsmail/A 2039-2024 FSC-klagomål mail.docx", "A 2039-2024")</f>
        <v/>
      </c>
      <c r="X172">
        <f>HYPERLINK("https://klasma.github.io/Logging_1737/tillsyn/A 2039-2024 tillsynsbegäran.docx", "A 2039-2024")</f>
        <v/>
      </c>
      <c r="Y172">
        <f>HYPERLINK("https://klasma.github.io/Logging_1737/tillsynsmail/A 2039-2024 tillsynsbegäran mail.docx", "A 2039-2024")</f>
        <v/>
      </c>
      <c r="Z172">
        <f>HYPERLINK("https://klasma.github.io/Logging_1737/fåglar/A 2039-2024 prioriterade fågelarter.docx", "A 2039-2024")</f>
        <v/>
      </c>
    </row>
    <row r="173" ht="15" customHeight="1">
      <c r="A173" t="inlineStr">
        <is>
          <t>A 4985-2024</t>
        </is>
      </c>
      <c r="B173" s="1" t="n">
        <v>45329</v>
      </c>
      <c r="C173" s="1" t="n">
        <v>45822</v>
      </c>
      <c r="D173" t="inlineStr">
        <is>
          <t>VÄRMLANDS LÄN</t>
        </is>
      </c>
      <c r="E173" t="inlineStr">
        <is>
          <t>TORSBY</t>
        </is>
      </c>
      <c r="G173" t="n">
        <v>4.9</v>
      </c>
      <c r="H173" t="n">
        <v>0</v>
      </c>
      <c r="I173" t="n">
        <v>0</v>
      </c>
      <c r="J173" t="n">
        <v>1</v>
      </c>
      <c r="K173" t="n">
        <v>0</v>
      </c>
      <c r="L173" t="n">
        <v>0</v>
      </c>
      <c r="M173" t="n">
        <v>0</v>
      </c>
      <c r="N173" t="n">
        <v>0</v>
      </c>
      <c r="O173" t="n">
        <v>1</v>
      </c>
      <c r="P173" t="n">
        <v>0</v>
      </c>
      <c r="Q173" t="n">
        <v>1</v>
      </c>
      <c r="R173" s="2" t="inlineStr">
        <is>
          <t>Garnlav</t>
        </is>
      </c>
      <c r="S173">
        <f>HYPERLINK("https://klasma.github.io/Logging_1737/artfynd/A 4985-2024 artfynd.xlsx", "A 4985-2024")</f>
        <v/>
      </c>
      <c r="T173">
        <f>HYPERLINK("https://klasma.github.io/Logging_1737/kartor/A 4985-2024 karta.png", "A 4985-2024")</f>
        <v/>
      </c>
      <c r="V173">
        <f>HYPERLINK("https://klasma.github.io/Logging_1737/klagomål/A 4985-2024 FSC-klagomål.docx", "A 4985-2024")</f>
        <v/>
      </c>
      <c r="W173">
        <f>HYPERLINK("https://klasma.github.io/Logging_1737/klagomålsmail/A 4985-2024 FSC-klagomål mail.docx", "A 4985-2024")</f>
        <v/>
      </c>
      <c r="X173">
        <f>HYPERLINK("https://klasma.github.io/Logging_1737/tillsyn/A 4985-2024 tillsynsbegäran.docx", "A 4985-2024")</f>
        <v/>
      </c>
      <c r="Y173">
        <f>HYPERLINK("https://klasma.github.io/Logging_1737/tillsynsmail/A 4985-2024 tillsynsbegäran mail.docx", "A 4985-2024")</f>
        <v/>
      </c>
    </row>
    <row r="174" ht="15" customHeight="1">
      <c r="A174" t="inlineStr">
        <is>
          <t>A 19760-2024</t>
        </is>
      </c>
      <c r="B174" s="1" t="n">
        <v>45432</v>
      </c>
      <c r="C174" s="1" t="n">
        <v>45822</v>
      </c>
      <c r="D174" t="inlineStr">
        <is>
          <t>VÄRMLANDS LÄN</t>
        </is>
      </c>
      <c r="E174" t="inlineStr">
        <is>
          <t>TORSBY</t>
        </is>
      </c>
      <c r="F174" t="inlineStr">
        <is>
          <t>Bergvik skog väst AB</t>
        </is>
      </c>
      <c r="G174" t="n">
        <v>7.9</v>
      </c>
      <c r="H174" t="n">
        <v>1</v>
      </c>
      <c r="I174" t="n">
        <v>0</v>
      </c>
      <c r="J174" t="n">
        <v>1</v>
      </c>
      <c r="K174" t="n">
        <v>0</v>
      </c>
      <c r="L174" t="n">
        <v>0</v>
      </c>
      <c r="M174" t="n">
        <v>0</v>
      </c>
      <c r="N174" t="n">
        <v>0</v>
      </c>
      <c r="O174" t="n">
        <v>1</v>
      </c>
      <c r="P174" t="n">
        <v>0</v>
      </c>
      <c r="Q174" t="n">
        <v>1</v>
      </c>
      <c r="R174" s="2" t="inlineStr">
        <is>
          <t>Utter</t>
        </is>
      </c>
      <c r="S174">
        <f>HYPERLINK("https://klasma.github.io/Logging_1737/artfynd/A 19760-2024 artfynd.xlsx", "A 19760-2024")</f>
        <v/>
      </c>
      <c r="T174">
        <f>HYPERLINK("https://klasma.github.io/Logging_1737/kartor/A 19760-2024 karta.png", "A 19760-2024")</f>
        <v/>
      </c>
      <c r="V174">
        <f>HYPERLINK("https://klasma.github.io/Logging_1737/klagomål/A 19760-2024 FSC-klagomål.docx", "A 19760-2024")</f>
        <v/>
      </c>
      <c r="W174">
        <f>HYPERLINK("https://klasma.github.io/Logging_1737/klagomålsmail/A 19760-2024 FSC-klagomål mail.docx", "A 19760-2024")</f>
        <v/>
      </c>
      <c r="X174">
        <f>HYPERLINK("https://klasma.github.io/Logging_1737/tillsyn/A 19760-2024 tillsynsbegäran.docx", "A 19760-2024")</f>
        <v/>
      </c>
      <c r="Y174">
        <f>HYPERLINK("https://klasma.github.io/Logging_1737/tillsynsmail/A 19760-2024 tillsynsbegäran mail.docx", "A 19760-2024")</f>
        <v/>
      </c>
    </row>
    <row r="175" ht="15" customHeight="1">
      <c r="A175" t="inlineStr">
        <is>
          <t>A 25789-2024</t>
        </is>
      </c>
      <c r="B175" s="1" t="n">
        <v>45467</v>
      </c>
      <c r="C175" s="1" t="n">
        <v>45822</v>
      </c>
      <c r="D175" t="inlineStr">
        <is>
          <t>VÄRMLANDS LÄN</t>
        </is>
      </c>
      <c r="E175" t="inlineStr">
        <is>
          <t>TORSBY</t>
        </is>
      </c>
      <c r="F175" t="inlineStr">
        <is>
          <t>Bergvik skog väst AB</t>
        </is>
      </c>
      <c r="G175" t="n">
        <v>9</v>
      </c>
      <c r="H175" t="n">
        <v>1</v>
      </c>
      <c r="I175" t="n">
        <v>0</v>
      </c>
      <c r="J175" t="n">
        <v>1</v>
      </c>
      <c r="K175" t="n">
        <v>0</v>
      </c>
      <c r="L175" t="n">
        <v>0</v>
      </c>
      <c r="M175" t="n">
        <v>0</v>
      </c>
      <c r="N175" t="n">
        <v>0</v>
      </c>
      <c r="O175" t="n">
        <v>1</v>
      </c>
      <c r="P175" t="n">
        <v>0</v>
      </c>
      <c r="Q175" t="n">
        <v>1</v>
      </c>
      <c r="R175" s="2" t="inlineStr">
        <is>
          <t>Järpe</t>
        </is>
      </c>
      <c r="S175">
        <f>HYPERLINK("https://klasma.github.io/Logging_1737/artfynd/A 25789-2024 artfynd.xlsx", "A 25789-2024")</f>
        <v/>
      </c>
      <c r="T175">
        <f>HYPERLINK("https://klasma.github.io/Logging_1737/kartor/A 25789-2024 karta.png", "A 25789-2024")</f>
        <v/>
      </c>
      <c r="V175">
        <f>HYPERLINK("https://klasma.github.io/Logging_1737/klagomål/A 25789-2024 FSC-klagomål.docx", "A 25789-2024")</f>
        <v/>
      </c>
      <c r="W175">
        <f>HYPERLINK("https://klasma.github.io/Logging_1737/klagomålsmail/A 25789-2024 FSC-klagomål mail.docx", "A 25789-2024")</f>
        <v/>
      </c>
      <c r="X175">
        <f>HYPERLINK("https://klasma.github.io/Logging_1737/tillsyn/A 25789-2024 tillsynsbegäran.docx", "A 25789-2024")</f>
        <v/>
      </c>
      <c r="Y175">
        <f>HYPERLINK("https://klasma.github.io/Logging_1737/tillsynsmail/A 25789-2024 tillsynsbegäran mail.docx", "A 25789-2024")</f>
        <v/>
      </c>
      <c r="Z175">
        <f>HYPERLINK("https://klasma.github.io/Logging_1737/fåglar/A 25789-2024 prioriterade fågelarter.docx", "A 25789-2024")</f>
        <v/>
      </c>
    </row>
    <row r="176" ht="15" customHeight="1">
      <c r="A176" t="inlineStr">
        <is>
          <t>A 36962-2024</t>
        </is>
      </c>
      <c r="B176" s="1" t="n">
        <v>45538</v>
      </c>
      <c r="C176" s="1" t="n">
        <v>45822</v>
      </c>
      <c r="D176" t="inlineStr">
        <is>
          <t>VÄRMLANDS LÄN</t>
        </is>
      </c>
      <c r="E176" t="inlineStr">
        <is>
          <t>TORSBY</t>
        </is>
      </c>
      <c r="G176" t="n">
        <v>17</v>
      </c>
      <c r="H176" t="n">
        <v>0</v>
      </c>
      <c r="I176" t="n">
        <v>1</v>
      </c>
      <c r="J176" t="n">
        <v>0</v>
      </c>
      <c r="K176" t="n">
        <v>0</v>
      </c>
      <c r="L176" t="n">
        <v>0</v>
      </c>
      <c r="M176" t="n">
        <v>0</v>
      </c>
      <c r="N176" t="n">
        <v>0</v>
      </c>
      <c r="O176" t="n">
        <v>0</v>
      </c>
      <c r="P176" t="n">
        <v>0</v>
      </c>
      <c r="Q176" t="n">
        <v>1</v>
      </c>
      <c r="R176" s="2" t="inlineStr">
        <is>
          <t>Dropptaggsvamp</t>
        </is>
      </c>
      <c r="S176">
        <f>HYPERLINK("https://klasma.github.io/Logging_1737/artfynd/A 36962-2024 artfynd.xlsx", "A 36962-2024")</f>
        <v/>
      </c>
      <c r="T176">
        <f>HYPERLINK("https://klasma.github.io/Logging_1737/kartor/A 36962-2024 karta.png", "A 36962-2024")</f>
        <v/>
      </c>
      <c r="V176">
        <f>HYPERLINK("https://klasma.github.io/Logging_1737/klagomål/A 36962-2024 FSC-klagomål.docx", "A 36962-2024")</f>
        <v/>
      </c>
      <c r="W176">
        <f>HYPERLINK("https://klasma.github.io/Logging_1737/klagomålsmail/A 36962-2024 FSC-klagomål mail.docx", "A 36962-2024")</f>
        <v/>
      </c>
      <c r="X176">
        <f>HYPERLINK("https://klasma.github.io/Logging_1737/tillsyn/A 36962-2024 tillsynsbegäran.docx", "A 36962-2024")</f>
        <v/>
      </c>
      <c r="Y176">
        <f>HYPERLINK("https://klasma.github.io/Logging_1737/tillsynsmail/A 36962-2024 tillsynsbegäran mail.docx", "A 36962-2024")</f>
        <v/>
      </c>
    </row>
    <row r="177" ht="15" customHeight="1">
      <c r="A177" t="inlineStr">
        <is>
          <t>A 37292-2024</t>
        </is>
      </c>
      <c r="B177" s="1" t="n">
        <v>45540</v>
      </c>
      <c r="C177" s="1" t="n">
        <v>45822</v>
      </c>
      <c r="D177" t="inlineStr">
        <is>
          <t>VÄRMLANDS LÄN</t>
        </is>
      </c>
      <c r="E177" t="inlineStr">
        <is>
          <t>TORSBY</t>
        </is>
      </c>
      <c r="G177" t="n">
        <v>5.4</v>
      </c>
      <c r="H177" t="n">
        <v>0</v>
      </c>
      <c r="I177" t="n">
        <v>0</v>
      </c>
      <c r="J177" t="n">
        <v>1</v>
      </c>
      <c r="K177" t="n">
        <v>0</v>
      </c>
      <c r="L177" t="n">
        <v>0</v>
      </c>
      <c r="M177" t="n">
        <v>0</v>
      </c>
      <c r="N177" t="n">
        <v>0</v>
      </c>
      <c r="O177" t="n">
        <v>1</v>
      </c>
      <c r="P177" t="n">
        <v>0</v>
      </c>
      <c r="Q177" t="n">
        <v>1</v>
      </c>
      <c r="R177" s="2" t="inlineStr">
        <is>
          <t>Garnlav</t>
        </is>
      </c>
      <c r="S177">
        <f>HYPERLINK("https://klasma.github.io/Logging_1737/artfynd/A 37292-2024 artfynd.xlsx", "A 37292-2024")</f>
        <v/>
      </c>
      <c r="T177">
        <f>HYPERLINK("https://klasma.github.io/Logging_1737/kartor/A 37292-2024 karta.png", "A 37292-2024")</f>
        <v/>
      </c>
      <c r="V177">
        <f>HYPERLINK("https://klasma.github.io/Logging_1737/klagomål/A 37292-2024 FSC-klagomål.docx", "A 37292-2024")</f>
        <v/>
      </c>
      <c r="W177">
        <f>HYPERLINK("https://klasma.github.io/Logging_1737/klagomålsmail/A 37292-2024 FSC-klagomål mail.docx", "A 37292-2024")</f>
        <v/>
      </c>
      <c r="X177">
        <f>HYPERLINK("https://klasma.github.io/Logging_1737/tillsyn/A 37292-2024 tillsynsbegäran.docx", "A 37292-2024")</f>
        <v/>
      </c>
      <c r="Y177">
        <f>HYPERLINK("https://klasma.github.io/Logging_1737/tillsynsmail/A 37292-2024 tillsynsbegäran mail.docx", "A 37292-2024")</f>
        <v/>
      </c>
    </row>
    <row r="178" ht="15" customHeight="1">
      <c r="A178" t="inlineStr">
        <is>
          <t>A 40033-2024</t>
        </is>
      </c>
      <c r="B178" s="1" t="n">
        <v>45553</v>
      </c>
      <c r="C178" s="1" t="n">
        <v>45822</v>
      </c>
      <c r="D178" t="inlineStr">
        <is>
          <t>VÄRMLANDS LÄN</t>
        </is>
      </c>
      <c r="E178" t="inlineStr">
        <is>
          <t>TORSBY</t>
        </is>
      </c>
      <c r="G178" t="n">
        <v>6.2</v>
      </c>
      <c r="H178" t="n">
        <v>0</v>
      </c>
      <c r="I178" t="n">
        <v>0</v>
      </c>
      <c r="J178" t="n">
        <v>1</v>
      </c>
      <c r="K178" t="n">
        <v>0</v>
      </c>
      <c r="L178" t="n">
        <v>0</v>
      </c>
      <c r="M178" t="n">
        <v>0</v>
      </c>
      <c r="N178" t="n">
        <v>0</v>
      </c>
      <c r="O178" t="n">
        <v>1</v>
      </c>
      <c r="P178" t="n">
        <v>0</v>
      </c>
      <c r="Q178" t="n">
        <v>1</v>
      </c>
      <c r="R178" s="2" t="inlineStr">
        <is>
          <t>Violettgrå tagellav</t>
        </is>
      </c>
      <c r="S178">
        <f>HYPERLINK("https://klasma.github.io/Logging_1737/artfynd/A 40033-2024 artfynd.xlsx", "A 40033-2024")</f>
        <v/>
      </c>
      <c r="T178">
        <f>HYPERLINK("https://klasma.github.io/Logging_1737/kartor/A 40033-2024 karta.png", "A 40033-2024")</f>
        <v/>
      </c>
      <c r="V178">
        <f>HYPERLINK("https://klasma.github.io/Logging_1737/klagomål/A 40033-2024 FSC-klagomål.docx", "A 40033-2024")</f>
        <v/>
      </c>
      <c r="W178">
        <f>HYPERLINK("https://klasma.github.io/Logging_1737/klagomålsmail/A 40033-2024 FSC-klagomål mail.docx", "A 40033-2024")</f>
        <v/>
      </c>
      <c r="X178">
        <f>HYPERLINK("https://klasma.github.io/Logging_1737/tillsyn/A 40033-2024 tillsynsbegäran.docx", "A 40033-2024")</f>
        <v/>
      </c>
      <c r="Y178">
        <f>HYPERLINK("https://klasma.github.io/Logging_1737/tillsynsmail/A 40033-2024 tillsynsbegäran mail.docx", "A 40033-2024")</f>
        <v/>
      </c>
    </row>
    <row r="179" ht="15" customHeight="1">
      <c r="A179" t="inlineStr">
        <is>
          <t>A 40934-2024</t>
        </is>
      </c>
      <c r="B179" s="1" t="n">
        <v>45558</v>
      </c>
      <c r="C179" s="1" t="n">
        <v>45822</v>
      </c>
      <c r="D179" t="inlineStr">
        <is>
          <t>VÄRMLANDS LÄN</t>
        </is>
      </c>
      <c r="E179" t="inlineStr">
        <is>
          <t>TORSBY</t>
        </is>
      </c>
      <c r="G179" t="n">
        <v>8.1</v>
      </c>
      <c r="H179" t="n">
        <v>0</v>
      </c>
      <c r="I179" t="n">
        <v>0</v>
      </c>
      <c r="J179" t="n">
        <v>1</v>
      </c>
      <c r="K179" t="n">
        <v>0</v>
      </c>
      <c r="L179" t="n">
        <v>0</v>
      </c>
      <c r="M179" t="n">
        <v>0</v>
      </c>
      <c r="N179" t="n">
        <v>0</v>
      </c>
      <c r="O179" t="n">
        <v>1</v>
      </c>
      <c r="P179" t="n">
        <v>0</v>
      </c>
      <c r="Q179" t="n">
        <v>1</v>
      </c>
      <c r="R179" s="2" t="inlineStr">
        <is>
          <t>Lunglav</t>
        </is>
      </c>
      <c r="S179">
        <f>HYPERLINK("https://klasma.github.io/Logging_1737/artfynd/A 40934-2024 artfynd.xlsx", "A 40934-2024")</f>
        <v/>
      </c>
      <c r="T179">
        <f>HYPERLINK("https://klasma.github.io/Logging_1737/kartor/A 40934-2024 karta.png", "A 40934-2024")</f>
        <v/>
      </c>
      <c r="V179">
        <f>HYPERLINK("https://klasma.github.io/Logging_1737/klagomål/A 40934-2024 FSC-klagomål.docx", "A 40934-2024")</f>
        <v/>
      </c>
      <c r="W179">
        <f>HYPERLINK("https://klasma.github.io/Logging_1737/klagomålsmail/A 40934-2024 FSC-klagomål mail.docx", "A 40934-2024")</f>
        <v/>
      </c>
      <c r="X179">
        <f>HYPERLINK("https://klasma.github.io/Logging_1737/tillsyn/A 40934-2024 tillsynsbegäran.docx", "A 40934-2024")</f>
        <v/>
      </c>
      <c r="Y179">
        <f>HYPERLINK("https://klasma.github.io/Logging_1737/tillsynsmail/A 40934-2024 tillsynsbegäran mail.docx", "A 40934-2024")</f>
        <v/>
      </c>
    </row>
    <row r="180" ht="15" customHeight="1">
      <c r="A180" t="inlineStr">
        <is>
          <t>A 41350-2024</t>
        </is>
      </c>
      <c r="B180" s="1" t="n">
        <v>45559</v>
      </c>
      <c r="C180" s="1" t="n">
        <v>45822</v>
      </c>
      <c r="D180" t="inlineStr">
        <is>
          <t>VÄRMLANDS LÄN</t>
        </is>
      </c>
      <c r="E180" t="inlineStr">
        <is>
          <t>TORSBY</t>
        </is>
      </c>
      <c r="G180" t="n">
        <v>5.5</v>
      </c>
      <c r="H180" t="n">
        <v>0</v>
      </c>
      <c r="I180" t="n">
        <v>0</v>
      </c>
      <c r="J180" t="n">
        <v>1</v>
      </c>
      <c r="K180" t="n">
        <v>0</v>
      </c>
      <c r="L180" t="n">
        <v>0</v>
      </c>
      <c r="M180" t="n">
        <v>0</v>
      </c>
      <c r="N180" t="n">
        <v>0</v>
      </c>
      <c r="O180" t="n">
        <v>1</v>
      </c>
      <c r="P180" t="n">
        <v>0</v>
      </c>
      <c r="Q180" t="n">
        <v>1</v>
      </c>
      <c r="R180" s="2" t="inlineStr">
        <is>
          <t>Garnlav</t>
        </is>
      </c>
      <c r="S180">
        <f>HYPERLINK("https://klasma.github.io/Logging_1737/artfynd/A 41350-2024 artfynd.xlsx", "A 41350-2024")</f>
        <v/>
      </c>
      <c r="T180">
        <f>HYPERLINK("https://klasma.github.io/Logging_1737/kartor/A 41350-2024 karta.png", "A 41350-2024")</f>
        <v/>
      </c>
      <c r="V180">
        <f>HYPERLINK("https://klasma.github.io/Logging_1737/klagomål/A 41350-2024 FSC-klagomål.docx", "A 41350-2024")</f>
        <v/>
      </c>
      <c r="W180">
        <f>HYPERLINK("https://klasma.github.io/Logging_1737/klagomålsmail/A 41350-2024 FSC-klagomål mail.docx", "A 41350-2024")</f>
        <v/>
      </c>
      <c r="X180">
        <f>HYPERLINK("https://klasma.github.io/Logging_1737/tillsyn/A 41350-2024 tillsynsbegäran.docx", "A 41350-2024")</f>
        <v/>
      </c>
      <c r="Y180">
        <f>HYPERLINK("https://klasma.github.io/Logging_1737/tillsynsmail/A 41350-2024 tillsynsbegäran mail.docx", "A 41350-2024")</f>
        <v/>
      </c>
    </row>
    <row r="181" ht="15" customHeight="1">
      <c r="A181" t="inlineStr">
        <is>
          <t>A 41477-2024</t>
        </is>
      </c>
      <c r="B181" s="1" t="n">
        <v>45560</v>
      </c>
      <c r="C181" s="1" t="n">
        <v>45822</v>
      </c>
      <c r="D181" t="inlineStr">
        <is>
          <t>VÄRMLANDS LÄN</t>
        </is>
      </c>
      <c r="E181" t="inlineStr">
        <is>
          <t>TORSBY</t>
        </is>
      </c>
      <c r="G181" t="n">
        <v>6.7</v>
      </c>
      <c r="H181" t="n">
        <v>0</v>
      </c>
      <c r="I181" t="n">
        <v>0</v>
      </c>
      <c r="J181" t="n">
        <v>1</v>
      </c>
      <c r="K181" t="n">
        <v>0</v>
      </c>
      <c r="L181" t="n">
        <v>0</v>
      </c>
      <c r="M181" t="n">
        <v>0</v>
      </c>
      <c r="N181" t="n">
        <v>0</v>
      </c>
      <c r="O181" t="n">
        <v>1</v>
      </c>
      <c r="P181" t="n">
        <v>0</v>
      </c>
      <c r="Q181" t="n">
        <v>1</v>
      </c>
      <c r="R181" s="2" t="inlineStr">
        <is>
          <t>Garnlav</t>
        </is>
      </c>
      <c r="S181">
        <f>HYPERLINK("https://klasma.github.io/Logging_1737/artfynd/A 41477-2024 artfynd.xlsx", "A 41477-2024")</f>
        <v/>
      </c>
      <c r="T181">
        <f>HYPERLINK("https://klasma.github.io/Logging_1737/kartor/A 41477-2024 karta.png", "A 41477-2024")</f>
        <v/>
      </c>
      <c r="V181">
        <f>HYPERLINK("https://klasma.github.io/Logging_1737/klagomål/A 41477-2024 FSC-klagomål.docx", "A 41477-2024")</f>
        <v/>
      </c>
      <c r="W181">
        <f>HYPERLINK("https://klasma.github.io/Logging_1737/klagomålsmail/A 41477-2024 FSC-klagomål mail.docx", "A 41477-2024")</f>
        <v/>
      </c>
      <c r="X181">
        <f>HYPERLINK("https://klasma.github.io/Logging_1737/tillsyn/A 41477-2024 tillsynsbegäran.docx", "A 41477-2024")</f>
        <v/>
      </c>
      <c r="Y181">
        <f>HYPERLINK("https://klasma.github.io/Logging_1737/tillsynsmail/A 41477-2024 tillsynsbegäran mail.docx", "A 41477-2024")</f>
        <v/>
      </c>
    </row>
    <row r="182" ht="15" customHeight="1">
      <c r="A182" t="inlineStr">
        <is>
          <t>A 47689-2024</t>
        </is>
      </c>
      <c r="B182" s="1" t="n">
        <v>45588</v>
      </c>
      <c r="C182" s="1" t="n">
        <v>45822</v>
      </c>
      <c r="D182" t="inlineStr">
        <is>
          <t>VÄRMLANDS LÄN</t>
        </is>
      </c>
      <c r="E182" t="inlineStr">
        <is>
          <t>TORSBY</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50318-2024</t>
        </is>
      </c>
      <c r="B183" s="1" t="n">
        <v>45600</v>
      </c>
      <c r="C183" s="1" t="n">
        <v>45822</v>
      </c>
      <c r="D183" t="inlineStr">
        <is>
          <t>VÄRMLANDS LÄN</t>
        </is>
      </c>
      <c r="E183" t="inlineStr">
        <is>
          <t>TORSBY</t>
        </is>
      </c>
      <c r="F183" t="inlineStr">
        <is>
          <t>Bergvik skog väst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50318-2024 artfynd.xlsx", "A 50318-2024")</f>
        <v/>
      </c>
      <c r="T183">
        <f>HYPERLINK("https://klasma.github.io/Logging_1737/kartor/A 50318-2024 karta.png", "A 50318-2024")</f>
        <v/>
      </c>
      <c r="V183">
        <f>HYPERLINK("https://klasma.github.io/Logging_1737/klagomål/A 50318-2024 FSC-klagomål.docx", "A 50318-2024")</f>
        <v/>
      </c>
      <c r="W183">
        <f>HYPERLINK("https://klasma.github.io/Logging_1737/klagomålsmail/A 50318-2024 FSC-klagomål mail.docx", "A 50318-2024")</f>
        <v/>
      </c>
      <c r="X183">
        <f>HYPERLINK("https://klasma.github.io/Logging_1737/tillsyn/A 50318-2024 tillsynsbegäran.docx", "A 50318-2024")</f>
        <v/>
      </c>
      <c r="Y183">
        <f>HYPERLINK("https://klasma.github.io/Logging_1737/tillsynsmail/A 50318-2024 tillsynsbegäran mail.docx", "A 50318-2024")</f>
        <v/>
      </c>
    </row>
    <row r="184" ht="15" customHeight="1">
      <c r="A184" t="inlineStr">
        <is>
          <t>A 53862-2024</t>
        </is>
      </c>
      <c r="B184" s="1" t="n">
        <v>45615</v>
      </c>
      <c r="C184" s="1" t="n">
        <v>45822</v>
      </c>
      <c r="D184" t="inlineStr">
        <is>
          <t>VÄRMLANDS LÄN</t>
        </is>
      </c>
      <c r="E184" t="inlineStr">
        <is>
          <t>TORSBY</t>
        </is>
      </c>
      <c r="G184" t="n">
        <v>3.4</v>
      </c>
      <c r="H184" t="n">
        <v>0</v>
      </c>
      <c r="I184" t="n">
        <v>0</v>
      </c>
      <c r="J184" t="n">
        <v>1</v>
      </c>
      <c r="K184" t="n">
        <v>0</v>
      </c>
      <c r="L184" t="n">
        <v>0</v>
      </c>
      <c r="M184" t="n">
        <v>0</v>
      </c>
      <c r="N184" t="n">
        <v>0</v>
      </c>
      <c r="O184" t="n">
        <v>1</v>
      </c>
      <c r="P184" t="n">
        <v>0</v>
      </c>
      <c r="Q184" t="n">
        <v>1</v>
      </c>
      <c r="R184" s="2" t="inlineStr">
        <is>
          <t>Kolflarnlav</t>
        </is>
      </c>
      <c r="S184">
        <f>HYPERLINK("https://klasma.github.io/Logging_1737/artfynd/A 53862-2024 artfynd.xlsx", "A 53862-2024")</f>
        <v/>
      </c>
      <c r="T184">
        <f>HYPERLINK("https://klasma.github.io/Logging_1737/kartor/A 53862-2024 karta.png", "A 53862-2024")</f>
        <v/>
      </c>
      <c r="V184">
        <f>HYPERLINK("https://klasma.github.io/Logging_1737/klagomål/A 53862-2024 FSC-klagomål.docx", "A 53862-2024")</f>
        <v/>
      </c>
      <c r="W184">
        <f>HYPERLINK("https://klasma.github.io/Logging_1737/klagomålsmail/A 53862-2024 FSC-klagomål mail.docx", "A 53862-2024")</f>
        <v/>
      </c>
      <c r="X184">
        <f>HYPERLINK("https://klasma.github.io/Logging_1737/tillsyn/A 53862-2024 tillsynsbegäran.docx", "A 53862-2024")</f>
        <v/>
      </c>
      <c r="Y184">
        <f>HYPERLINK("https://klasma.github.io/Logging_1737/tillsynsmail/A 53862-2024 tillsynsbegäran mail.docx", "A 53862-2024")</f>
        <v/>
      </c>
    </row>
    <row r="185" ht="15" customHeight="1">
      <c r="A185" t="inlineStr">
        <is>
          <t>A 54009-2024</t>
        </is>
      </c>
      <c r="B185" s="1" t="n">
        <v>45616</v>
      </c>
      <c r="C185" s="1" t="n">
        <v>45822</v>
      </c>
      <c r="D185" t="inlineStr">
        <is>
          <t>VÄRMLANDS LÄN</t>
        </is>
      </c>
      <c r="E185" t="inlineStr">
        <is>
          <t>TORSBY</t>
        </is>
      </c>
      <c r="F185" t="inlineStr">
        <is>
          <t>Bergvik skog väst AB</t>
        </is>
      </c>
      <c r="G185" t="n">
        <v>8.800000000000001</v>
      </c>
      <c r="H185" t="n">
        <v>1</v>
      </c>
      <c r="I185" t="n">
        <v>1</v>
      </c>
      <c r="J185" t="n">
        <v>0</v>
      </c>
      <c r="K185" t="n">
        <v>0</v>
      </c>
      <c r="L185" t="n">
        <v>0</v>
      </c>
      <c r="M185" t="n">
        <v>0</v>
      </c>
      <c r="N185" t="n">
        <v>0</v>
      </c>
      <c r="O185" t="n">
        <v>0</v>
      </c>
      <c r="P185" t="n">
        <v>0</v>
      </c>
      <c r="Q185" t="n">
        <v>1</v>
      </c>
      <c r="R185" s="2" t="inlineStr">
        <is>
          <t>Korallrot</t>
        </is>
      </c>
      <c r="S185">
        <f>HYPERLINK("https://klasma.github.io/Logging_1737/artfynd/A 54009-2024 artfynd.xlsx", "A 54009-2024")</f>
        <v/>
      </c>
      <c r="T185">
        <f>HYPERLINK("https://klasma.github.io/Logging_1737/kartor/A 54009-2024 karta.png", "A 54009-2024")</f>
        <v/>
      </c>
      <c r="V185">
        <f>HYPERLINK("https://klasma.github.io/Logging_1737/klagomål/A 54009-2024 FSC-klagomål.docx", "A 54009-2024")</f>
        <v/>
      </c>
      <c r="W185">
        <f>HYPERLINK("https://klasma.github.io/Logging_1737/klagomålsmail/A 54009-2024 FSC-klagomål mail.docx", "A 54009-2024")</f>
        <v/>
      </c>
      <c r="X185">
        <f>HYPERLINK("https://klasma.github.io/Logging_1737/tillsyn/A 54009-2024 tillsynsbegäran.docx", "A 54009-2024")</f>
        <v/>
      </c>
      <c r="Y185">
        <f>HYPERLINK("https://klasma.github.io/Logging_1737/tillsynsmail/A 54009-2024 tillsynsbegäran mail.docx", "A 54009-2024")</f>
        <v/>
      </c>
    </row>
    <row r="186" ht="15" customHeight="1">
      <c r="A186" t="inlineStr">
        <is>
          <t>A 54029-2024</t>
        </is>
      </c>
      <c r="B186" s="1" t="n">
        <v>45616</v>
      </c>
      <c r="C186" s="1" t="n">
        <v>45822</v>
      </c>
      <c r="D186" t="inlineStr">
        <is>
          <t>VÄRMLANDS LÄN</t>
        </is>
      </c>
      <c r="E186" t="inlineStr">
        <is>
          <t>TORSBY</t>
        </is>
      </c>
      <c r="G186" t="n">
        <v>10.2</v>
      </c>
      <c r="H186" t="n">
        <v>0</v>
      </c>
      <c r="I186" t="n">
        <v>1</v>
      </c>
      <c r="J186" t="n">
        <v>0</v>
      </c>
      <c r="K186" t="n">
        <v>0</v>
      </c>
      <c r="L186" t="n">
        <v>0</v>
      </c>
      <c r="M186" t="n">
        <v>0</v>
      </c>
      <c r="N186" t="n">
        <v>0</v>
      </c>
      <c r="O186" t="n">
        <v>0</v>
      </c>
      <c r="P186" t="n">
        <v>0</v>
      </c>
      <c r="Q186" t="n">
        <v>1</v>
      </c>
      <c r="R186" s="2" t="inlineStr">
        <is>
          <t>Vedticka</t>
        </is>
      </c>
      <c r="S186">
        <f>HYPERLINK("https://klasma.github.io/Logging_1737/artfynd/A 54029-2024 artfynd.xlsx", "A 54029-2024")</f>
        <v/>
      </c>
      <c r="T186">
        <f>HYPERLINK("https://klasma.github.io/Logging_1737/kartor/A 54029-2024 karta.png", "A 54029-2024")</f>
        <v/>
      </c>
      <c r="V186">
        <f>HYPERLINK("https://klasma.github.io/Logging_1737/klagomål/A 54029-2024 FSC-klagomål.docx", "A 54029-2024")</f>
        <v/>
      </c>
      <c r="W186">
        <f>HYPERLINK("https://klasma.github.io/Logging_1737/klagomålsmail/A 54029-2024 FSC-klagomål mail.docx", "A 54029-2024")</f>
        <v/>
      </c>
      <c r="X186">
        <f>HYPERLINK("https://klasma.github.io/Logging_1737/tillsyn/A 54029-2024 tillsynsbegäran.docx", "A 54029-2024")</f>
        <v/>
      </c>
      <c r="Y186">
        <f>HYPERLINK("https://klasma.github.io/Logging_1737/tillsynsmail/A 54029-2024 tillsynsbegäran mail.docx", "A 54029-2024")</f>
        <v/>
      </c>
    </row>
    <row r="187" ht="15" customHeight="1">
      <c r="A187" t="inlineStr">
        <is>
          <t>A 54788-2024</t>
        </is>
      </c>
      <c r="B187" s="1" t="n">
        <v>45618</v>
      </c>
      <c r="C187" s="1" t="n">
        <v>45822</v>
      </c>
      <c r="D187" t="inlineStr">
        <is>
          <t>VÄRMLANDS LÄN</t>
        </is>
      </c>
      <c r="E187" t="inlineStr">
        <is>
          <t>TORSBY</t>
        </is>
      </c>
      <c r="G187" t="n">
        <v>2.4</v>
      </c>
      <c r="H187" t="n">
        <v>0</v>
      </c>
      <c r="I187" t="n">
        <v>0</v>
      </c>
      <c r="J187" t="n">
        <v>1</v>
      </c>
      <c r="K187" t="n">
        <v>0</v>
      </c>
      <c r="L187" t="n">
        <v>0</v>
      </c>
      <c r="M187" t="n">
        <v>0</v>
      </c>
      <c r="N187" t="n">
        <v>0</v>
      </c>
      <c r="O187" t="n">
        <v>1</v>
      </c>
      <c r="P187" t="n">
        <v>0</v>
      </c>
      <c r="Q187" t="n">
        <v>1</v>
      </c>
      <c r="R187" s="2" t="inlineStr">
        <is>
          <t>Mörk kolflarnlav</t>
        </is>
      </c>
      <c r="S187">
        <f>HYPERLINK("https://klasma.github.io/Logging_1737/artfynd/A 54788-2024 artfynd.xlsx", "A 54788-2024")</f>
        <v/>
      </c>
      <c r="T187">
        <f>HYPERLINK("https://klasma.github.io/Logging_1737/kartor/A 54788-2024 karta.png", "A 54788-2024")</f>
        <v/>
      </c>
      <c r="V187">
        <f>HYPERLINK("https://klasma.github.io/Logging_1737/klagomål/A 54788-2024 FSC-klagomål.docx", "A 54788-2024")</f>
        <v/>
      </c>
      <c r="W187">
        <f>HYPERLINK("https://klasma.github.io/Logging_1737/klagomålsmail/A 54788-2024 FSC-klagomål mail.docx", "A 54788-2024")</f>
        <v/>
      </c>
      <c r="X187">
        <f>HYPERLINK("https://klasma.github.io/Logging_1737/tillsyn/A 54788-2024 tillsynsbegäran.docx", "A 54788-2024")</f>
        <v/>
      </c>
      <c r="Y187">
        <f>HYPERLINK("https://klasma.github.io/Logging_1737/tillsynsmail/A 54788-2024 tillsynsbegäran mail.docx", "A 54788-2024")</f>
        <v/>
      </c>
    </row>
    <row r="188" ht="15" customHeight="1">
      <c r="A188" t="inlineStr">
        <is>
          <t>A 54786-2024</t>
        </is>
      </c>
      <c r="B188" s="1" t="n">
        <v>45618</v>
      </c>
      <c r="C188" s="1" t="n">
        <v>45822</v>
      </c>
      <c r="D188" t="inlineStr">
        <is>
          <t>VÄRMLANDS LÄN</t>
        </is>
      </c>
      <c r="E188" t="inlineStr">
        <is>
          <t>TORSBY</t>
        </is>
      </c>
      <c r="G188" t="n">
        <v>3.8</v>
      </c>
      <c r="H188" t="n">
        <v>0</v>
      </c>
      <c r="I188" t="n">
        <v>0</v>
      </c>
      <c r="J188" t="n">
        <v>1</v>
      </c>
      <c r="K188" t="n">
        <v>0</v>
      </c>
      <c r="L188" t="n">
        <v>0</v>
      </c>
      <c r="M188" t="n">
        <v>0</v>
      </c>
      <c r="N188" t="n">
        <v>0</v>
      </c>
      <c r="O188" t="n">
        <v>1</v>
      </c>
      <c r="P188" t="n">
        <v>0</v>
      </c>
      <c r="Q188" t="n">
        <v>1</v>
      </c>
      <c r="R188" s="2" t="inlineStr">
        <is>
          <t>Dvärgbägarlav</t>
        </is>
      </c>
      <c r="S188">
        <f>HYPERLINK("https://klasma.github.io/Logging_1737/artfynd/A 54786-2024 artfynd.xlsx", "A 54786-2024")</f>
        <v/>
      </c>
      <c r="T188">
        <f>HYPERLINK("https://klasma.github.io/Logging_1737/kartor/A 54786-2024 karta.png", "A 54786-2024")</f>
        <v/>
      </c>
      <c r="V188">
        <f>HYPERLINK("https://klasma.github.io/Logging_1737/klagomål/A 54786-2024 FSC-klagomål.docx", "A 54786-2024")</f>
        <v/>
      </c>
      <c r="W188">
        <f>HYPERLINK("https://klasma.github.io/Logging_1737/klagomålsmail/A 54786-2024 FSC-klagomål mail.docx", "A 54786-2024")</f>
        <v/>
      </c>
      <c r="X188">
        <f>HYPERLINK("https://klasma.github.io/Logging_1737/tillsyn/A 54786-2024 tillsynsbegäran.docx", "A 54786-2024")</f>
        <v/>
      </c>
      <c r="Y188">
        <f>HYPERLINK("https://klasma.github.io/Logging_1737/tillsynsmail/A 54786-2024 tillsynsbegäran mail.docx", "A 54786-2024")</f>
        <v/>
      </c>
    </row>
    <row r="189" ht="15" customHeight="1">
      <c r="A189" t="inlineStr">
        <is>
          <t>A 56133-2024</t>
        </is>
      </c>
      <c r="B189" s="1" t="n">
        <v>45624</v>
      </c>
      <c r="C189" s="1" t="n">
        <v>45822</v>
      </c>
      <c r="D189" t="inlineStr">
        <is>
          <t>VÄRMLANDS LÄN</t>
        </is>
      </c>
      <c r="E189" t="inlineStr">
        <is>
          <t>TORSBY</t>
        </is>
      </c>
      <c r="G189" t="n">
        <v>2.4</v>
      </c>
      <c r="H189" t="n">
        <v>0</v>
      </c>
      <c r="I189" t="n">
        <v>1</v>
      </c>
      <c r="J189" t="n">
        <v>0</v>
      </c>
      <c r="K189" t="n">
        <v>0</v>
      </c>
      <c r="L189" t="n">
        <v>0</v>
      </c>
      <c r="M189" t="n">
        <v>0</v>
      </c>
      <c r="N189" t="n">
        <v>0</v>
      </c>
      <c r="O189" t="n">
        <v>0</v>
      </c>
      <c r="P189" t="n">
        <v>0</v>
      </c>
      <c r="Q189" t="n">
        <v>1</v>
      </c>
      <c r="R189" s="2" t="inlineStr">
        <is>
          <t>Vedticka</t>
        </is>
      </c>
      <c r="S189">
        <f>HYPERLINK("https://klasma.github.io/Logging_1737/artfynd/A 56133-2024 artfynd.xlsx", "A 56133-2024")</f>
        <v/>
      </c>
      <c r="T189">
        <f>HYPERLINK("https://klasma.github.io/Logging_1737/kartor/A 56133-2024 karta.png", "A 56133-2024")</f>
        <v/>
      </c>
      <c r="V189">
        <f>HYPERLINK("https://klasma.github.io/Logging_1737/klagomål/A 56133-2024 FSC-klagomål.docx", "A 56133-2024")</f>
        <v/>
      </c>
      <c r="W189">
        <f>HYPERLINK("https://klasma.github.io/Logging_1737/klagomålsmail/A 56133-2024 FSC-klagomål mail.docx", "A 56133-2024")</f>
        <v/>
      </c>
      <c r="X189">
        <f>HYPERLINK("https://klasma.github.io/Logging_1737/tillsyn/A 56133-2024 tillsynsbegäran.docx", "A 56133-2024")</f>
        <v/>
      </c>
      <c r="Y189">
        <f>HYPERLINK("https://klasma.github.io/Logging_1737/tillsynsmail/A 56133-2024 tillsynsbegäran mail.docx", "A 56133-2024")</f>
        <v/>
      </c>
    </row>
    <row r="190" ht="15" customHeight="1">
      <c r="A190" t="inlineStr">
        <is>
          <t>A 56990-2024</t>
        </is>
      </c>
      <c r="B190" s="1" t="n">
        <v>45628</v>
      </c>
      <c r="C190" s="1" t="n">
        <v>45822</v>
      </c>
      <c r="D190" t="inlineStr">
        <is>
          <t>VÄRMLANDS LÄN</t>
        </is>
      </c>
      <c r="E190" t="inlineStr">
        <is>
          <t>TORSBY</t>
        </is>
      </c>
      <c r="F190" t="inlineStr">
        <is>
          <t>Bergvik skog väst AB</t>
        </is>
      </c>
      <c r="G190" t="n">
        <v>8.699999999999999</v>
      </c>
      <c r="H190" t="n">
        <v>1</v>
      </c>
      <c r="I190" t="n">
        <v>0</v>
      </c>
      <c r="J190" t="n">
        <v>1</v>
      </c>
      <c r="K190" t="n">
        <v>0</v>
      </c>
      <c r="L190" t="n">
        <v>0</v>
      </c>
      <c r="M190" t="n">
        <v>0</v>
      </c>
      <c r="N190" t="n">
        <v>0</v>
      </c>
      <c r="O190" t="n">
        <v>1</v>
      </c>
      <c r="P190" t="n">
        <v>0</v>
      </c>
      <c r="Q190" t="n">
        <v>1</v>
      </c>
      <c r="R190" s="2" t="inlineStr">
        <is>
          <t>Grönsångare</t>
        </is>
      </c>
      <c r="S190">
        <f>HYPERLINK("https://klasma.github.io/Logging_1737/artfynd/A 56990-2024 artfynd.xlsx", "A 56990-2024")</f>
        <v/>
      </c>
      <c r="T190">
        <f>HYPERLINK("https://klasma.github.io/Logging_1737/kartor/A 56990-2024 karta.png", "A 56990-2024")</f>
        <v/>
      </c>
      <c r="V190">
        <f>HYPERLINK("https://klasma.github.io/Logging_1737/klagomål/A 56990-2024 FSC-klagomål.docx", "A 56990-2024")</f>
        <v/>
      </c>
      <c r="W190">
        <f>HYPERLINK("https://klasma.github.io/Logging_1737/klagomålsmail/A 56990-2024 FSC-klagomål mail.docx", "A 56990-2024")</f>
        <v/>
      </c>
      <c r="X190">
        <f>HYPERLINK("https://klasma.github.io/Logging_1737/tillsyn/A 56990-2024 tillsynsbegäran.docx", "A 56990-2024")</f>
        <v/>
      </c>
      <c r="Y190">
        <f>HYPERLINK("https://klasma.github.io/Logging_1737/tillsynsmail/A 56990-2024 tillsynsbegäran mail.docx", "A 56990-2024")</f>
        <v/>
      </c>
      <c r="Z190">
        <f>HYPERLINK("https://klasma.github.io/Logging_1737/fåglar/A 56990-2024 prioriterade fågelarter.docx", "A 56990-2024")</f>
        <v/>
      </c>
    </row>
    <row r="191" ht="15" customHeight="1">
      <c r="A191" t="inlineStr">
        <is>
          <t>A 58014-2024</t>
        </is>
      </c>
      <c r="B191" s="1" t="n">
        <v>45631</v>
      </c>
      <c r="C191" s="1" t="n">
        <v>45822</v>
      </c>
      <c r="D191" t="inlineStr">
        <is>
          <t>VÄRMLANDS LÄN</t>
        </is>
      </c>
      <c r="E191" t="inlineStr">
        <is>
          <t>TORSBY</t>
        </is>
      </c>
      <c r="G191" t="n">
        <v>2.2</v>
      </c>
      <c r="H191" t="n">
        <v>0</v>
      </c>
      <c r="I191" t="n">
        <v>1</v>
      </c>
      <c r="J191" t="n">
        <v>0</v>
      </c>
      <c r="K191" t="n">
        <v>0</v>
      </c>
      <c r="L191" t="n">
        <v>0</v>
      </c>
      <c r="M191" t="n">
        <v>0</v>
      </c>
      <c r="N191" t="n">
        <v>0</v>
      </c>
      <c r="O191" t="n">
        <v>0</v>
      </c>
      <c r="P191" t="n">
        <v>0</v>
      </c>
      <c r="Q191" t="n">
        <v>1</v>
      </c>
      <c r="R191" s="2" t="inlineStr">
        <is>
          <t>Kattfotslav</t>
        </is>
      </c>
      <c r="S191">
        <f>HYPERLINK("https://klasma.github.io/Logging_1737/artfynd/A 58014-2024 artfynd.xlsx", "A 58014-2024")</f>
        <v/>
      </c>
      <c r="T191">
        <f>HYPERLINK("https://klasma.github.io/Logging_1737/kartor/A 58014-2024 karta.png", "A 58014-2024")</f>
        <v/>
      </c>
      <c r="V191">
        <f>HYPERLINK("https://klasma.github.io/Logging_1737/klagomål/A 58014-2024 FSC-klagomål.docx", "A 58014-2024")</f>
        <v/>
      </c>
      <c r="W191">
        <f>HYPERLINK("https://klasma.github.io/Logging_1737/klagomålsmail/A 58014-2024 FSC-klagomål mail.docx", "A 58014-2024")</f>
        <v/>
      </c>
      <c r="X191">
        <f>HYPERLINK("https://klasma.github.io/Logging_1737/tillsyn/A 58014-2024 tillsynsbegäran.docx", "A 58014-2024")</f>
        <v/>
      </c>
      <c r="Y191">
        <f>HYPERLINK("https://klasma.github.io/Logging_1737/tillsynsmail/A 58014-2024 tillsynsbegäran mail.docx", "A 58014-2024")</f>
        <v/>
      </c>
    </row>
    <row r="192" ht="15" customHeight="1">
      <c r="A192" t="inlineStr">
        <is>
          <t>A 5726-2025</t>
        </is>
      </c>
      <c r="B192" s="1" t="n">
        <v>45694</v>
      </c>
      <c r="C192" s="1" t="n">
        <v>45822</v>
      </c>
      <c r="D192" t="inlineStr">
        <is>
          <t>VÄRMLANDS LÄN</t>
        </is>
      </c>
      <c r="E192" t="inlineStr">
        <is>
          <t>TORSBY</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HYPERLINK("https://klasma.github.io/Logging_1737/artfynd/A 5726-2025 artfynd.xlsx", "A 5726-2025")</f>
        <v/>
      </c>
      <c r="T192">
        <f>HYPERLINK("https://klasma.github.io/Logging_1737/kartor/A 5726-2025 karta.png", "A 5726-2025")</f>
        <v/>
      </c>
      <c r="V192">
        <f>HYPERLINK("https://klasma.github.io/Logging_1737/klagomål/A 5726-2025 FSC-klagomål.docx", "A 5726-2025")</f>
        <v/>
      </c>
      <c r="W192">
        <f>HYPERLINK("https://klasma.github.io/Logging_1737/klagomålsmail/A 5726-2025 FSC-klagomål mail.docx", "A 5726-2025")</f>
        <v/>
      </c>
      <c r="X192">
        <f>HYPERLINK("https://klasma.github.io/Logging_1737/tillsyn/A 5726-2025 tillsynsbegäran.docx", "A 5726-2025")</f>
        <v/>
      </c>
      <c r="Y192">
        <f>HYPERLINK("https://klasma.github.io/Logging_1737/tillsynsmail/A 5726-2025 tillsynsbegäran mail.docx", "A 5726-2025")</f>
        <v/>
      </c>
    </row>
    <row r="193" ht="15" customHeight="1">
      <c r="A193" t="inlineStr">
        <is>
          <t>A 12517-2025</t>
        </is>
      </c>
      <c r="B193" s="1" t="n">
        <v>45730</v>
      </c>
      <c r="C193" s="1" t="n">
        <v>45822</v>
      </c>
      <c r="D193" t="inlineStr">
        <is>
          <t>VÄRMLANDS LÄN</t>
        </is>
      </c>
      <c r="E193" t="inlineStr">
        <is>
          <t>TORSBY</t>
        </is>
      </c>
      <c r="F193" t="inlineStr">
        <is>
          <t>Bergvik skog väst AB</t>
        </is>
      </c>
      <c r="G193" t="n">
        <v>34</v>
      </c>
      <c r="H193" t="n">
        <v>0</v>
      </c>
      <c r="I193" t="n">
        <v>0</v>
      </c>
      <c r="J193" t="n">
        <v>1</v>
      </c>
      <c r="K193" t="n">
        <v>0</v>
      </c>
      <c r="L193" t="n">
        <v>0</v>
      </c>
      <c r="M193" t="n">
        <v>0</v>
      </c>
      <c r="N193" t="n">
        <v>0</v>
      </c>
      <c r="O193" t="n">
        <v>1</v>
      </c>
      <c r="P193" t="n">
        <v>0</v>
      </c>
      <c r="Q193" t="n">
        <v>1</v>
      </c>
      <c r="R193" s="2" t="inlineStr">
        <is>
          <t>Dvärgbägarlav</t>
        </is>
      </c>
      <c r="S193">
        <f>HYPERLINK("https://klasma.github.io/Logging_171737/artfynd/A 12517-2025 artfynd.xlsx", "A 12517-2025")</f>
        <v/>
      </c>
      <c r="T193">
        <f>HYPERLINK("https://klasma.github.io/Logging_171737/kartor/A 12517-2025 karta.png", "A 12517-2025")</f>
        <v/>
      </c>
      <c r="V193">
        <f>HYPERLINK("https://klasma.github.io/Logging_171737/klagomål/A 12517-2025 FSC-klagomål.docx", "A 12517-2025")</f>
        <v/>
      </c>
      <c r="W193">
        <f>HYPERLINK("https://klasma.github.io/Logging_171737/klagomålsmail/A 12517-2025 FSC-klagomål mail.docx", "A 12517-2025")</f>
        <v/>
      </c>
      <c r="X193">
        <f>HYPERLINK("https://klasma.github.io/Logging_171737/tillsyn/A 12517-2025 tillsynsbegäran.docx", "A 12517-2025")</f>
        <v/>
      </c>
      <c r="Y193">
        <f>HYPERLINK("https://klasma.github.io/Logging_171737/tillsynsmail/A 12517-2025 tillsynsbegäran mail.docx", "A 12517-2025")</f>
        <v/>
      </c>
    </row>
    <row r="194" ht="15" customHeight="1">
      <c r="A194" t="inlineStr">
        <is>
          <t>A 14212-2025</t>
        </is>
      </c>
      <c r="B194" s="1" t="n">
        <v>45740</v>
      </c>
      <c r="C194" s="1" t="n">
        <v>45822</v>
      </c>
      <c r="D194" t="inlineStr">
        <is>
          <t>VÄRMLANDS LÄN</t>
        </is>
      </c>
      <c r="E194" t="inlineStr">
        <is>
          <t>TORSBY</t>
        </is>
      </c>
      <c r="F194" t="inlineStr">
        <is>
          <t>Övriga statliga verk och myndigheter</t>
        </is>
      </c>
      <c r="G194" t="n">
        <v>2</v>
      </c>
      <c r="H194" t="n">
        <v>0</v>
      </c>
      <c r="I194" t="n">
        <v>0</v>
      </c>
      <c r="J194" t="n">
        <v>0</v>
      </c>
      <c r="K194" t="n">
        <v>1</v>
      </c>
      <c r="L194" t="n">
        <v>0</v>
      </c>
      <c r="M194" t="n">
        <v>0</v>
      </c>
      <c r="N194" t="n">
        <v>0</v>
      </c>
      <c r="O194" t="n">
        <v>1</v>
      </c>
      <c r="P194" t="n">
        <v>1</v>
      </c>
      <c r="Q194" t="n">
        <v>1</v>
      </c>
      <c r="R194" s="2" t="inlineStr">
        <is>
          <t>Raggbock</t>
        </is>
      </c>
      <c r="S194">
        <f>HYPERLINK("https://klasma.github.io/Logging_171737/artfynd/A 14212-2025 artfynd.xlsx", "A 14212-2025")</f>
        <v/>
      </c>
      <c r="T194">
        <f>HYPERLINK("https://klasma.github.io/Logging_171737/kartor/A 14212-2025 karta.png", "A 14212-2025")</f>
        <v/>
      </c>
      <c r="V194">
        <f>HYPERLINK("https://klasma.github.io/Logging_171737/klagomål/A 14212-2025 FSC-klagomål.docx", "A 14212-2025")</f>
        <v/>
      </c>
      <c r="W194">
        <f>HYPERLINK("https://klasma.github.io/Logging_171737/klagomålsmail/A 14212-2025 FSC-klagomål mail.docx", "A 14212-2025")</f>
        <v/>
      </c>
      <c r="X194">
        <f>HYPERLINK("https://klasma.github.io/Logging_171737/tillsyn/A 14212-2025 tillsynsbegäran.docx", "A 14212-2025")</f>
        <v/>
      </c>
      <c r="Y194">
        <f>HYPERLINK("https://klasma.github.io/Logging_171737/tillsynsmail/A 14212-2025 tillsynsbegäran mail.docx", "A 14212-2025")</f>
        <v/>
      </c>
    </row>
    <row r="195" ht="15" customHeight="1">
      <c r="A195" t="inlineStr">
        <is>
          <t>A 15872-2025</t>
        </is>
      </c>
      <c r="B195" s="1" t="n">
        <v>45749</v>
      </c>
      <c r="C195" s="1" t="n">
        <v>45822</v>
      </c>
      <c r="D195" t="inlineStr">
        <is>
          <t>VÄRMLANDS LÄN</t>
        </is>
      </c>
      <c r="E195" t="inlineStr">
        <is>
          <t>TORSBY</t>
        </is>
      </c>
      <c r="F195" t="inlineStr">
        <is>
          <t>Bergvik skog väst AB</t>
        </is>
      </c>
      <c r="G195" t="n">
        <v>10.8</v>
      </c>
      <c r="H195" t="n">
        <v>1</v>
      </c>
      <c r="I195" t="n">
        <v>1</v>
      </c>
      <c r="J195" t="n">
        <v>0</v>
      </c>
      <c r="K195" t="n">
        <v>0</v>
      </c>
      <c r="L195" t="n">
        <v>0</v>
      </c>
      <c r="M195" t="n">
        <v>0</v>
      </c>
      <c r="N195" t="n">
        <v>0</v>
      </c>
      <c r="O195" t="n">
        <v>0</v>
      </c>
      <c r="P195" t="n">
        <v>0</v>
      </c>
      <c r="Q195" t="n">
        <v>1</v>
      </c>
      <c r="R195" s="2" t="inlineStr">
        <is>
          <t>Korallrot</t>
        </is>
      </c>
      <c r="S195">
        <f>HYPERLINK("https://klasma.github.io/Logging_171737/artfynd/A 15872-2025 artfynd.xlsx", "A 15872-2025")</f>
        <v/>
      </c>
      <c r="T195">
        <f>HYPERLINK("https://klasma.github.io/Logging_171737/kartor/A 15872-2025 karta.png", "A 15872-2025")</f>
        <v/>
      </c>
      <c r="V195">
        <f>HYPERLINK("https://klasma.github.io/Logging_171737/klagomål/A 15872-2025 FSC-klagomål.docx", "A 15872-2025")</f>
        <v/>
      </c>
      <c r="W195">
        <f>HYPERLINK("https://klasma.github.io/Logging_171737/klagomålsmail/A 15872-2025 FSC-klagomål mail.docx", "A 15872-2025")</f>
        <v/>
      </c>
      <c r="X195">
        <f>HYPERLINK("https://klasma.github.io/Logging_171737/tillsyn/A 15872-2025 tillsynsbegäran.docx", "A 15872-2025")</f>
        <v/>
      </c>
      <c r="Y195">
        <f>HYPERLINK("https://klasma.github.io/Logging_171737/tillsynsmail/A 15872-2025 tillsynsbegäran mail.docx", "A 15872-2025")</f>
        <v/>
      </c>
    </row>
    <row r="196" ht="15" customHeight="1">
      <c r="A196" t="inlineStr">
        <is>
          <t>A 16164-2025</t>
        </is>
      </c>
      <c r="B196" s="1" t="n">
        <v>45750</v>
      </c>
      <c r="C196" s="1" t="n">
        <v>45822</v>
      </c>
      <c r="D196" t="inlineStr">
        <is>
          <t>VÄRMLANDS LÄN</t>
        </is>
      </c>
      <c r="E196" t="inlineStr">
        <is>
          <t>TORSBY</t>
        </is>
      </c>
      <c r="G196" t="n">
        <v>1.4</v>
      </c>
      <c r="H196" t="n">
        <v>0</v>
      </c>
      <c r="I196" t="n">
        <v>0</v>
      </c>
      <c r="J196" t="n">
        <v>1</v>
      </c>
      <c r="K196" t="n">
        <v>0</v>
      </c>
      <c r="L196" t="n">
        <v>0</v>
      </c>
      <c r="M196" t="n">
        <v>0</v>
      </c>
      <c r="N196" t="n">
        <v>0</v>
      </c>
      <c r="O196" t="n">
        <v>1</v>
      </c>
      <c r="P196" t="n">
        <v>0</v>
      </c>
      <c r="Q196" t="n">
        <v>1</v>
      </c>
      <c r="R196" s="2" t="inlineStr">
        <is>
          <t>Tallriska</t>
        </is>
      </c>
      <c r="S196">
        <f>HYPERLINK("https://klasma.github.io/Logging_171737/artfynd/A 16164-2025 artfynd.xlsx", "A 16164-2025")</f>
        <v/>
      </c>
      <c r="T196">
        <f>HYPERLINK("https://klasma.github.io/Logging_171737/kartor/A 16164-2025 karta.png", "A 16164-2025")</f>
        <v/>
      </c>
      <c r="V196">
        <f>HYPERLINK("https://klasma.github.io/Logging_171737/klagomål/A 16164-2025 FSC-klagomål.docx", "A 16164-2025")</f>
        <v/>
      </c>
      <c r="W196">
        <f>HYPERLINK("https://klasma.github.io/Logging_171737/klagomålsmail/A 16164-2025 FSC-klagomål mail.docx", "A 16164-2025")</f>
        <v/>
      </c>
      <c r="X196">
        <f>HYPERLINK("https://klasma.github.io/Logging_171737/tillsyn/A 16164-2025 tillsynsbegäran.docx", "A 16164-2025")</f>
        <v/>
      </c>
      <c r="Y196">
        <f>HYPERLINK("https://klasma.github.io/Logging_171737/tillsynsmail/A 16164-2025 tillsynsbegäran mail.docx", "A 16164-2025")</f>
        <v/>
      </c>
    </row>
    <row r="197" ht="15" customHeight="1">
      <c r="A197" t="inlineStr">
        <is>
          <t>A 19930-2025</t>
        </is>
      </c>
      <c r="B197" s="1" t="n">
        <v>45771</v>
      </c>
      <c r="C197" s="1" t="n">
        <v>45822</v>
      </c>
      <c r="D197" t="inlineStr">
        <is>
          <t>VÄRMLANDS LÄN</t>
        </is>
      </c>
      <c r="E197" t="inlineStr">
        <is>
          <t>TORSBY</t>
        </is>
      </c>
      <c r="G197" t="n">
        <v>9.199999999999999</v>
      </c>
      <c r="H197" t="n">
        <v>0</v>
      </c>
      <c r="I197" t="n">
        <v>1</v>
      </c>
      <c r="J197" t="n">
        <v>0</v>
      </c>
      <c r="K197" t="n">
        <v>0</v>
      </c>
      <c r="L197" t="n">
        <v>0</v>
      </c>
      <c r="M197" t="n">
        <v>0</v>
      </c>
      <c r="N197" t="n">
        <v>0</v>
      </c>
      <c r="O197" t="n">
        <v>0</v>
      </c>
      <c r="P197" t="n">
        <v>0</v>
      </c>
      <c r="Q197" t="n">
        <v>1</v>
      </c>
      <c r="R197" s="2" t="inlineStr">
        <is>
          <t>Skinnlav</t>
        </is>
      </c>
      <c r="S197">
        <f>HYPERLINK("https://klasma.github.io/Logging_171737/artfynd/A 19930-2025 artfynd.xlsx", "A 19930-2025")</f>
        <v/>
      </c>
      <c r="T197">
        <f>HYPERLINK("https://klasma.github.io/Logging_171737/kartor/A 19930-2025 karta.png", "A 19930-2025")</f>
        <v/>
      </c>
      <c r="V197">
        <f>HYPERLINK("https://klasma.github.io/Logging_171737/klagomål/A 19930-2025 FSC-klagomål.docx", "A 19930-2025")</f>
        <v/>
      </c>
      <c r="W197">
        <f>HYPERLINK("https://klasma.github.io/Logging_171737/klagomålsmail/A 19930-2025 FSC-klagomål mail.docx", "A 19930-2025")</f>
        <v/>
      </c>
      <c r="X197">
        <f>HYPERLINK("https://klasma.github.io/Logging_171737/tillsyn/A 19930-2025 tillsynsbegäran.docx", "A 19930-2025")</f>
        <v/>
      </c>
      <c r="Y197">
        <f>HYPERLINK("https://klasma.github.io/Logging_171737/tillsynsmail/A 19930-2025 tillsynsbegäran mail.docx", "A 19930-2025")</f>
        <v/>
      </c>
    </row>
    <row r="198" ht="15" customHeight="1">
      <c r="A198" t="inlineStr">
        <is>
          <t>A 22621-2025</t>
        </is>
      </c>
      <c r="B198" s="1" t="n">
        <v>45789</v>
      </c>
      <c r="C198" s="1" t="n">
        <v>45822</v>
      </c>
      <c r="D198" t="inlineStr">
        <is>
          <t>VÄRMLANDS LÄN</t>
        </is>
      </c>
      <c r="E198" t="inlineStr">
        <is>
          <t>TORSBY</t>
        </is>
      </c>
      <c r="G198" t="n">
        <v>17.1</v>
      </c>
      <c r="H198" t="n">
        <v>0</v>
      </c>
      <c r="I198" t="n">
        <v>0</v>
      </c>
      <c r="J198" t="n">
        <v>1</v>
      </c>
      <c r="K198" t="n">
        <v>0</v>
      </c>
      <c r="L198" t="n">
        <v>0</v>
      </c>
      <c r="M198" t="n">
        <v>0</v>
      </c>
      <c r="N198" t="n">
        <v>0</v>
      </c>
      <c r="O198" t="n">
        <v>1</v>
      </c>
      <c r="P198" t="n">
        <v>0</v>
      </c>
      <c r="Q198" t="n">
        <v>1</v>
      </c>
      <c r="R198" s="2" t="inlineStr">
        <is>
          <t>Vaddporing</t>
        </is>
      </c>
      <c r="S198">
        <f>HYPERLINK("https://klasma.github.io/Logging_171737/artfynd/A 22621-2025 artfynd.xlsx", "A 22621-2025")</f>
        <v/>
      </c>
      <c r="T198">
        <f>HYPERLINK("https://klasma.github.io/Logging_171737/kartor/A 22621-2025 karta.png", "A 22621-2025")</f>
        <v/>
      </c>
      <c r="V198">
        <f>HYPERLINK("https://klasma.github.io/Logging_171737/klagomål/A 22621-2025 FSC-klagomål.docx", "A 22621-2025")</f>
        <v/>
      </c>
      <c r="W198">
        <f>HYPERLINK("https://klasma.github.io/Logging_171737/klagomålsmail/A 22621-2025 FSC-klagomål mail.docx", "A 22621-2025")</f>
        <v/>
      </c>
      <c r="X198">
        <f>HYPERLINK("https://klasma.github.io/Logging_171737/tillsyn/A 22621-2025 tillsynsbegäran.docx", "A 22621-2025")</f>
        <v/>
      </c>
      <c r="Y198">
        <f>HYPERLINK("https://klasma.github.io/Logging_171737/tillsynsmail/A 22621-2025 tillsynsbegäran mail.docx", "A 22621-2025")</f>
        <v/>
      </c>
    </row>
    <row r="199" ht="15" customHeight="1">
      <c r="A199" t="inlineStr">
        <is>
          <t>A 25276-2025</t>
        </is>
      </c>
      <c r="B199" s="1" t="n">
        <v>45800</v>
      </c>
      <c r="C199" s="1" t="n">
        <v>45822</v>
      </c>
      <c r="D199" t="inlineStr">
        <is>
          <t>VÄRMLANDS LÄN</t>
        </is>
      </c>
      <c r="E199" t="inlineStr">
        <is>
          <t>TORSBY</t>
        </is>
      </c>
      <c r="G199" t="n">
        <v>27.6</v>
      </c>
      <c r="H199" t="n">
        <v>0</v>
      </c>
      <c r="I199" t="n">
        <v>0</v>
      </c>
      <c r="J199" t="n">
        <v>1</v>
      </c>
      <c r="K199" t="n">
        <v>0</v>
      </c>
      <c r="L199" t="n">
        <v>0</v>
      </c>
      <c r="M199" t="n">
        <v>0</v>
      </c>
      <c r="N199" t="n">
        <v>0</v>
      </c>
      <c r="O199" t="n">
        <v>1</v>
      </c>
      <c r="P199" t="n">
        <v>0</v>
      </c>
      <c r="Q199" t="n">
        <v>1</v>
      </c>
      <c r="R199" s="2" t="inlineStr">
        <is>
          <t>Lunglav</t>
        </is>
      </c>
      <c r="S199">
        <f>HYPERLINK("https://klasma.github.io/Logging_171737/artfynd/A 25276-2025 artfynd.xlsx", "A 25276-2025")</f>
        <v/>
      </c>
      <c r="T199">
        <f>HYPERLINK("https://klasma.github.io/Logging_171737/kartor/A 25276-2025 karta.png", "A 25276-2025")</f>
        <v/>
      </c>
      <c r="V199">
        <f>HYPERLINK("https://klasma.github.io/Logging_171737/klagomål/A 25276-2025 FSC-klagomål.docx", "A 25276-2025")</f>
        <v/>
      </c>
      <c r="W199">
        <f>HYPERLINK("https://klasma.github.io/Logging_171737/klagomålsmail/A 25276-2025 FSC-klagomål mail.docx", "A 25276-2025")</f>
        <v/>
      </c>
      <c r="X199">
        <f>HYPERLINK("https://klasma.github.io/Logging_171737/tillsyn/A 25276-2025 tillsynsbegäran.docx", "A 25276-2025")</f>
        <v/>
      </c>
      <c r="Y199">
        <f>HYPERLINK("https://klasma.github.io/Logging_171737/tillsynsmail/A 25276-2025 tillsynsbegäran mail.docx", "A 25276-2025")</f>
        <v/>
      </c>
    </row>
    <row r="200" ht="15" customHeight="1">
      <c r="A200" t="inlineStr">
        <is>
          <t>A 25217-2025</t>
        </is>
      </c>
      <c r="B200" s="1" t="n">
        <v>45800</v>
      </c>
      <c r="C200" s="1" t="n">
        <v>45822</v>
      </c>
      <c r="D200" t="inlineStr">
        <is>
          <t>VÄRMLANDS LÄN</t>
        </is>
      </c>
      <c r="E200" t="inlineStr">
        <is>
          <t>TORSBY</t>
        </is>
      </c>
      <c r="G200" t="n">
        <v>10.9</v>
      </c>
      <c r="H200" t="n">
        <v>0</v>
      </c>
      <c r="I200" t="n">
        <v>0</v>
      </c>
      <c r="J200" t="n">
        <v>1</v>
      </c>
      <c r="K200" t="n">
        <v>0</v>
      </c>
      <c r="L200" t="n">
        <v>0</v>
      </c>
      <c r="M200" t="n">
        <v>0</v>
      </c>
      <c r="N200" t="n">
        <v>0</v>
      </c>
      <c r="O200" t="n">
        <v>1</v>
      </c>
      <c r="P200" t="n">
        <v>0</v>
      </c>
      <c r="Q200" t="n">
        <v>1</v>
      </c>
      <c r="R200" s="2" t="inlineStr">
        <is>
          <t>Dvärgbägarlav</t>
        </is>
      </c>
      <c r="S200">
        <f>HYPERLINK("https://klasma.github.io/Logging_171737/artfynd/A 25217-2025 artfynd.xlsx", "A 25217-2025")</f>
        <v/>
      </c>
      <c r="T200">
        <f>HYPERLINK("https://klasma.github.io/Logging_171737/kartor/A 25217-2025 karta.png", "A 25217-2025")</f>
        <v/>
      </c>
      <c r="V200">
        <f>HYPERLINK("https://klasma.github.io/Logging_171737/klagomål/A 25217-2025 FSC-klagomål.docx", "A 25217-2025")</f>
        <v/>
      </c>
      <c r="W200">
        <f>HYPERLINK("https://klasma.github.io/Logging_171737/klagomålsmail/A 25217-2025 FSC-klagomål mail.docx", "A 25217-2025")</f>
        <v/>
      </c>
      <c r="X200">
        <f>HYPERLINK("https://klasma.github.io/Logging_171737/tillsyn/A 25217-2025 tillsynsbegäran.docx", "A 25217-2025")</f>
        <v/>
      </c>
      <c r="Y200">
        <f>HYPERLINK("https://klasma.github.io/Logging_171737/tillsynsmail/A 25217-2025 tillsynsbegäran mail.docx", "A 25217-2025")</f>
        <v/>
      </c>
    </row>
    <row r="201" ht="15" customHeight="1">
      <c r="A201" t="inlineStr">
        <is>
          <t>A 25802-2025</t>
        </is>
      </c>
      <c r="B201" s="1" t="n">
        <v>45804</v>
      </c>
      <c r="C201" s="1" t="n">
        <v>45822</v>
      </c>
      <c r="D201" t="inlineStr">
        <is>
          <t>VÄRMLANDS LÄN</t>
        </is>
      </c>
      <c r="E201" t="inlineStr">
        <is>
          <t>TORSBY</t>
        </is>
      </c>
      <c r="G201" t="n">
        <v>2.3</v>
      </c>
      <c r="H201" t="n">
        <v>0</v>
      </c>
      <c r="I201" t="n">
        <v>0</v>
      </c>
      <c r="J201" t="n">
        <v>1</v>
      </c>
      <c r="K201" t="n">
        <v>0</v>
      </c>
      <c r="L201" t="n">
        <v>0</v>
      </c>
      <c r="M201" t="n">
        <v>0</v>
      </c>
      <c r="N201" t="n">
        <v>0</v>
      </c>
      <c r="O201" t="n">
        <v>1</v>
      </c>
      <c r="P201" t="n">
        <v>0</v>
      </c>
      <c r="Q201" t="n">
        <v>1</v>
      </c>
      <c r="R201" s="2" t="inlineStr">
        <is>
          <t>Tallticka</t>
        </is>
      </c>
      <c r="S201">
        <f>HYPERLINK("https://klasma.github.io/Logging_171737/artfynd/A 25802-2025 artfynd.xlsx", "A 25802-2025")</f>
        <v/>
      </c>
      <c r="T201">
        <f>HYPERLINK("https://klasma.github.io/Logging_171737/kartor/A 25802-2025 karta.png", "A 25802-2025")</f>
        <v/>
      </c>
      <c r="V201">
        <f>HYPERLINK("https://klasma.github.io/Logging_171737/klagomål/A 25802-2025 FSC-klagomål.docx", "A 25802-2025")</f>
        <v/>
      </c>
      <c r="W201">
        <f>HYPERLINK("https://klasma.github.io/Logging_171737/klagomålsmail/A 25802-2025 FSC-klagomål mail.docx", "A 25802-2025")</f>
        <v/>
      </c>
      <c r="X201">
        <f>HYPERLINK("https://klasma.github.io/Logging_171737/tillsyn/A 25802-2025 tillsynsbegäran.docx", "A 25802-2025")</f>
        <v/>
      </c>
      <c r="Y201">
        <f>HYPERLINK("https://klasma.github.io/Logging_171737/tillsynsmail/A 25802-2025 tillsynsbegäran mail.docx", "A 25802-2025")</f>
        <v/>
      </c>
    </row>
    <row r="202" ht="15" customHeight="1">
      <c r="A202" t="inlineStr">
        <is>
          <t>A 27108-2025</t>
        </is>
      </c>
      <c r="B202" s="1" t="n">
        <v>45811</v>
      </c>
      <c r="C202" s="1" t="n">
        <v>45822</v>
      </c>
      <c r="D202" t="inlineStr">
        <is>
          <t>VÄRMLANDS LÄN</t>
        </is>
      </c>
      <c r="E202" t="inlineStr">
        <is>
          <t>TORSBY</t>
        </is>
      </c>
      <c r="G202" t="n">
        <v>1.5</v>
      </c>
      <c r="H202" t="n">
        <v>0</v>
      </c>
      <c r="I202" t="n">
        <v>0</v>
      </c>
      <c r="J202" t="n">
        <v>1</v>
      </c>
      <c r="K202" t="n">
        <v>0</v>
      </c>
      <c r="L202" t="n">
        <v>0</v>
      </c>
      <c r="M202" t="n">
        <v>0</v>
      </c>
      <c r="N202" t="n">
        <v>0</v>
      </c>
      <c r="O202" t="n">
        <v>1</v>
      </c>
      <c r="P202" t="n">
        <v>0</v>
      </c>
      <c r="Q202" t="n">
        <v>1</v>
      </c>
      <c r="R202" s="2" t="inlineStr">
        <is>
          <t>Garnlav</t>
        </is>
      </c>
      <c r="S202">
        <f>HYPERLINK("https://klasma.github.io/Logging_171737/artfynd/A 27108-2025 artfynd.xlsx", "A 27108-2025")</f>
        <v/>
      </c>
      <c r="T202">
        <f>HYPERLINK("https://klasma.github.io/Logging_171737/kartor/A 27108-2025 karta.png", "A 27108-2025")</f>
        <v/>
      </c>
      <c r="V202">
        <f>HYPERLINK("https://klasma.github.io/Logging_171737/klagomål/A 27108-2025 FSC-klagomål.docx", "A 27108-2025")</f>
        <v/>
      </c>
      <c r="W202">
        <f>HYPERLINK("https://klasma.github.io/Logging_171737/klagomålsmail/A 27108-2025 FSC-klagomål mail.docx", "A 27108-2025")</f>
        <v/>
      </c>
      <c r="X202">
        <f>HYPERLINK("https://klasma.github.io/Logging_171737/tillsyn/A 27108-2025 tillsynsbegäran.docx", "A 27108-2025")</f>
        <v/>
      </c>
      <c r="Y202">
        <f>HYPERLINK("https://klasma.github.io/Logging_171737/tillsynsmail/A 27108-2025 tillsynsbegäran mail.docx", "A 27108-2025")</f>
        <v/>
      </c>
    </row>
    <row r="203" ht="15" customHeight="1">
      <c r="A203" t="inlineStr">
        <is>
          <t>A 27301-2025</t>
        </is>
      </c>
      <c r="B203" s="1" t="n">
        <v>45812</v>
      </c>
      <c r="C203" s="1" t="n">
        <v>45822</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HYPERLINK("https://klasma.github.io/Logging_171737/artfynd/A 27301-2025 artfynd.xlsx", "A 27301-2025")</f>
        <v/>
      </c>
      <c r="T203">
        <f>HYPERLINK("https://klasma.github.io/Logging_171737/kartor/A 27301-2025 karta.png", "A 27301-2025")</f>
        <v/>
      </c>
      <c r="V203">
        <f>HYPERLINK("https://klasma.github.io/Logging_171737/klagomål/A 27301-2025 FSC-klagomål.docx", "A 27301-2025")</f>
        <v/>
      </c>
      <c r="W203">
        <f>HYPERLINK("https://klasma.github.io/Logging_171737/klagomålsmail/A 27301-2025 FSC-klagomål mail.docx", "A 27301-2025")</f>
        <v/>
      </c>
      <c r="X203">
        <f>HYPERLINK("https://klasma.github.io/Logging_171737/tillsyn/A 27301-2025 tillsynsbegäran.docx", "A 27301-2025")</f>
        <v/>
      </c>
      <c r="Y203">
        <f>HYPERLINK("https://klasma.github.io/Logging_171737/tillsynsmail/A 27301-2025 tillsynsbegäran mail.docx", "A 27301-2025")</f>
        <v/>
      </c>
    </row>
    <row r="204" ht="15" customHeight="1">
      <c r="A204" t="inlineStr">
        <is>
          <t>A 17808-2019</t>
        </is>
      </c>
      <c r="B204" s="1" t="n">
        <v>43556</v>
      </c>
      <c r="C204" s="1" t="n">
        <v>45822</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17788-2019</t>
        </is>
      </c>
      <c r="B205" s="1" t="n">
        <v>43556</v>
      </c>
      <c r="C205" s="1" t="n">
        <v>45822</v>
      </c>
      <c r="D205" t="inlineStr">
        <is>
          <t>VÄRMLANDS LÄN</t>
        </is>
      </c>
      <c r="E205" t="inlineStr">
        <is>
          <t>TORSBY</t>
        </is>
      </c>
      <c r="G205" t="n">
        <v>2.3</v>
      </c>
      <c r="H205" t="n">
        <v>0</v>
      </c>
      <c r="I205" t="n">
        <v>0</v>
      </c>
      <c r="J205" t="n">
        <v>0</v>
      </c>
      <c r="K205" t="n">
        <v>0</v>
      </c>
      <c r="L205" t="n">
        <v>0</v>
      </c>
      <c r="M205" t="n">
        <v>0</v>
      </c>
      <c r="N205" t="n">
        <v>0</v>
      </c>
      <c r="O205" t="n">
        <v>0</v>
      </c>
      <c r="P205" t="n">
        <v>0</v>
      </c>
      <c r="Q205" t="n">
        <v>0</v>
      </c>
      <c r="R205" s="2" t="inlineStr"/>
    </row>
    <row r="206" ht="15" customHeight="1">
      <c r="A206" t="inlineStr">
        <is>
          <t>A 17957-2019</t>
        </is>
      </c>
      <c r="B206" s="1" t="n">
        <v>43557</v>
      </c>
      <c r="C206" s="1" t="n">
        <v>45822</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17864-2019</t>
        </is>
      </c>
      <c r="B207" s="1" t="n">
        <v>43557</v>
      </c>
      <c r="C207" s="1" t="n">
        <v>45822</v>
      </c>
      <c r="D207" t="inlineStr">
        <is>
          <t>VÄRMLANDS LÄN</t>
        </is>
      </c>
      <c r="E207" t="inlineStr">
        <is>
          <t>TORSBY</t>
        </is>
      </c>
      <c r="G207" t="n">
        <v>1.4</v>
      </c>
      <c r="H207" t="n">
        <v>0</v>
      </c>
      <c r="I207" t="n">
        <v>0</v>
      </c>
      <c r="J207" t="n">
        <v>0</v>
      </c>
      <c r="K207" t="n">
        <v>0</v>
      </c>
      <c r="L207" t="n">
        <v>0</v>
      </c>
      <c r="M207" t="n">
        <v>0</v>
      </c>
      <c r="N207" t="n">
        <v>0</v>
      </c>
      <c r="O207" t="n">
        <v>0</v>
      </c>
      <c r="P207" t="n">
        <v>0</v>
      </c>
      <c r="Q207" t="n">
        <v>0</v>
      </c>
      <c r="R207" s="2" t="inlineStr"/>
    </row>
    <row r="208" ht="15" customHeight="1">
      <c r="A208" t="inlineStr">
        <is>
          <t>A 18551-2019</t>
        </is>
      </c>
      <c r="B208" s="1" t="n">
        <v>43559</v>
      </c>
      <c r="C208" s="1" t="n">
        <v>45822</v>
      </c>
      <c r="D208" t="inlineStr">
        <is>
          <t>VÄRMLANDS LÄN</t>
        </is>
      </c>
      <c r="E208" t="inlineStr">
        <is>
          <t>TORSBY</t>
        </is>
      </c>
      <c r="G208" t="n">
        <v>1.5</v>
      </c>
      <c r="H208" t="n">
        <v>0</v>
      </c>
      <c r="I208" t="n">
        <v>0</v>
      </c>
      <c r="J208" t="n">
        <v>0</v>
      </c>
      <c r="K208" t="n">
        <v>0</v>
      </c>
      <c r="L208" t="n">
        <v>0</v>
      </c>
      <c r="M208" t="n">
        <v>0</v>
      </c>
      <c r="N208" t="n">
        <v>0</v>
      </c>
      <c r="O208" t="n">
        <v>0</v>
      </c>
      <c r="P208" t="n">
        <v>0</v>
      </c>
      <c r="Q208" t="n">
        <v>0</v>
      </c>
      <c r="R208" s="2" t="inlineStr"/>
    </row>
    <row r="209" ht="15" customHeight="1">
      <c r="A209" t="inlineStr">
        <is>
          <t>A 18947-2019</t>
        </is>
      </c>
      <c r="B209" s="1" t="n">
        <v>43563</v>
      </c>
      <c r="C209" s="1" t="n">
        <v>45822</v>
      </c>
      <c r="D209" t="inlineStr">
        <is>
          <t>VÄRMLANDS LÄN</t>
        </is>
      </c>
      <c r="E209" t="inlineStr">
        <is>
          <t>TORSBY</t>
        </is>
      </c>
      <c r="G209" t="n">
        <v>7.6</v>
      </c>
      <c r="H209" t="n">
        <v>0</v>
      </c>
      <c r="I209" t="n">
        <v>0</v>
      </c>
      <c r="J209" t="n">
        <v>0</v>
      </c>
      <c r="K209" t="n">
        <v>0</v>
      </c>
      <c r="L209" t="n">
        <v>0</v>
      </c>
      <c r="M209" t="n">
        <v>0</v>
      </c>
      <c r="N209" t="n">
        <v>0</v>
      </c>
      <c r="O209" t="n">
        <v>0</v>
      </c>
      <c r="P209" t="n">
        <v>0</v>
      </c>
      <c r="Q209" t="n">
        <v>0</v>
      </c>
      <c r="R209" s="2" t="inlineStr"/>
    </row>
    <row r="210" ht="15" customHeight="1">
      <c r="A210" t="inlineStr">
        <is>
          <t>A 19974-2019</t>
        </is>
      </c>
      <c r="B210" s="1" t="n">
        <v>43564</v>
      </c>
      <c r="C210" s="1" t="n">
        <v>45822</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19125-2019</t>
        </is>
      </c>
      <c r="B211" s="1" t="n">
        <v>43564</v>
      </c>
      <c r="C211" s="1" t="n">
        <v>45822</v>
      </c>
      <c r="D211" t="inlineStr">
        <is>
          <t>VÄRMLANDS LÄN</t>
        </is>
      </c>
      <c r="E211" t="inlineStr">
        <is>
          <t>TORSBY</t>
        </is>
      </c>
      <c r="G211" t="n">
        <v>18.3</v>
      </c>
      <c r="H211" t="n">
        <v>0</v>
      </c>
      <c r="I211" t="n">
        <v>0</v>
      </c>
      <c r="J211" t="n">
        <v>0</v>
      </c>
      <c r="K211" t="n">
        <v>0</v>
      </c>
      <c r="L211" t="n">
        <v>0</v>
      </c>
      <c r="M211" t="n">
        <v>0</v>
      </c>
      <c r="N211" t="n">
        <v>0</v>
      </c>
      <c r="O211" t="n">
        <v>0</v>
      </c>
      <c r="P211" t="n">
        <v>0</v>
      </c>
      <c r="Q211" t="n">
        <v>0</v>
      </c>
      <c r="R211" s="2" t="inlineStr"/>
    </row>
    <row r="212" ht="15" customHeight="1">
      <c r="A212" t="inlineStr">
        <is>
          <t>A 19591-2019</t>
        </is>
      </c>
      <c r="B212" s="1" t="n">
        <v>43566</v>
      </c>
      <c r="C212" s="1" t="n">
        <v>45822</v>
      </c>
      <c r="D212" t="inlineStr">
        <is>
          <t>VÄRMLANDS LÄN</t>
        </is>
      </c>
      <c r="E212" t="inlineStr">
        <is>
          <t>TORSBY</t>
        </is>
      </c>
      <c r="G212" t="n">
        <v>0.9</v>
      </c>
      <c r="H212" t="n">
        <v>0</v>
      </c>
      <c r="I212" t="n">
        <v>0</v>
      </c>
      <c r="J212" t="n">
        <v>0</v>
      </c>
      <c r="K212" t="n">
        <v>0</v>
      </c>
      <c r="L212" t="n">
        <v>0</v>
      </c>
      <c r="M212" t="n">
        <v>0</v>
      </c>
      <c r="N212" t="n">
        <v>0</v>
      </c>
      <c r="O212" t="n">
        <v>0</v>
      </c>
      <c r="P212" t="n">
        <v>0</v>
      </c>
      <c r="Q212" t="n">
        <v>0</v>
      </c>
      <c r="R212" s="2" t="inlineStr"/>
    </row>
    <row r="213" ht="15" customHeight="1">
      <c r="A213" t="inlineStr">
        <is>
          <t>A 20167-2019</t>
        </is>
      </c>
      <c r="B213" s="1" t="n">
        <v>43570</v>
      </c>
      <c r="C213" s="1" t="n">
        <v>45822</v>
      </c>
      <c r="D213" t="inlineStr">
        <is>
          <t>VÄRMLANDS LÄN</t>
        </is>
      </c>
      <c r="E213" t="inlineStr">
        <is>
          <t>TORSBY</t>
        </is>
      </c>
      <c r="G213" t="n">
        <v>5</v>
      </c>
      <c r="H213" t="n">
        <v>0</v>
      </c>
      <c r="I213" t="n">
        <v>0</v>
      </c>
      <c r="J213" t="n">
        <v>0</v>
      </c>
      <c r="K213" t="n">
        <v>0</v>
      </c>
      <c r="L213" t="n">
        <v>0</v>
      </c>
      <c r="M213" t="n">
        <v>0</v>
      </c>
      <c r="N213" t="n">
        <v>0</v>
      </c>
      <c r="O213" t="n">
        <v>0</v>
      </c>
      <c r="P213" t="n">
        <v>0</v>
      </c>
      <c r="Q213" t="n">
        <v>0</v>
      </c>
      <c r="R213" s="2" t="inlineStr"/>
    </row>
    <row r="214" ht="15" customHeight="1">
      <c r="A214" t="inlineStr">
        <is>
          <t>A 20190-2019</t>
        </is>
      </c>
      <c r="B214" s="1" t="n">
        <v>43570</v>
      </c>
      <c r="C214" s="1" t="n">
        <v>45822</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20244-2019</t>
        </is>
      </c>
      <c r="B215" s="1" t="n">
        <v>43571</v>
      </c>
      <c r="C215" s="1" t="n">
        <v>45822</v>
      </c>
      <c r="D215" t="inlineStr">
        <is>
          <t>VÄRMLANDS LÄN</t>
        </is>
      </c>
      <c r="E215" t="inlineStr">
        <is>
          <t>TORSBY</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20616-2019</t>
        </is>
      </c>
      <c r="B216" s="1" t="n">
        <v>43572</v>
      </c>
      <c r="C216" s="1" t="n">
        <v>45822</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20468-2019</t>
        </is>
      </c>
      <c r="B217" s="1" t="n">
        <v>43572</v>
      </c>
      <c r="C217" s="1" t="n">
        <v>45822</v>
      </c>
      <c r="D217" t="inlineStr">
        <is>
          <t>VÄRMLANDS LÄN</t>
        </is>
      </c>
      <c r="E217" t="inlineStr">
        <is>
          <t>TORSBY</t>
        </is>
      </c>
      <c r="G217" t="n">
        <v>2.9</v>
      </c>
      <c r="H217" t="n">
        <v>0</v>
      </c>
      <c r="I217" t="n">
        <v>0</v>
      </c>
      <c r="J217" t="n">
        <v>0</v>
      </c>
      <c r="K217" t="n">
        <v>0</v>
      </c>
      <c r="L217" t="n">
        <v>0</v>
      </c>
      <c r="M217" t="n">
        <v>0</v>
      </c>
      <c r="N217" t="n">
        <v>0</v>
      </c>
      <c r="O217" t="n">
        <v>0</v>
      </c>
      <c r="P217" t="n">
        <v>0</v>
      </c>
      <c r="Q217" t="n">
        <v>0</v>
      </c>
      <c r="R217" s="2" t="inlineStr"/>
    </row>
    <row r="218" ht="15" customHeight="1">
      <c r="A218" t="inlineStr">
        <is>
          <t>A 21166-2019</t>
        </is>
      </c>
      <c r="B218" s="1" t="n">
        <v>43578</v>
      </c>
      <c r="C218" s="1" t="n">
        <v>45822</v>
      </c>
      <c r="D218" t="inlineStr">
        <is>
          <t>VÄRMLANDS LÄN</t>
        </is>
      </c>
      <c r="E218" t="inlineStr">
        <is>
          <t>TORSBY</t>
        </is>
      </c>
      <c r="G218" t="n">
        <v>3.4</v>
      </c>
      <c r="H218" t="n">
        <v>0</v>
      </c>
      <c r="I218" t="n">
        <v>0</v>
      </c>
      <c r="J218" t="n">
        <v>0</v>
      </c>
      <c r="K218" t="n">
        <v>0</v>
      </c>
      <c r="L218" t="n">
        <v>0</v>
      </c>
      <c r="M218" t="n">
        <v>0</v>
      </c>
      <c r="N218" t="n">
        <v>0</v>
      </c>
      <c r="O218" t="n">
        <v>0</v>
      </c>
      <c r="P218" t="n">
        <v>0</v>
      </c>
      <c r="Q218" t="n">
        <v>0</v>
      </c>
      <c r="R218" s="2" t="inlineStr"/>
    </row>
    <row r="219" ht="15" customHeight="1">
      <c r="A219" t="inlineStr">
        <is>
          <t>A 21387-2019</t>
        </is>
      </c>
      <c r="B219" s="1" t="n">
        <v>43580</v>
      </c>
      <c r="C219" s="1" t="n">
        <v>45822</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21958-2019</t>
        </is>
      </c>
      <c r="B220" s="1" t="n">
        <v>43584</v>
      </c>
      <c r="C220" s="1" t="n">
        <v>45822</v>
      </c>
      <c r="D220" t="inlineStr">
        <is>
          <t>VÄRMLANDS LÄN</t>
        </is>
      </c>
      <c r="E220" t="inlineStr">
        <is>
          <t>TORSBY</t>
        </is>
      </c>
      <c r="G220" t="n">
        <v>3.5</v>
      </c>
      <c r="H220" t="n">
        <v>0</v>
      </c>
      <c r="I220" t="n">
        <v>0</v>
      </c>
      <c r="J220" t="n">
        <v>0</v>
      </c>
      <c r="K220" t="n">
        <v>0</v>
      </c>
      <c r="L220" t="n">
        <v>0</v>
      </c>
      <c r="M220" t="n">
        <v>0</v>
      </c>
      <c r="N220" t="n">
        <v>0</v>
      </c>
      <c r="O220" t="n">
        <v>0</v>
      </c>
      <c r="P220" t="n">
        <v>0</v>
      </c>
      <c r="Q220" t="n">
        <v>0</v>
      </c>
      <c r="R220" s="2" t="inlineStr"/>
    </row>
    <row r="221" ht="15" customHeight="1">
      <c r="A221" t="inlineStr">
        <is>
          <t>A 22252-2019</t>
        </is>
      </c>
      <c r="B221" s="1" t="n">
        <v>43585</v>
      </c>
      <c r="C221" s="1" t="n">
        <v>45822</v>
      </c>
      <c r="D221" t="inlineStr">
        <is>
          <t>VÄRMLANDS LÄN</t>
        </is>
      </c>
      <c r="E221" t="inlineStr">
        <is>
          <t>TORSBY</t>
        </is>
      </c>
      <c r="G221" t="n">
        <v>3.7</v>
      </c>
      <c r="H221" t="n">
        <v>0</v>
      </c>
      <c r="I221" t="n">
        <v>0</v>
      </c>
      <c r="J221" t="n">
        <v>0</v>
      </c>
      <c r="K221" t="n">
        <v>0</v>
      </c>
      <c r="L221" t="n">
        <v>0</v>
      </c>
      <c r="M221" t="n">
        <v>0</v>
      </c>
      <c r="N221" t="n">
        <v>0</v>
      </c>
      <c r="O221" t="n">
        <v>0</v>
      </c>
      <c r="P221" t="n">
        <v>0</v>
      </c>
      <c r="Q221" t="n">
        <v>0</v>
      </c>
      <c r="R221" s="2" t="inlineStr"/>
    </row>
    <row r="222" ht="15" customHeight="1">
      <c r="A222" t="inlineStr">
        <is>
          <t>A 22158-2019</t>
        </is>
      </c>
      <c r="B222" s="1" t="n">
        <v>43585</v>
      </c>
      <c r="C222" s="1" t="n">
        <v>45822</v>
      </c>
      <c r="D222" t="inlineStr">
        <is>
          <t>VÄRMLANDS LÄN</t>
        </is>
      </c>
      <c r="E222" t="inlineStr">
        <is>
          <t>TORSBY</t>
        </is>
      </c>
      <c r="G222" t="n">
        <v>4.5</v>
      </c>
      <c r="H222" t="n">
        <v>0</v>
      </c>
      <c r="I222" t="n">
        <v>0</v>
      </c>
      <c r="J222" t="n">
        <v>0</v>
      </c>
      <c r="K222" t="n">
        <v>0</v>
      </c>
      <c r="L222" t="n">
        <v>0</v>
      </c>
      <c r="M222" t="n">
        <v>0</v>
      </c>
      <c r="N222" t="n">
        <v>0</v>
      </c>
      <c r="O222" t="n">
        <v>0</v>
      </c>
      <c r="P222" t="n">
        <v>0</v>
      </c>
      <c r="Q222" t="n">
        <v>0</v>
      </c>
      <c r="R222" s="2" t="inlineStr"/>
    </row>
    <row r="223" ht="15" customHeight="1">
      <c r="A223" t="inlineStr">
        <is>
          <t>A 22416-2019</t>
        </is>
      </c>
      <c r="B223" s="1" t="n">
        <v>43587</v>
      </c>
      <c r="C223" s="1" t="n">
        <v>45822</v>
      </c>
      <c r="D223" t="inlineStr">
        <is>
          <t>VÄRMLANDS LÄN</t>
        </is>
      </c>
      <c r="E223" t="inlineStr">
        <is>
          <t>TORSBY</t>
        </is>
      </c>
      <c r="G223" t="n">
        <v>1.9</v>
      </c>
      <c r="H223" t="n">
        <v>0</v>
      </c>
      <c r="I223" t="n">
        <v>0</v>
      </c>
      <c r="J223" t="n">
        <v>0</v>
      </c>
      <c r="K223" t="n">
        <v>0</v>
      </c>
      <c r="L223" t="n">
        <v>0</v>
      </c>
      <c r="M223" t="n">
        <v>0</v>
      </c>
      <c r="N223" t="n">
        <v>0</v>
      </c>
      <c r="O223" t="n">
        <v>0</v>
      </c>
      <c r="P223" t="n">
        <v>0</v>
      </c>
      <c r="Q223" t="n">
        <v>0</v>
      </c>
      <c r="R223" s="2" t="inlineStr"/>
    </row>
    <row r="224" ht="15" customHeight="1">
      <c r="A224" t="inlineStr">
        <is>
          <t>A 22351-2019</t>
        </is>
      </c>
      <c r="B224" s="1" t="n">
        <v>43587</v>
      </c>
      <c r="C224" s="1" t="n">
        <v>45822</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22692-2019</t>
        </is>
      </c>
      <c r="B225" s="1" t="n">
        <v>43588</v>
      </c>
      <c r="C225" s="1" t="n">
        <v>45822</v>
      </c>
      <c r="D225" t="inlineStr">
        <is>
          <t>VÄRMLANDS LÄN</t>
        </is>
      </c>
      <c r="E225" t="inlineStr">
        <is>
          <t>TORSBY</t>
        </is>
      </c>
      <c r="F225" t="inlineStr">
        <is>
          <t>Bergvik skog väst AB</t>
        </is>
      </c>
      <c r="G225" t="n">
        <v>5.4</v>
      </c>
      <c r="H225" t="n">
        <v>0</v>
      </c>
      <c r="I225" t="n">
        <v>0</v>
      </c>
      <c r="J225" t="n">
        <v>0</v>
      </c>
      <c r="K225" t="n">
        <v>0</v>
      </c>
      <c r="L225" t="n">
        <v>0</v>
      </c>
      <c r="M225" t="n">
        <v>0</v>
      </c>
      <c r="N225" t="n">
        <v>0</v>
      </c>
      <c r="O225" t="n">
        <v>0</v>
      </c>
      <c r="P225" t="n">
        <v>0</v>
      </c>
      <c r="Q225" t="n">
        <v>0</v>
      </c>
      <c r="R225" s="2" t="inlineStr"/>
    </row>
    <row r="226" ht="15" customHeight="1">
      <c r="A226" t="inlineStr">
        <is>
          <t>A 22717-2019</t>
        </is>
      </c>
      <c r="B226" s="1" t="n">
        <v>43588</v>
      </c>
      <c r="C226" s="1" t="n">
        <v>45822</v>
      </c>
      <c r="D226" t="inlineStr">
        <is>
          <t>VÄRMLANDS LÄN</t>
        </is>
      </c>
      <c r="E226" t="inlineStr">
        <is>
          <t>TORSBY</t>
        </is>
      </c>
      <c r="G226" t="n">
        <v>8</v>
      </c>
      <c r="H226" t="n">
        <v>0</v>
      </c>
      <c r="I226" t="n">
        <v>0</v>
      </c>
      <c r="J226" t="n">
        <v>0</v>
      </c>
      <c r="K226" t="n">
        <v>0</v>
      </c>
      <c r="L226" t="n">
        <v>0</v>
      </c>
      <c r="M226" t="n">
        <v>0</v>
      </c>
      <c r="N226" t="n">
        <v>0</v>
      </c>
      <c r="O226" t="n">
        <v>0</v>
      </c>
      <c r="P226" t="n">
        <v>0</v>
      </c>
      <c r="Q226" t="n">
        <v>0</v>
      </c>
      <c r="R226" s="2" t="inlineStr"/>
    </row>
    <row r="227" ht="15" customHeight="1">
      <c r="A227" t="inlineStr">
        <is>
          <t>A 23412-2019</t>
        </is>
      </c>
      <c r="B227" s="1" t="n">
        <v>43593</v>
      </c>
      <c r="C227" s="1" t="n">
        <v>45822</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23892-2019</t>
        </is>
      </c>
      <c r="B228" s="1" t="n">
        <v>43595</v>
      </c>
      <c r="C228" s="1" t="n">
        <v>45822</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23771-2019</t>
        </is>
      </c>
      <c r="B229" s="1" t="n">
        <v>43595</v>
      </c>
      <c r="C229" s="1" t="n">
        <v>45822</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24667-2019</t>
        </is>
      </c>
      <c r="B230" s="1" t="n">
        <v>43599</v>
      </c>
      <c r="C230" s="1" t="n">
        <v>45822</v>
      </c>
      <c r="D230" t="inlineStr">
        <is>
          <t>VÄRMLANDS LÄN</t>
        </is>
      </c>
      <c r="E230" t="inlineStr">
        <is>
          <t>TORSBY</t>
        </is>
      </c>
      <c r="G230" t="n">
        <v>6.7</v>
      </c>
      <c r="H230" t="n">
        <v>0</v>
      </c>
      <c r="I230" t="n">
        <v>0</v>
      </c>
      <c r="J230" t="n">
        <v>0</v>
      </c>
      <c r="K230" t="n">
        <v>0</v>
      </c>
      <c r="L230" t="n">
        <v>0</v>
      </c>
      <c r="M230" t="n">
        <v>0</v>
      </c>
      <c r="N230" t="n">
        <v>0</v>
      </c>
      <c r="O230" t="n">
        <v>0</v>
      </c>
      <c r="P230" t="n">
        <v>0</v>
      </c>
      <c r="Q230" t="n">
        <v>0</v>
      </c>
      <c r="R230" s="2" t="inlineStr"/>
    </row>
    <row r="231" ht="15" customHeight="1">
      <c r="A231" t="inlineStr">
        <is>
          <t>A 24703-2019</t>
        </is>
      </c>
      <c r="B231" s="1" t="n">
        <v>43601</v>
      </c>
      <c r="C231" s="1" t="n">
        <v>45822</v>
      </c>
      <c r="D231" t="inlineStr">
        <is>
          <t>VÄRMLANDS LÄN</t>
        </is>
      </c>
      <c r="E231" t="inlineStr">
        <is>
          <t>TORSBY</t>
        </is>
      </c>
      <c r="G231" t="n">
        <v>1.5</v>
      </c>
      <c r="H231" t="n">
        <v>0</v>
      </c>
      <c r="I231" t="n">
        <v>0</v>
      </c>
      <c r="J231" t="n">
        <v>0</v>
      </c>
      <c r="K231" t="n">
        <v>0</v>
      </c>
      <c r="L231" t="n">
        <v>0</v>
      </c>
      <c r="M231" t="n">
        <v>0</v>
      </c>
      <c r="N231" t="n">
        <v>0</v>
      </c>
      <c r="O231" t="n">
        <v>0</v>
      </c>
      <c r="P231" t="n">
        <v>0</v>
      </c>
      <c r="Q231" t="n">
        <v>0</v>
      </c>
      <c r="R231" s="2" t="inlineStr"/>
    </row>
    <row r="232" ht="15" customHeight="1">
      <c r="A232" t="inlineStr">
        <is>
          <t>A 26493-2019</t>
        </is>
      </c>
      <c r="B232" s="1" t="n">
        <v>43612</v>
      </c>
      <c r="C232" s="1" t="n">
        <v>45822</v>
      </c>
      <c r="D232" t="inlineStr">
        <is>
          <t>VÄRMLANDS LÄN</t>
        </is>
      </c>
      <c r="E232" t="inlineStr">
        <is>
          <t>TORSBY</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27907-2019</t>
        </is>
      </c>
      <c r="B233" s="1" t="n">
        <v>43612</v>
      </c>
      <c r="C233" s="1" t="n">
        <v>45822</v>
      </c>
      <c r="D233" t="inlineStr">
        <is>
          <t>VÄRMLANDS LÄN</t>
        </is>
      </c>
      <c r="E233" t="inlineStr">
        <is>
          <t>TORSBY</t>
        </is>
      </c>
      <c r="G233" t="n">
        <v>7.5</v>
      </c>
      <c r="H233" t="n">
        <v>0</v>
      </c>
      <c r="I233" t="n">
        <v>0</v>
      </c>
      <c r="J233" t="n">
        <v>0</v>
      </c>
      <c r="K233" t="n">
        <v>0</v>
      </c>
      <c r="L233" t="n">
        <v>0</v>
      </c>
      <c r="M233" t="n">
        <v>0</v>
      </c>
      <c r="N233" t="n">
        <v>0</v>
      </c>
      <c r="O233" t="n">
        <v>0</v>
      </c>
      <c r="P233" t="n">
        <v>0</v>
      </c>
      <c r="Q233" t="n">
        <v>0</v>
      </c>
      <c r="R233" s="2" t="inlineStr"/>
    </row>
    <row r="234" ht="15" customHeight="1">
      <c r="A234" t="inlineStr">
        <is>
          <t>A 26783-2019</t>
        </is>
      </c>
      <c r="B234" s="1" t="n">
        <v>43613</v>
      </c>
      <c r="C234" s="1" t="n">
        <v>45822</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27711-2019</t>
        </is>
      </c>
      <c r="B235" s="1" t="n">
        <v>43619</v>
      </c>
      <c r="C235" s="1" t="n">
        <v>45822</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27682-2019</t>
        </is>
      </c>
      <c r="B236" s="1" t="n">
        <v>43619</v>
      </c>
      <c r="C236" s="1" t="n">
        <v>45822</v>
      </c>
      <c r="D236" t="inlineStr">
        <is>
          <t>VÄRMLANDS LÄN</t>
        </is>
      </c>
      <c r="E236" t="inlineStr">
        <is>
          <t>TORSBY</t>
        </is>
      </c>
      <c r="G236" t="n">
        <v>1.2</v>
      </c>
      <c r="H236" t="n">
        <v>0</v>
      </c>
      <c r="I236" t="n">
        <v>0</v>
      </c>
      <c r="J236" t="n">
        <v>0</v>
      </c>
      <c r="K236" t="n">
        <v>0</v>
      </c>
      <c r="L236" t="n">
        <v>0</v>
      </c>
      <c r="M236" t="n">
        <v>0</v>
      </c>
      <c r="N236" t="n">
        <v>0</v>
      </c>
      <c r="O236" t="n">
        <v>0</v>
      </c>
      <c r="P236" t="n">
        <v>0</v>
      </c>
      <c r="Q236" t="n">
        <v>0</v>
      </c>
      <c r="R236" s="2" t="inlineStr"/>
    </row>
    <row r="237" ht="15" customHeight="1">
      <c r="A237" t="inlineStr">
        <is>
          <t>A 28975-2019</t>
        </is>
      </c>
      <c r="B237" s="1" t="n">
        <v>43619</v>
      </c>
      <c r="C237" s="1" t="n">
        <v>45822</v>
      </c>
      <c r="D237" t="inlineStr">
        <is>
          <t>VÄRMLANDS LÄN</t>
        </is>
      </c>
      <c r="E237" t="inlineStr">
        <is>
          <t>TORSBY</t>
        </is>
      </c>
      <c r="G237" t="n">
        <v>6.5</v>
      </c>
      <c r="H237" t="n">
        <v>0</v>
      </c>
      <c r="I237" t="n">
        <v>0</v>
      </c>
      <c r="J237" t="n">
        <v>0</v>
      </c>
      <c r="K237" t="n">
        <v>0</v>
      </c>
      <c r="L237" t="n">
        <v>0</v>
      </c>
      <c r="M237" t="n">
        <v>0</v>
      </c>
      <c r="N237" t="n">
        <v>0</v>
      </c>
      <c r="O237" t="n">
        <v>0</v>
      </c>
      <c r="P237" t="n">
        <v>0</v>
      </c>
      <c r="Q237" t="n">
        <v>0</v>
      </c>
      <c r="R237" s="2" t="inlineStr"/>
    </row>
    <row r="238" ht="15" customHeight="1">
      <c r="A238" t="inlineStr">
        <is>
          <t>A 28487-2019</t>
        </is>
      </c>
      <c r="B238" s="1" t="n">
        <v>43621</v>
      </c>
      <c r="C238" s="1" t="n">
        <v>45822</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28653-2019</t>
        </is>
      </c>
      <c r="B239" s="1" t="n">
        <v>43627</v>
      </c>
      <c r="C239" s="1" t="n">
        <v>45822</v>
      </c>
      <c r="D239" t="inlineStr">
        <is>
          <t>VÄRMLANDS LÄN</t>
        </is>
      </c>
      <c r="E239" t="inlineStr">
        <is>
          <t>TORSBY</t>
        </is>
      </c>
      <c r="G239" t="n">
        <v>5.2</v>
      </c>
      <c r="H239" t="n">
        <v>0</v>
      </c>
      <c r="I239" t="n">
        <v>0</v>
      </c>
      <c r="J239" t="n">
        <v>0</v>
      </c>
      <c r="K239" t="n">
        <v>0</v>
      </c>
      <c r="L239" t="n">
        <v>0</v>
      </c>
      <c r="M239" t="n">
        <v>0</v>
      </c>
      <c r="N239" t="n">
        <v>0</v>
      </c>
      <c r="O239" t="n">
        <v>0</v>
      </c>
      <c r="P239" t="n">
        <v>0</v>
      </c>
      <c r="Q239" t="n">
        <v>0</v>
      </c>
      <c r="R239" s="2" t="inlineStr"/>
    </row>
    <row r="240" ht="15" customHeight="1">
      <c r="A240" t="inlineStr">
        <is>
          <t>A 28818-2019</t>
        </is>
      </c>
      <c r="B240" s="1" t="n">
        <v>43627</v>
      </c>
      <c r="C240" s="1" t="n">
        <v>45822</v>
      </c>
      <c r="D240" t="inlineStr">
        <is>
          <t>VÄRMLANDS LÄN</t>
        </is>
      </c>
      <c r="E240" t="inlineStr">
        <is>
          <t>TORSBY</t>
        </is>
      </c>
      <c r="F240" t="inlineStr">
        <is>
          <t>Bergvik skog väst AB</t>
        </is>
      </c>
      <c r="G240" t="n">
        <v>58.6</v>
      </c>
      <c r="H240" t="n">
        <v>0</v>
      </c>
      <c r="I240" t="n">
        <v>0</v>
      </c>
      <c r="J240" t="n">
        <v>0</v>
      </c>
      <c r="K240" t="n">
        <v>0</v>
      </c>
      <c r="L240" t="n">
        <v>0</v>
      </c>
      <c r="M240" t="n">
        <v>0</v>
      </c>
      <c r="N240" t="n">
        <v>0</v>
      </c>
      <c r="O240" t="n">
        <v>0</v>
      </c>
      <c r="P240" t="n">
        <v>0</v>
      </c>
      <c r="Q240" t="n">
        <v>0</v>
      </c>
      <c r="R240" s="2" t="inlineStr"/>
    </row>
    <row r="241" ht="15" customHeight="1">
      <c r="A241" t="inlineStr">
        <is>
          <t>A 28889-2019</t>
        </is>
      </c>
      <c r="B241" s="1" t="n">
        <v>43628</v>
      </c>
      <c r="C241" s="1" t="n">
        <v>45822</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29436-2019</t>
        </is>
      </c>
      <c r="B242" s="1" t="n">
        <v>43629</v>
      </c>
      <c r="C242" s="1" t="n">
        <v>45822</v>
      </c>
      <c r="D242" t="inlineStr">
        <is>
          <t>VÄRMLANDS LÄN</t>
        </is>
      </c>
      <c r="E242" t="inlineStr">
        <is>
          <t>TORSBY</t>
        </is>
      </c>
      <c r="F242" t="inlineStr">
        <is>
          <t>Bergvik skog väst AB</t>
        </is>
      </c>
      <c r="G242" t="n">
        <v>33.7</v>
      </c>
      <c r="H242" t="n">
        <v>0</v>
      </c>
      <c r="I242" t="n">
        <v>0</v>
      </c>
      <c r="J242" t="n">
        <v>0</v>
      </c>
      <c r="K242" t="n">
        <v>0</v>
      </c>
      <c r="L242" t="n">
        <v>0</v>
      </c>
      <c r="M242" t="n">
        <v>0</v>
      </c>
      <c r="N242" t="n">
        <v>0</v>
      </c>
      <c r="O242" t="n">
        <v>0</v>
      </c>
      <c r="P242" t="n">
        <v>0</v>
      </c>
      <c r="Q242" t="n">
        <v>0</v>
      </c>
      <c r="R242" s="2" t="inlineStr"/>
    </row>
    <row r="243" ht="15" customHeight="1">
      <c r="A243" t="inlineStr">
        <is>
          <t>A 30031-2019</t>
        </is>
      </c>
      <c r="B243" s="1" t="n">
        <v>43633</v>
      </c>
      <c r="C243" s="1" t="n">
        <v>45822</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30049-2019</t>
        </is>
      </c>
      <c r="B244" s="1" t="n">
        <v>43633</v>
      </c>
      <c r="C244" s="1" t="n">
        <v>45822</v>
      </c>
      <c r="D244" t="inlineStr">
        <is>
          <t>VÄRMLANDS LÄN</t>
        </is>
      </c>
      <c r="E244" t="inlineStr">
        <is>
          <t>TORSBY</t>
        </is>
      </c>
      <c r="G244" t="n">
        <v>7.1</v>
      </c>
      <c r="H244" t="n">
        <v>0</v>
      </c>
      <c r="I244" t="n">
        <v>0</v>
      </c>
      <c r="J244" t="n">
        <v>0</v>
      </c>
      <c r="K244" t="n">
        <v>0</v>
      </c>
      <c r="L244" t="n">
        <v>0</v>
      </c>
      <c r="M244" t="n">
        <v>0</v>
      </c>
      <c r="N244" t="n">
        <v>0</v>
      </c>
      <c r="O244" t="n">
        <v>0</v>
      </c>
      <c r="P244" t="n">
        <v>0</v>
      </c>
      <c r="Q244" t="n">
        <v>0</v>
      </c>
      <c r="R244" s="2" t="inlineStr"/>
    </row>
    <row r="245" ht="15" customHeight="1">
      <c r="A245" t="inlineStr">
        <is>
          <t>A 29984-2019</t>
        </is>
      </c>
      <c r="B245" s="1" t="n">
        <v>43633</v>
      </c>
      <c r="C245" s="1" t="n">
        <v>45822</v>
      </c>
      <c r="D245" t="inlineStr">
        <is>
          <t>VÄRMLANDS LÄN</t>
        </is>
      </c>
      <c r="E245" t="inlineStr">
        <is>
          <t>TORSBY</t>
        </is>
      </c>
      <c r="F245" t="inlineStr">
        <is>
          <t>Bergvik skog väst AB</t>
        </is>
      </c>
      <c r="G245" t="n">
        <v>1.2</v>
      </c>
      <c r="H245" t="n">
        <v>0</v>
      </c>
      <c r="I245" t="n">
        <v>0</v>
      </c>
      <c r="J245" t="n">
        <v>0</v>
      </c>
      <c r="K245" t="n">
        <v>0</v>
      </c>
      <c r="L245" t="n">
        <v>0</v>
      </c>
      <c r="M245" t="n">
        <v>0</v>
      </c>
      <c r="N245" t="n">
        <v>0</v>
      </c>
      <c r="O245" t="n">
        <v>0</v>
      </c>
      <c r="P245" t="n">
        <v>0</v>
      </c>
      <c r="Q245" t="n">
        <v>0</v>
      </c>
      <c r="R245" s="2" t="inlineStr"/>
    </row>
    <row r="246" ht="15" customHeight="1">
      <c r="A246" t="inlineStr">
        <is>
          <t>A 30158-2019</t>
        </is>
      </c>
      <c r="B246" s="1" t="n">
        <v>43634</v>
      </c>
      <c r="C246" s="1" t="n">
        <v>45822</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30596-2019</t>
        </is>
      </c>
      <c r="B247" s="1" t="n">
        <v>43635</v>
      </c>
      <c r="C247" s="1" t="n">
        <v>45822</v>
      </c>
      <c r="D247" t="inlineStr">
        <is>
          <t>VÄRMLANDS LÄN</t>
        </is>
      </c>
      <c r="E247" t="inlineStr">
        <is>
          <t>TORSBY</t>
        </is>
      </c>
      <c r="G247" t="n">
        <v>2.1</v>
      </c>
      <c r="H247" t="n">
        <v>0</v>
      </c>
      <c r="I247" t="n">
        <v>0</v>
      </c>
      <c r="J247" t="n">
        <v>0</v>
      </c>
      <c r="K247" t="n">
        <v>0</v>
      </c>
      <c r="L247" t="n">
        <v>0</v>
      </c>
      <c r="M247" t="n">
        <v>0</v>
      </c>
      <c r="N247" t="n">
        <v>0</v>
      </c>
      <c r="O247" t="n">
        <v>0</v>
      </c>
      <c r="P247" t="n">
        <v>0</v>
      </c>
      <c r="Q247" t="n">
        <v>0</v>
      </c>
      <c r="R247" s="2" t="inlineStr"/>
    </row>
    <row r="248" ht="15" customHeight="1">
      <c r="A248" t="inlineStr">
        <is>
          <t>A 30860-2019</t>
        </is>
      </c>
      <c r="B248" s="1" t="n">
        <v>43636</v>
      </c>
      <c r="C248" s="1" t="n">
        <v>45822</v>
      </c>
      <c r="D248" t="inlineStr">
        <is>
          <t>VÄRMLANDS LÄN</t>
        </is>
      </c>
      <c r="E248" t="inlineStr">
        <is>
          <t>TORSBY</t>
        </is>
      </c>
      <c r="G248" t="n">
        <v>11.7</v>
      </c>
      <c r="H248" t="n">
        <v>0</v>
      </c>
      <c r="I248" t="n">
        <v>0</v>
      </c>
      <c r="J248" t="n">
        <v>0</v>
      </c>
      <c r="K248" t="n">
        <v>0</v>
      </c>
      <c r="L248" t="n">
        <v>0</v>
      </c>
      <c r="M248" t="n">
        <v>0</v>
      </c>
      <c r="N248" t="n">
        <v>0</v>
      </c>
      <c r="O248" t="n">
        <v>0</v>
      </c>
      <c r="P248" t="n">
        <v>0</v>
      </c>
      <c r="Q248" t="n">
        <v>0</v>
      </c>
      <c r="R248" s="2" t="inlineStr"/>
    </row>
    <row r="249" ht="15" customHeight="1">
      <c r="A249" t="inlineStr">
        <is>
          <t>A 31109-2019</t>
        </is>
      </c>
      <c r="B249" s="1" t="n">
        <v>43640</v>
      </c>
      <c r="C249" s="1" t="n">
        <v>45822</v>
      </c>
      <c r="D249" t="inlineStr">
        <is>
          <t>VÄRMLANDS LÄN</t>
        </is>
      </c>
      <c r="E249" t="inlineStr">
        <is>
          <t>TORSBY</t>
        </is>
      </c>
      <c r="G249" t="n">
        <v>4</v>
      </c>
      <c r="H249" t="n">
        <v>0</v>
      </c>
      <c r="I249" t="n">
        <v>0</v>
      </c>
      <c r="J249" t="n">
        <v>0</v>
      </c>
      <c r="K249" t="n">
        <v>0</v>
      </c>
      <c r="L249" t="n">
        <v>0</v>
      </c>
      <c r="M249" t="n">
        <v>0</v>
      </c>
      <c r="N249" t="n">
        <v>0</v>
      </c>
      <c r="O249" t="n">
        <v>0</v>
      </c>
      <c r="P249" t="n">
        <v>0</v>
      </c>
      <c r="Q249" t="n">
        <v>0</v>
      </c>
      <c r="R249" s="2" t="inlineStr"/>
    </row>
    <row r="250" ht="15" customHeight="1">
      <c r="A250" t="inlineStr">
        <is>
          <t>A 31010-2019</t>
        </is>
      </c>
      <c r="B250" s="1" t="n">
        <v>43640</v>
      </c>
      <c r="C250" s="1" t="n">
        <v>45822</v>
      </c>
      <c r="D250" t="inlineStr">
        <is>
          <t>VÄRMLANDS LÄN</t>
        </is>
      </c>
      <c r="E250" t="inlineStr">
        <is>
          <t>TORSBY</t>
        </is>
      </c>
      <c r="G250" t="n">
        <v>4</v>
      </c>
      <c r="H250" t="n">
        <v>0</v>
      </c>
      <c r="I250" t="n">
        <v>0</v>
      </c>
      <c r="J250" t="n">
        <v>0</v>
      </c>
      <c r="K250" t="n">
        <v>0</v>
      </c>
      <c r="L250" t="n">
        <v>0</v>
      </c>
      <c r="M250" t="n">
        <v>0</v>
      </c>
      <c r="N250" t="n">
        <v>0</v>
      </c>
      <c r="O250" t="n">
        <v>0</v>
      </c>
      <c r="P250" t="n">
        <v>0</v>
      </c>
      <c r="Q250" t="n">
        <v>0</v>
      </c>
      <c r="R250" s="2" t="inlineStr"/>
    </row>
    <row r="251" ht="15" customHeight="1">
      <c r="A251" t="inlineStr">
        <is>
          <t>A 31138-2019</t>
        </is>
      </c>
      <c r="B251" s="1" t="n">
        <v>43640</v>
      </c>
      <c r="C251" s="1" t="n">
        <v>45822</v>
      </c>
      <c r="D251" t="inlineStr">
        <is>
          <t>VÄRMLANDS LÄN</t>
        </is>
      </c>
      <c r="E251" t="inlineStr">
        <is>
          <t>TORSBY</t>
        </is>
      </c>
      <c r="F251" t="inlineStr">
        <is>
          <t>Bergvik skog väst AB</t>
        </is>
      </c>
      <c r="G251" t="n">
        <v>1.1</v>
      </c>
      <c r="H251" t="n">
        <v>0</v>
      </c>
      <c r="I251" t="n">
        <v>0</v>
      </c>
      <c r="J251" t="n">
        <v>0</v>
      </c>
      <c r="K251" t="n">
        <v>0</v>
      </c>
      <c r="L251" t="n">
        <v>0</v>
      </c>
      <c r="M251" t="n">
        <v>0</v>
      </c>
      <c r="N251" t="n">
        <v>0</v>
      </c>
      <c r="O251" t="n">
        <v>0</v>
      </c>
      <c r="P251" t="n">
        <v>0</v>
      </c>
      <c r="Q251" t="n">
        <v>0</v>
      </c>
      <c r="R251" s="2" t="inlineStr"/>
    </row>
    <row r="252" ht="15" customHeight="1">
      <c r="A252" t="inlineStr">
        <is>
          <t>A 31543-2019</t>
        </is>
      </c>
      <c r="B252" s="1" t="n">
        <v>43641</v>
      </c>
      <c r="C252" s="1" t="n">
        <v>45822</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31930-2019</t>
        </is>
      </c>
      <c r="B253" s="1" t="n">
        <v>43642</v>
      </c>
      <c r="C253" s="1" t="n">
        <v>45822</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32170-2019</t>
        </is>
      </c>
      <c r="B254" s="1" t="n">
        <v>43643</v>
      </c>
      <c r="C254" s="1" t="n">
        <v>45822</v>
      </c>
      <c r="D254" t="inlineStr">
        <is>
          <t>VÄRMLANDS LÄN</t>
        </is>
      </c>
      <c r="E254" t="inlineStr">
        <is>
          <t>TORSBY</t>
        </is>
      </c>
      <c r="G254" t="n">
        <v>4.6</v>
      </c>
      <c r="H254" t="n">
        <v>0</v>
      </c>
      <c r="I254" t="n">
        <v>0</v>
      </c>
      <c r="J254" t="n">
        <v>0</v>
      </c>
      <c r="K254" t="n">
        <v>0</v>
      </c>
      <c r="L254" t="n">
        <v>0</v>
      </c>
      <c r="M254" t="n">
        <v>0</v>
      </c>
      <c r="N254" t="n">
        <v>0</v>
      </c>
      <c r="O254" t="n">
        <v>0</v>
      </c>
      <c r="P254" t="n">
        <v>0</v>
      </c>
      <c r="Q254" t="n">
        <v>0</v>
      </c>
      <c r="R254" s="2" t="inlineStr"/>
    </row>
    <row r="255" ht="15" customHeight="1">
      <c r="A255" t="inlineStr">
        <is>
          <t>A 32443-2019</t>
        </is>
      </c>
      <c r="B255" s="1" t="n">
        <v>43644</v>
      </c>
      <c r="C255" s="1" t="n">
        <v>45822</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32298-2019</t>
        </is>
      </c>
      <c r="B256" s="1" t="n">
        <v>43644</v>
      </c>
      <c r="C256" s="1" t="n">
        <v>45822</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32468-2019</t>
        </is>
      </c>
      <c r="B257" s="1" t="n">
        <v>43644</v>
      </c>
      <c r="C257" s="1" t="n">
        <v>45822</v>
      </c>
      <c r="D257" t="inlineStr">
        <is>
          <t>VÄRMLANDS LÄN</t>
        </is>
      </c>
      <c r="E257" t="inlineStr">
        <is>
          <t>TORSBY</t>
        </is>
      </c>
      <c r="G257" t="n">
        <v>4.7</v>
      </c>
      <c r="H257" t="n">
        <v>0</v>
      </c>
      <c r="I257" t="n">
        <v>0</v>
      </c>
      <c r="J257" t="n">
        <v>0</v>
      </c>
      <c r="K257" t="n">
        <v>0</v>
      </c>
      <c r="L257" t="n">
        <v>0</v>
      </c>
      <c r="M257" t="n">
        <v>0</v>
      </c>
      <c r="N257" t="n">
        <v>0</v>
      </c>
      <c r="O257" t="n">
        <v>0</v>
      </c>
      <c r="P257" t="n">
        <v>0</v>
      </c>
      <c r="Q257" t="n">
        <v>0</v>
      </c>
      <c r="R257" s="2" t="inlineStr"/>
    </row>
    <row r="258" ht="15" customHeight="1">
      <c r="A258" t="inlineStr">
        <is>
          <t>A 32444-2019</t>
        </is>
      </c>
      <c r="B258" s="1" t="n">
        <v>43644</v>
      </c>
      <c r="C258" s="1" t="n">
        <v>45822</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33918-2019</t>
        </is>
      </c>
      <c r="B259" s="1" t="n">
        <v>43654</v>
      </c>
      <c r="C259" s="1" t="n">
        <v>45822</v>
      </c>
      <c r="D259" t="inlineStr">
        <is>
          <t>VÄRMLANDS LÄN</t>
        </is>
      </c>
      <c r="E259" t="inlineStr">
        <is>
          <t>TORSBY</t>
        </is>
      </c>
      <c r="G259" t="n">
        <v>1.6</v>
      </c>
      <c r="H259" t="n">
        <v>0</v>
      </c>
      <c r="I259" t="n">
        <v>0</v>
      </c>
      <c r="J259" t="n">
        <v>0</v>
      </c>
      <c r="K259" t="n">
        <v>0</v>
      </c>
      <c r="L259" t="n">
        <v>0</v>
      </c>
      <c r="M259" t="n">
        <v>0</v>
      </c>
      <c r="N259" t="n">
        <v>0</v>
      </c>
      <c r="O259" t="n">
        <v>0</v>
      </c>
      <c r="P259" t="n">
        <v>0</v>
      </c>
      <c r="Q259" t="n">
        <v>0</v>
      </c>
      <c r="R259" s="2" t="inlineStr"/>
    </row>
    <row r="260" ht="15" customHeight="1">
      <c r="A260" t="inlineStr">
        <is>
          <t>A 35505-2019</t>
        </is>
      </c>
      <c r="B260" s="1" t="n">
        <v>43654</v>
      </c>
      <c r="C260" s="1" t="n">
        <v>45822</v>
      </c>
      <c r="D260" t="inlineStr">
        <is>
          <t>VÄRMLANDS LÄN</t>
        </is>
      </c>
      <c r="E260" t="inlineStr">
        <is>
          <t>TORSBY</t>
        </is>
      </c>
      <c r="G260" t="n">
        <v>0.8</v>
      </c>
      <c r="H260" t="n">
        <v>0</v>
      </c>
      <c r="I260" t="n">
        <v>0</v>
      </c>
      <c r="J260" t="n">
        <v>0</v>
      </c>
      <c r="K260" t="n">
        <v>0</v>
      </c>
      <c r="L260" t="n">
        <v>0</v>
      </c>
      <c r="M260" t="n">
        <v>0</v>
      </c>
      <c r="N260" t="n">
        <v>0</v>
      </c>
      <c r="O260" t="n">
        <v>0</v>
      </c>
      <c r="P260" t="n">
        <v>0</v>
      </c>
      <c r="Q260" t="n">
        <v>0</v>
      </c>
      <c r="R260" s="2" t="inlineStr"/>
    </row>
    <row r="261" ht="15" customHeight="1">
      <c r="A261" t="inlineStr">
        <is>
          <t>A 35788-2019</t>
        </is>
      </c>
      <c r="B261" s="1" t="n">
        <v>43656</v>
      </c>
      <c r="C261" s="1" t="n">
        <v>45822</v>
      </c>
      <c r="D261" t="inlineStr">
        <is>
          <t>VÄRMLANDS LÄN</t>
        </is>
      </c>
      <c r="E261" t="inlineStr">
        <is>
          <t>TORSBY</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34541-2019</t>
        </is>
      </c>
      <c r="B262" s="1" t="n">
        <v>43657</v>
      </c>
      <c r="C262" s="1" t="n">
        <v>45822</v>
      </c>
      <c r="D262" t="inlineStr">
        <is>
          <t>VÄRMLANDS LÄN</t>
        </is>
      </c>
      <c r="E262" t="inlineStr">
        <is>
          <t>TORSBY</t>
        </is>
      </c>
      <c r="G262" t="n">
        <v>5.7</v>
      </c>
      <c r="H262" t="n">
        <v>0</v>
      </c>
      <c r="I262" t="n">
        <v>0</v>
      </c>
      <c r="J262" t="n">
        <v>0</v>
      </c>
      <c r="K262" t="n">
        <v>0</v>
      </c>
      <c r="L262" t="n">
        <v>0</v>
      </c>
      <c r="M262" t="n">
        <v>0</v>
      </c>
      <c r="N262" t="n">
        <v>0</v>
      </c>
      <c r="O262" t="n">
        <v>0</v>
      </c>
      <c r="P262" t="n">
        <v>0</v>
      </c>
      <c r="Q262" t="n">
        <v>0</v>
      </c>
      <c r="R262" s="2" t="inlineStr"/>
    </row>
    <row r="263" ht="15" customHeight="1">
      <c r="A263" t="inlineStr">
        <is>
          <t>A 36480-2019</t>
        </is>
      </c>
      <c r="B263" s="1" t="n">
        <v>43668</v>
      </c>
      <c r="C263" s="1" t="n">
        <v>45822</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38010-2019</t>
        </is>
      </c>
      <c r="B264" s="1" t="n">
        <v>43669</v>
      </c>
      <c r="C264" s="1" t="n">
        <v>45822</v>
      </c>
      <c r="D264" t="inlineStr">
        <is>
          <t>VÄRMLANDS LÄN</t>
        </is>
      </c>
      <c r="E264" t="inlineStr">
        <is>
          <t>TORSBY</t>
        </is>
      </c>
      <c r="G264" t="n">
        <v>6.2</v>
      </c>
      <c r="H264" t="n">
        <v>0</v>
      </c>
      <c r="I264" t="n">
        <v>0</v>
      </c>
      <c r="J264" t="n">
        <v>0</v>
      </c>
      <c r="K264" t="n">
        <v>0</v>
      </c>
      <c r="L264" t="n">
        <v>0</v>
      </c>
      <c r="M264" t="n">
        <v>0</v>
      </c>
      <c r="N264" t="n">
        <v>0</v>
      </c>
      <c r="O264" t="n">
        <v>0</v>
      </c>
      <c r="P264" t="n">
        <v>0</v>
      </c>
      <c r="Q264" t="n">
        <v>0</v>
      </c>
      <c r="R264" s="2" t="inlineStr"/>
    </row>
    <row r="265" ht="15" customHeight="1">
      <c r="A265" t="inlineStr">
        <is>
          <t>A 38003-2019</t>
        </is>
      </c>
      <c r="B265" s="1" t="n">
        <v>43669</v>
      </c>
      <c r="C265" s="1" t="n">
        <v>45822</v>
      </c>
      <c r="D265" t="inlineStr">
        <is>
          <t>VÄRMLANDS LÄN</t>
        </is>
      </c>
      <c r="E265" t="inlineStr">
        <is>
          <t>TORSBY</t>
        </is>
      </c>
      <c r="G265" t="n">
        <v>3.1</v>
      </c>
      <c r="H265" t="n">
        <v>0</v>
      </c>
      <c r="I265" t="n">
        <v>0</v>
      </c>
      <c r="J265" t="n">
        <v>0</v>
      </c>
      <c r="K265" t="n">
        <v>0</v>
      </c>
      <c r="L265" t="n">
        <v>0</v>
      </c>
      <c r="M265" t="n">
        <v>0</v>
      </c>
      <c r="N265" t="n">
        <v>0</v>
      </c>
      <c r="O265" t="n">
        <v>0</v>
      </c>
      <c r="P265" t="n">
        <v>0</v>
      </c>
      <c r="Q265" t="n">
        <v>0</v>
      </c>
      <c r="R265" s="2" t="inlineStr"/>
    </row>
    <row r="266" ht="15" customHeight="1">
      <c r="A266" t="inlineStr">
        <is>
          <t>A 36712-2019</t>
        </is>
      </c>
      <c r="B266" s="1" t="n">
        <v>43669</v>
      </c>
      <c r="C266" s="1" t="n">
        <v>45822</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36682-2019</t>
        </is>
      </c>
      <c r="B267" s="1" t="n">
        <v>43670</v>
      </c>
      <c r="C267" s="1" t="n">
        <v>45822</v>
      </c>
      <c r="D267" t="inlineStr">
        <is>
          <t>VÄRMLANDS LÄN</t>
        </is>
      </c>
      <c r="E267" t="inlineStr">
        <is>
          <t>TORSBY</t>
        </is>
      </c>
      <c r="G267" t="n">
        <v>8.1</v>
      </c>
      <c r="H267" t="n">
        <v>0</v>
      </c>
      <c r="I267" t="n">
        <v>0</v>
      </c>
      <c r="J267" t="n">
        <v>0</v>
      </c>
      <c r="K267" t="n">
        <v>0</v>
      </c>
      <c r="L267" t="n">
        <v>0</v>
      </c>
      <c r="M267" t="n">
        <v>0</v>
      </c>
      <c r="N267" t="n">
        <v>0</v>
      </c>
      <c r="O267" t="n">
        <v>0</v>
      </c>
      <c r="P267" t="n">
        <v>0</v>
      </c>
      <c r="Q267" t="n">
        <v>0</v>
      </c>
      <c r="R267" s="2" t="inlineStr"/>
    </row>
    <row r="268" ht="15" customHeight="1">
      <c r="A268" t="inlineStr">
        <is>
          <t>A 36734-2019</t>
        </is>
      </c>
      <c r="B268" s="1" t="n">
        <v>43672</v>
      </c>
      <c r="C268" s="1" t="n">
        <v>45822</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36820-2019</t>
        </is>
      </c>
      <c r="B269" s="1" t="n">
        <v>43673</v>
      </c>
      <c r="C269" s="1" t="n">
        <v>45822</v>
      </c>
      <c r="D269" t="inlineStr">
        <is>
          <t>VÄRMLANDS LÄN</t>
        </is>
      </c>
      <c r="E269" t="inlineStr">
        <is>
          <t>TORSBY</t>
        </is>
      </c>
      <c r="G269" t="n">
        <v>0.2</v>
      </c>
      <c r="H269" t="n">
        <v>0</v>
      </c>
      <c r="I269" t="n">
        <v>0</v>
      </c>
      <c r="J269" t="n">
        <v>0</v>
      </c>
      <c r="K269" t="n">
        <v>0</v>
      </c>
      <c r="L269" t="n">
        <v>0</v>
      </c>
      <c r="M269" t="n">
        <v>0</v>
      </c>
      <c r="N269" t="n">
        <v>0</v>
      </c>
      <c r="O269" t="n">
        <v>0</v>
      </c>
      <c r="P269" t="n">
        <v>0</v>
      </c>
      <c r="Q269" t="n">
        <v>0</v>
      </c>
      <c r="R269" s="2" t="inlineStr"/>
    </row>
    <row r="270" ht="15" customHeight="1">
      <c r="A270" t="inlineStr">
        <is>
          <t>A 37005-2019</t>
        </is>
      </c>
      <c r="B270" s="1" t="n">
        <v>43676</v>
      </c>
      <c r="C270" s="1" t="n">
        <v>45822</v>
      </c>
      <c r="D270" t="inlineStr">
        <is>
          <t>VÄRMLANDS LÄN</t>
        </is>
      </c>
      <c r="E270" t="inlineStr">
        <is>
          <t>TORSBY</t>
        </is>
      </c>
      <c r="G270" t="n">
        <v>1.6</v>
      </c>
      <c r="H270" t="n">
        <v>0</v>
      </c>
      <c r="I270" t="n">
        <v>0</v>
      </c>
      <c r="J270" t="n">
        <v>0</v>
      </c>
      <c r="K270" t="n">
        <v>0</v>
      </c>
      <c r="L270" t="n">
        <v>0</v>
      </c>
      <c r="M270" t="n">
        <v>0</v>
      </c>
      <c r="N270" t="n">
        <v>0</v>
      </c>
      <c r="O270" t="n">
        <v>0</v>
      </c>
      <c r="P270" t="n">
        <v>0</v>
      </c>
      <c r="Q270" t="n">
        <v>0</v>
      </c>
      <c r="R270" s="2" t="inlineStr"/>
    </row>
    <row r="271" ht="15" customHeight="1">
      <c r="A271" t="inlineStr">
        <is>
          <t>A 37719-2019</t>
        </is>
      </c>
      <c r="B271" s="1" t="n">
        <v>43682</v>
      </c>
      <c r="C271" s="1" t="n">
        <v>45822</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38068-2019</t>
        </is>
      </c>
      <c r="B272" s="1" t="n">
        <v>43683</v>
      </c>
      <c r="C272" s="1" t="n">
        <v>45822</v>
      </c>
      <c r="D272" t="inlineStr">
        <is>
          <t>VÄRMLANDS LÄN</t>
        </is>
      </c>
      <c r="E272" t="inlineStr">
        <is>
          <t>TORSBY</t>
        </is>
      </c>
      <c r="G272" t="n">
        <v>2.7</v>
      </c>
      <c r="H272" t="n">
        <v>0</v>
      </c>
      <c r="I272" t="n">
        <v>0</v>
      </c>
      <c r="J272" t="n">
        <v>0</v>
      </c>
      <c r="K272" t="n">
        <v>0</v>
      </c>
      <c r="L272" t="n">
        <v>0</v>
      </c>
      <c r="M272" t="n">
        <v>0</v>
      </c>
      <c r="N272" t="n">
        <v>0</v>
      </c>
      <c r="O272" t="n">
        <v>0</v>
      </c>
      <c r="P272" t="n">
        <v>0</v>
      </c>
      <c r="Q272" t="n">
        <v>0</v>
      </c>
      <c r="R272" s="2" t="inlineStr"/>
    </row>
    <row r="273" ht="15" customHeight="1">
      <c r="A273" t="inlineStr">
        <is>
          <t>A 38265-2019</t>
        </is>
      </c>
      <c r="B273" s="1" t="n">
        <v>43684</v>
      </c>
      <c r="C273" s="1" t="n">
        <v>45822</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39213-2019</t>
        </is>
      </c>
      <c r="B274" s="1" t="n">
        <v>43690</v>
      </c>
      <c r="C274" s="1" t="n">
        <v>45822</v>
      </c>
      <c r="D274" t="inlineStr">
        <is>
          <t>VÄRMLANDS LÄN</t>
        </is>
      </c>
      <c r="E274" t="inlineStr">
        <is>
          <t>TORSBY</t>
        </is>
      </c>
      <c r="G274" t="n">
        <v>1.8</v>
      </c>
      <c r="H274" t="n">
        <v>0</v>
      </c>
      <c r="I274" t="n">
        <v>0</v>
      </c>
      <c r="J274" t="n">
        <v>0</v>
      </c>
      <c r="K274" t="n">
        <v>0</v>
      </c>
      <c r="L274" t="n">
        <v>0</v>
      </c>
      <c r="M274" t="n">
        <v>0</v>
      </c>
      <c r="N274" t="n">
        <v>0</v>
      </c>
      <c r="O274" t="n">
        <v>0</v>
      </c>
      <c r="P274" t="n">
        <v>0</v>
      </c>
      <c r="Q274" t="n">
        <v>0</v>
      </c>
      <c r="R274" s="2" t="inlineStr"/>
    </row>
    <row r="275" ht="15" customHeight="1">
      <c r="A275" t="inlineStr">
        <is>
          <t>A 40632-2019</t>
        </is>
      </c>
      <c r="B275" s="1" t="n">
        <v>43696</v>
      </c>
      <c r="C275" s="1" t="n">
        <v>45822</v>
      </c>
      <c r="D275" t="inlineStr">
        <is>
          <t>VÄRMLANDS LÄN</t>
        </is>
      </c>
      <c r="E275" t="inlineStr">
        <is>
          <t>TORSBY</t>
        </is>
      </c>
      <c r="G275" t="n">
        <v>4.2</v>
      </c>
      <c r="H275" t="n">
        <v>0</v>
      </c>
      <c r="I275" t="n">
        <v>0</v>
      </c>
      <c r="J275" t="n">
        <v>0</v>
      </c>
      <c r="K275" t="n">
        <v>0</v>
      </c>
      <c r="L275" t="n">
        <v>0</v>
      </c>
      <c r="M275" t="n">
        <v>0</v>
      </c>
      <c r="N275" t="n">
        <v>0</v>
      </c>
      <c r="O275" t="n">
        <v>0</v>
      </c>
      <c r="P275" t="n">
        <v>0</v>
      </c>
      <c r="Q275" t="n">
        <v>0</v>
      </c>
      <c r="R275" s="2" t="inlineStr"/>
    </row>
    <row r="276" ht="15" customHeight="1">
      <c r="A276" t="inlineStr">
        <is>
          <t>A 40589-2019</t>
        </is>
      </c>
      <c r="B276" s="1" t="n">
        <v>43696</v>
      </c>
      <c r="C276" s="1" t="n">
        <v>45822</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40810-2019</t>
        </is>
      </c>
      <c r="B277" s="1" t="n">
        <v>43697</v>
      </c>
      <c r="C277" s="1" t="n">
        <v>45822</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41698-2019</t>
        </is>
      </c>
      <c r="B278" s="1" t="n">
        <v>43697</v>
      </c>
      <c r="C278" s="1" t="n">
        <v>45822</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42441-2019</t>
        </is>
      </c>
      <c r="B279" s="1" t="n">
        <v>43697</v>
      </c>
      <c r="C279" s="1" t="n">
        <v>45822</v>
      </c>
      <c r="D279" t="inlineStr">
        <is>
          <t>VÄRMLANDS LÄN</t>
        </is>
      </c>
      <c r="E279" t="inlineStr">
        <is>
          <t>TORSBY</t>
        </is>
      </c>
      <c r="G279" t="n">
        <v>2.4</v>
      </c>
      <c r="H279" t="n">
        <v>0</v>
      </c>
      <c r="I279" t="n">
        <v>0</v>
      </c>
      <c r="J279" t="n">
        <v>0</v>
      </c>
      <c r="K279" t="n">
        <v>0</v>
      </c>
      <c r="L279" t="n">
        <v>0</v>
      </c>
      <c r="M279" t="n">
        <v>0</v>
      </c>
      <c r="N279" t="n">
        <v>0</v>
      </c>
      <c r="O279" t="n">
        <v>0</v>
      </c>
      <c r="P279" t="n">
        <v>0</v>
      </c>
      <c r="Q279" t="n">
        <v>0</v>
      </c>
      <c r="R279" s="2" t="inlineStr"/>
    </row>
    <row r="280" ht="15" customHeight="1">
      <c r="A280" t="inlineStr">
        <is>
          <t>A 41436-2019</t>
        </is>
      </c>
      <c r="B280" s="1" t="n">
        <v>43698</v>
      </c>
      <c r="C280" s="1" t="n">
        <v>45822</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41435-2019</t>
        </is>
      </c>
      <c r="B281" s="1" t="n">
        <v>43698</v>
      </c>
      <c r="C281" s="1" t="n">
        <v>45822</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41438-2019</t>
        </is>
      </c>
      <c r="B282" s="1" t="n">
        <v>43698</v>
      </c>
      <c r="C282" s="1" t="n">
        <v>45822</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41621-2019</t>
        </is>
      </c>
      <c r="B283" s="1" t="n">
        <v>43699</v>
      </c>
      <c r="C283" s="1" t="n">
        <v>45822</v>
      </c>
      <c r="D283" t="inlineStr">
        <is>
          <t>VÄRMLANDS LÄN</t>
        </is>
      </c>
      <c r="E283" t="inlineStr">
        <is>
          <t>TORSBY</t>
        </is>
      </c>
      <c r="G283" t="n">
        <v>4.2</v>
      </c>
      <c r="H283" t="n">
        <v>0</v>
      </c>
      <c r="I283" t="n">
        <v>0</v>
      </c>
      <c r="J283" t="n">
        <v>0</v>
      </c>
      <c r="K283" t="n">
        <v>0</v>
      </c>
      <c r="L283" t="n">
        <v>0</v>
      </c>
      <c r="M283" t="n">
        <v>0</v>
      </c>
      <c r="N283" t="n">
        <v>0</v>
      </c>
      <c r="O283" t="n">
        <v>0</v>
      </c>
      <c r="P283" t="n">
        <v>0</v>
      </c>
      <c r="Q283" t="n">
        <v>0</v>
      </c>
      <c r="R283" s="2" t="inlineStr"/>
    </row>
    <row r="284" ht="15" customHeight="1">
      <c r="A284" t="inlineStr">
        <is>
          <t>A 42230-2019</t>
        </is>
      </c>
      <c r="B284" s="1" t="n">
        <v>43703</v>
      </c>
      <c r="C284" s="1" t="n">
        <v>45822</v>
      </c>
      <c r="D284" t="inlineStr">
        <is>
          <t>VÄRMLANDS LÄN</t>
        </is>
      </c>
      <c r="E284" t="inlineStr">
        <is>
          <t>TORSBY</t>
        </is>
      </c>
      <c r="G284" t="n">
        <v>1.9</v>
      </c>
      <c r="H284" t="n">
        <v>0</v>
      </c>
      <c r="I284" t="n">
        <v>0</v>
      </c>
      <c r="J284" t="n">
        <v>0</v>
      </c>
      <c r="K284" t="n">
        <v>0</v>
      </c>
      <c r="L284" t="n">
        <v>0</v>
      </c>
      <c r="M284" t="n">
        <v>0</v>
      </c>
      <c r="N284" t="n">
        <v>0</v>
      </c>
      <c r="O284" t="n">
        <v>0</v>
      </c>
      <c r="P284" t="n">
        <v>0</v>
      </c>
      <c r="Q284" t="n">
        <v>0</v>
      </c>
      <c r="R284" s="2" t="inlineStr"/>
    </row>
    <row r="285" ht="15" customHeight="1">
      <c r="A285" t="inlineStr">
        <is>
          <t>A 43273-2019</t>
        </is>
      </c>
      <c r="B285" s="1" t="n">
        <v>43704</v>
      </c>
      <c r="C285" s="1" t="n">
        <v>45822</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43897-2019</t>
        </is>
      </c>
      <c r="B286" s="1" t="n">
        <v>43707</v>
      </c>
      <c r="C286" s="1" t="n">
        <v>45822</v>
      </c>
      <c r="D286" t="inlineStr">
        <is>
          <t>VÄRMLANDS LÄN</t>
        </is>
      </c>
      <c r="E286" t="inlineStr">
        <is>
          <t>TORSBY</t>
        </is>
      </c>
      <c r="G286" t="n">
        <v>3.2</v>
      </c>
      <c r="H286" t="n">
        <v>0</v>
      </c>
      <c r="I286" t="n">
        <v>0</v>
      </c>
      <c r="J286" t="n">
        <v>0</v>
      </c>
      <c r="K286" t="n">
        <v>0</v>
      </c>
      <c r="L286" t="n">
        <v>0</v>
      </c>
      <c r="M286" t="n">
        <v>0</v>
      </c>
      <c r="N286" t="n">
        <v>0</v>
      </c>
      <c r="O286" t="n">
        <v>0</v>
      </c>
      <c r="P286" t="n">
        <v>0</v>
      </c>
      <c r="Q286" t="n">
        <v>0</v>
      </c>
      <c r="R286" s="2" t="inlineStr"/>
    </row>
    <row r="287" ht="15" customHeight="1">
      <c r="A287" t="inlineStr">
        <is>
          <t>A 44832-2019</t>
        </is>
      </c>
      <c r="B287" s="1" t="n">
        <v>43707</v>
      </c>
      <c r="C287" s="1" t="n">
        <v>45822</v>
      </c>
      <c r="D287" t="inlineStr">
        <is>
          <t>VÄRMLANDS LÄN</t>
        </is>
      </c>
      <c r="E287" t="inlineStr">
        <is>
          <t>TORSBY</t>
        </is>
      </c>
      <c r="G287" t="n">
        <v>27.1</v>
      </c>
      <c r="H287" t="n">
        <v>0</v>
      </c>
      <c r="I287" t="n">
        <v>0</v>
      </c>
      <c r="J287" t="n">
        <v>0</v>
      </c>
      <c r="K287" t="n">
        <v>0</v>
      </c>
      <c r="L287" t="n">
        <v>0</v>
      </c>
      <c r="M287" t="n">
        <v>0</v>
      </c>
      <c r="N287" t="n">
        <v>0</v>
      </c>
      <c r="O287" t="n">
        <v>0</v>
      </c>
      <c r="P287" t="n">
        <v>0</v>
      </c>
      <c r="Q287" t="n">
        <v>0</v>
      </c>
      <c r="R287" s="2" t="inlineStr"/>
    </row>
    <row r="288" ht="15" customHeight="1">
      <c r="A288" t="inlineStr">
        <is>
          <t>A 44708-2019</t>
        </is>
      </c>
      <c r="B288" s="1" t="n">
        <v>43712</v>
      </c>
      <c r="C288" s="1" t="n">
        <v>45822</v>
      </c>
      <c r="D288" t="inlineStr">
        <is>
          <t>VÄRMLANDS LÄN</t>
        </is>
      </c>
      <c r="E288" t="inlineStr">
        <is>
          <t>TORSBY</t>
        </is>
      </c>
      <c r="F288" t="inlineStr">
        <is>
          <t>Bergvik skog väst AB</t>
        </is>
      </c>
      <c r="G288" t="n">
        <v>3.7</v>
      </c>
      <c r="H288" t="n">
        <v>0</v>
      </c>
      <c r="I288" t="n">
        <v>0</v>
      </c>
      <c r="J288" t="n">
        <v>0</v>
      </c>
      <c r="K288" t="n">
        <v>0</v>
      </c>
      <c r="L288" t="n">
        <v>0</v>
      </c>
      <c r="M288" t="n">
        <v>0</v>
      </c>
      <c r="N288" t="n">
        <v>0</v>
      </c>
      <c r="O288" t="n">
        <v>0</v>
      </c>
      <c r="P288" t="n">
        <v>0</v>
      </c>
      <c r="Q288" t="n">
        <v>0</v>
      </c>
      <c r="R288" s="2" t="inlineStr"/>
    </row>
    <row r="289" ht="15" customHeight="1">
      <c r="A289" t="inlineStr">
        <is>
          <t>A 44706-2019</t>
        </is>
      </c>
      <c r="B289" s="1" t="n">
        <v>43712</v>
      </c>
      <c r="C289" s="1" t="n">
        <v>45822</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45053-2019</t>
        </is>
      </c>
      <c r="B290" s="1" t="n">
        <v>43713</v>
      </c>
      <c r="C290" s="1" t="n">
        <v>45822</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45083-2019</t>
        </is>
      </c>
      <c r="B291" s="1" t="n">
        <v>43713</v>
      </c>
      <c r="C291" s="1" t="n">
        <v>45822</v>
      </c>
      <c r="D291" t="inlineStr">
        <is>
          <t>VÄRMLANDS LÄN</t>
        </is>
      </c>
      <c r="E291" t="inlineStr">
        <is>
          <t>TORSBY</t>
        </is>
      </c>
      <c r="F291" t="inlineStr">
        <is>
          <t>Bergvik skog väst AB</t>
        </is>
      </c>
      <c r="G291" t="n">
        <v>37.8</v>
      </c>
      <c r="H291" t="n">
        <v>0</v>
      </c>
      <c r="I291" t="n">
        <v>0</v>
      </c>
      <c r="J291" t="n">
        <v>0</v>
      </c>
      <c r="K291" t="n">
        <v>0</v>
      </c>
      <c r="L291" t="n">
        <v>0</v>
      </c>
      <c r="M291" t="n">
        <v>0</v>
      </c>
      <c r="N291" t="n">
        <v>0</v>
      </c>
      <c r="O291" t="n">
        <v>0</v>
      </c>
      <c r="P291" t="n">
        <v>0</v>
      </c>
      <c r="Q291" t="n">
        <v>0</v>
      </c>
      <c r="R291" s="2" t="inlineStr"/>
    </row>
    <row r="292" ht="15" customHeight="1">
      <c r="A292" t="inlineStr">
        <is>
          <t>A 45189-2019</t>
        </is>
      </c>
      <c r="B292" s="1" t="n">
        <v>43713</v>
      </c>
      <c r="C292" s="1" t="n">
        <v>45822</v>
      </c>
      <c r="D292" t="inlineStr">
        <is>
          <t>VÄRMLANDS LÄN</t>
        </is>
      </c>
      <c r="E292" t="inlineStr">
        <is>
          <t>TORSBY</t>
        </is>
      </c>
      <c r="G292" t="n">
        <v>0.5</v>
      </c>
      <c r="H292" t="n">
        <v>0</v>
      </c>
      <c r="I292" t="n">
        <v>0</v>
      </c>
      <c r="J292" t="n">
        <v>0</v>
      </c>
      <c r="K292" t="n">
        <v>0</v>
      </c>
      <c r="L292" t="n">
        <v>0</v>
      </c>
      <c r="M292" t="n">
        <v>0</v>
      </c>
      <c r="N292" t="n">
        <v>0</v>
      </c>
      <c r="O292" t="n">
        <v>0</v>
      </c>
      <c r="P292" t="n">
        <v>0</v>
      </c>
      <c r="Q292" t="n">
        <v>0</v>
      </c>
      <c r="R292" s="2" t="inlineStr"/>
    </row>
    <row r="293" ht="15" customHeight="1">
      <c r="A293" t="inlineStr">
        <is>
          <t>A 45068-2019</t>
        </is>
      </c>
      <c r="B293" s="1" t="n">
        <v>43713</v>
      </c>
      <c r="C293" s="1" t="n">
        <v>45822</v>
      </c>
      <c r="D293" t="inlineStr">
        <is>
          <t>VÄRMLANDS LÄN</t>
        </is>
      </c>
      <c r="E293" t="inlineStr">
        <is>
          <t>TORSBY</t>
        </is>
      </c>
      <c r="G293" t="n">
        <v>2.4</v>
      </c>
      <c r="H293" t="n">
        <v>0</v>
      </c>
      <c r="I293" t="n">
        <v>0</v>
      </c>
      <c r="J293" t="n">
        <v>0</v>
      </c>
      <c r="K293" t="n">
        <v>0</v>
      </c>
      <c r="L293" t="n">
        <v>0</v>
      </c>
      <c r="M293" t="n">
        <v>0</v>
      </c>
      <c r="N293" t="n">
        <v>0</v>
      </c>
      <c r="O293" t="n">
        <v>0</v>
      </c>
      <c r="P293" t="n">
        <v>0</v>
      </c>
      <c r="Q293" t="n">
        <v>0</v>
      </c>
      <c r="R293" s="2" t="inlineStr"/>
    </row>
    <row r="294" ht="15" customHeight="1">
      <c r="A294" t="inlineStr">
        <is>
          <t>A 45891-2019</t>
        </is>
      </c>
      <c r="B294" s="1" t="n">
        <v>43717</v>
      </c>
      <c r="C294" s="1" t="n">
        <v>45822</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46738-2019</t>
        </is>
      </c>
      <c r="B295" s="1" t="n">
        <v>43719</v>
      </c>
      <c r="C295" s="1" t="n">
        <v>45822</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46743-2019</t>
        </is>
      </c>
      <c r="B296" s="1" t="n">
        <v>43719</v>
      </c>
      <c r="C296" s="1" t="n">
        <v>45822</v>
      </c>
      <c r="D296" t="inlineStr">
        <is>
          <t>VÄRMLANDS LÄN</t>
        </is>
      </c>
      <c r="E296" t="inlineStr">
        <is>
          <t>TORSBY</t>
        </is>
      </c>
      <c r="G296" t="n">
        <v>7</v>
      </c>
      <c r="H296" t="n">
        <v>0</v>
      </c>
      <c r="I296" t="n">
        <v>0</v>
      </c>
      <c r="J296" t="n">
        <v>0</v>
      </c>
      <c r="K296" t="n">
        <v>0</v>
      </c>
      <c r="L296" t="n">
        <v>0</v>
      </c>
      <c r="M296" t="n">
        <v>0</v>
      </c>
      <c r="N296" t="n">
        <v>0</v>
      </c>
      <c r="O296" t="n">
        <v>0</v>
      </c>
      <c r="P296" t="n">
        <v>0</v>
      </c>
      <c r="Q296" t="n">
        <v>0</v>
      </c>
      <c r="R296" s="2" t="inlineStr"/>
    </row>
    <row r="297" ht="15" customHeight="1">
      <c r="A297" t="inlineStr">
        <is>
          <t>A 47114-2019</t>
        </is>
      </c>
      <c r="B297" s="1" t="n">
        <v>43720</v>
      </c>
      <c r="C297" s="1" t="n">
        <v>45822</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47214-2019</t>
        </is>
      </c>
      <c r="B298" s="1" t="n">
        <v>43721</v>
      </c>
      <c r="C298" s="1" t="n">
        <v>45822</v>
      </c>
      <c r="D298" t="inlineStr">
        <is>
          <t>VÄRMLANDS LÄN</t>
        </is>
      </c>
      <c r="E298" t="inlineStr">
        <is>
          <t>TORSBY</t>
        </is>
      </c>
      <c r="G298" t="n">
        <v>3</v>
      </c>
      <c r="H298" t="n">
        <v>0</v>
      </c>
      <c r="I298" t="n">
        <v>0</v>
      </c>
      <c r="J298" t="n">
        <v>0</v>
      </c>
      <c r="K298" t="n">
        <v>0</v>
      </c>
      <c r="L298" t="n">
        <v>0</v>
      </c>
      <c r="M298" t="n">
        <v>0</v>
      </c>
      <c r="N298" t="n">
        <v>0</v>
      </c>
      <c r="O298" t="n">
        <v>0</v>
      </c>
      <c r="P298" t="n">
        <v>0</v>
      </c>
      <c r="Q298" t="n">
        <v>0</v>
      </c>
      <c r="R298" s="2" t="inlineStr"/>
    </row>
    <row r="299" ht="15" customHeight="1">
      <c r="A299" t="inlineStr">
        <is>
          <t>A 47137-2019</t>
        </is>
      </c>
      <c r="B299" s="1" t="n">
        <v>43721</v>
      </c>
      <c r="C299" s="1" t="n">
        <v>45822</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47316-2019</t>
        </is>
      </c>
      <c r="B300" s="1" t="n">
        <v>43721</v>
      </c>
      <c r="C300" s="1" t="n">
        <v>45822</v>
      </c>
      <c r="D300" t="inlineStr">
        <is>
          <t>VÄRMLANDS LÄN</t>
        </is>
      </c>
      <c r="E300" t="inlineStr">
        <is>
          <t>TORSBY</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47608-2019</t>
        </is>
      </c>
      <c r="B301" s="1" t="n">
        <v>43724</v>
      </c>
      <c r="C301" s="1" t="n">
        <v>45822</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47772-2019</t>
        </is>
      </c>
      <c r="B302" s="1" t="n">
        <v>43724</v>
      </c>
      <c r="C302" s="1" t="n">
        <v>45822</v>
      </c>
      <c r="D302" t="inlineStr">
        <is>
          <t>VÄRMLANDS LÄN</t>
        </is>
      </c>
      <c r="E302" t="inlineStr">
        <is>
          <t>TORSBY</t>
        </is>
      </c>
      <c r="G302" t="n">
        <v>3.9</v>
      </c>
      <c r="H302" t="n">
        <v>0</v>
      </c>
      <c r="I302" t="n">
        <v>0</v>
      </c>
      <c r="J302" t="n">
        <v>0</v>
      </c>
      <c r="K302" t="n">
        <v>0</v>
      </c>
      <c r="L302" t="n">
        <v>0</v>
      </c>
      <c r="M302" t="n">
        <v>0</v>
      </c>
      <c r="N302" t="n">
        <v>0</v>
      </c>
      <c r="O302" t="n">
        <v>0</v>
      </c>
      <c r="P302" t="n">
        <v>0</v>
      </c>
      <c r="Q302" t="n">
        <v>0</v>
      </c>
      <c r="R302" s="2" t="inlineStr"/>
    </row>
    <row r="303" ht="15" customHeight="1">
      <c r="A303" t="inlineStr">
        <is>
          <t>A 47648-2019</t>
        </is>
      </c>
      <c r="B303" s="1" t="n">
        <v>43724</v>
      </c>
      <c r="C303" s="1" t="n">
        <v>45822</v>
      </c>
      <c r="D303" t="inlineStr">
        <is>
          <t>VÄRMLANDS LÄN</t>
        </is>
      </c>
      <c r="E303" t="inlineStr">
        <is>
          <t>TORSBY</t>
        </is>
      </c>
      <c r="G303" t="n">
        <v>2</v>
      </c>
      <c r="H303" t="n">
        <v>0</v>
      </c>
      <c r="I303" t="n">
        <v>0</v>
      </c>
      <c r="J303" t="n">
        <v>0</v>
      </c>
      <c r="K303" t="n">
        <v>0</v>
      </c>
      <c r="L303" t="n">
        <v>0</v>
      </c>
      <c r="M303" t="n">
        <v>0</v>
      </c>
      <c r="N303" t="n">
        <v>0</v>
      </c>
      <c r="O303" t="n">
        <v>0</v>
      </c>
      <c r="P303" t="n">
        <v>0</v>
      </c>
      <c r="Q303" t="n">
        <v>0</v>
      </c>
      <c r="R303" s="2" t="inlineStr"/>
    </row>
    <row r="304" ht="15" customHeight="1">
      <c r="A304" t="inlineStr">
        <is>
          <t>A 47502-2019</t>
        </is>
      </c>
      <c r="B304" s="1" t="n">
        <v>43724</v>
      </c>
      <c r="C304" s="1" t="n">
        <v>45822</v>
      </c>
      <c r="D304" t="inlineStr">
        <is>
          <t>VÄRMLANDS LÄN</t>
        </is>
      </c>
      <c r="E304" t="inlineStr">
        <is>
          <t>TORSBY</t>
        </is>
      </c>
      <c r="F304" t="inlineStr">
        <is>
          <t>Bergvik skog väst AB</t>
        </is>
      </c>
      <c r="G304" t="n">
        <v>3.4</v>
      </c>
      <c r="H304" t="n">
        <v>0</v>
      </c>
      <c r="I304" t="n">
        <v>0</v>
      </c>
      <c r="J304" t="n">
        <v>0</v>
      </c>
      <c r="K304" t="n">
        <v>0</v>
      </c>
      <c r="L304" t="n">
        <v>0</v>
      </c>
      <c r="M304" t="n">
        <v>0</v>
      </c>
      <c r="N304" t="n">
        <v>0</v>
      </c>
      <c r="O304" t="n">
        <v>0</v>
      </c>
      <c r="P304" t="n">
        <v>0</v>
      </c>
      <c r="Q304" t="n">
        <v>0</v>
      </c>
      <c r="R304" s="2" t="inlineStr"/>
    </row>
    <row r="305" ht="15" customHeight="1">
      <c r="A305" t="inlineStr">
        <is>
          <t>A 47869-2019</t>
        </is>
      </c>
      <c r="B305" s="1" t="n">
        <v>43725</v>
      </c>
      <c r="C305" s="1" t="n">
        <v>45822</v>
      </c>
      <c r="D305" t="inlineStr">
        <is>
          <t>VÄRMLANDS LÄN</t>
        </is>
      </c>
      <c r="E305" t="inlineStr">
        <is>
          <t>TORSBY</t>
        </is>
      </c>
      <c r="G305" t="n">
        <v>4.7</v>
      </c>
      <c r="H305" t="n">
        <v>0</v>
      </c>
      <c r="I305" t="n">
        <v>0</v>
      </c>
      <c r="J305" t="n">
        <v>0</v>
      </c>
      <c r="K305" t="n">
        <v>0</v>
      </c>
      <c r="L305" t="n">
        <v>0</v>
      </c>
      <c r="M305" t="n">
        <v>0</v>
      </c>
      <c r="N305" t="n">
        <v>0</v>
      </c>
      <c r="O305" t="n">
        <v>0</v>
      </c>
      <c r="P305" t="n">
        <v>0</v>
      </c>
      <c r="Q305" t="n">
        <v>0</v>
      </c>
      <c r="R305" s="2" t="inlineStr"/>
    </row>
    <row r="306" ht="15" customHeight="1">
      <c r="A306" t="inlineStr">
        <is>
          <t>A 47979-2019</t>
        </is>
      </c>
      <c r="B306" s="1" t="n">
        <v>43725</v>
      </c>
      <c r="C306" s="1" t="n">
        <v>45822</v>
      </c>
      <c r="D306" t="inlineStr">
        <is>
          <t>VÄRMLANDS LÄN</t>
        </is>
      </c>
      <c r="E306" t="inlineStr">
        <is>
          <t>TORSBY</t>
        </is>
      </c>
      <c r="G306" t="n">
        <v>1.3</v>
      </c>
      <c r="H306" t="n">
        <v>0</v>
      </c>
      <c r="I306" t="n">
        <v>0</v>
      </c>
      <c r="J306" t="n">
        <v>0</v>
      </c>
      <c r="K306" t="n">
        <v>0</v>
      </c>
      <c r="L306" t="n">
        <v>0</v>
      </c>
      <c r="M306" t="n">
        <v>0</v>
      </c>
      <c r="N306" t="n">
        <v>0</v>
      </c>
      <c r="O306" t="n">
        <v>0</v>
      </c>
      <c r="P306" t="n">
        <v>0</v>
      </c>
      <c r="Q306" t="n">
        <v>0</v>
      </c>
      <c r="R306" s="2" t="inlineStr"/>
    </row>
    <row r="307" ht="15" customHeight="1">
      <c r="A307" t="inlineStr">
        <is>
          <t>A 48040-2019</t>
        </is>
      </c>
      <c r="B307" s="1" t="n">
        <v>43725</v>
      </c>
      <c r="C307" s="1" t="n">
        <v>45822</v>
      </c>
      <c r="D307" t="inlineStr">
        <is>
          <t>VÄRMLANDS LÄN</t>
        </is>
      </c>
      <c r="E307" t="inlineStr">
        <is>
          <t>TORSBY</t>
        </is>
      </c>
      <c r="G307" t="n">
        <v>2.7</v>
      </c>
      <c r="H307" t="n">
        <v>0</v>
      </c>
      <c r="I307" t="n">
        <v>0</v>
      </c>
      <c r="J307" t="n">
        <v>0</v>
      </c>
      <c r="K307" t="n">
        <v>0</v>
      </c>
      <c r="L307" t="n">
        <v>0</v>
      </c>
      <c r="M307" t="n">
        <v>0</v>
      </c>
      <c r="N307" t="n">
        <v>0</v>
      </c>
      <c r="O307" t="n">
        <v>0</v>
      </c>
      <c r="P307" t="n">
        <v>0</v>
      </c>
      <c r="Q307" t="n">
        <v>0</v>
      </c>
      <c r="R307" s="2" t="inlineStr"/>
    </row>
    <row r="308" ht="15" customHeight="1">
      <c r="A308" t="inlineStr">
        <is>
          <t>A 48346-2019</t>
        </is>
      </c>
      <c r="B308" s="1" t="n">
        <v>43726</v>
      </c>
      <c r="C308" s="1" t="n">
        <v>45822</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48366-2019</t>
        </is>
      </c>
      <c r="B309" s="1" t="n">
        <v>43726</v>
      </c>
      <c r="C309" s="1" t="n">
        <v>45822</v>
      </c>
      <c r="D309" t="inlineStr">
        <is>
          <t>VÄRMLANDS LÄN</t>
        </is>
      </c>
      <c r="E309" t="inlineStr">
        <is>
          <t>TORSBY</t>
        </is>
      </c>
      <c r="G309" t="n">
        <v>2.3</v>
      </c>
      <c r="H309" t="n">
        <v>0</v>
      </c>
      <c r="I309" t="n">
        <v>0</v>
      </c>
      <c r="J309" t="n">
        <v>0</v>
      </c>
      <c r="K309" t="n">
        <v>0</v>
      </c>
      <c r="L309" t="n">
        <v>0</v>
      </c>
      <c r="M309" t="n">
        <v>0</v>
      </c>
      <c r="N309" t="n">
        <v>0</v>
      </c>
      <c r="O309" t="n">
        <v>0</v>
      </c>
      <c r="P309" t="n">
        <v>0</v>
      </c>
      <c r="Q309" t="n">
        <v>0</v>
      </c>
      <c r="R309" s="2" t="inlineStr"/>
    </row>
    <row r="310" ht="15" customHeight="1">
      <c r="A310" t="inlineStr">
        <is>
          <t>A 49550-2019</t>
        </is>
      </c>
      <c r="B310" s="1" t="n">
        <v>43727</v>
      </c>
      <c r="C310" s="1" t="n">
        <v>45822</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51497-2019</t>
        </is>
      </c>
      <c r="B311" s="1" t="n">
        <v>43734</v>
      </c>
      <c r="C311" s="1" t="n">
        <v>45822</v>
      </c>
      <c r="D311" t="inlineStr">
        <is>
          <t>VÄRMLANDS LÄN</t>
        </is>
      </c>
      <c r="E311" t="inlineStr">
        <is>
          <t>TORSBY</t>
        </is>
      </c>
      <c r="G311" t="n">
        <v>1.2</v>
      </c>
      <c r="H311" t="n">
        <v>0</v>
      </c>
      <c r="I311" t="n">
        <v>0</v>
      </c>
      <c r="J311" t="n">
        <v>0</v>
      </c>
      <c r="K311" t="n">
        <v>0</v>
      </c>
      <c r="L311" t="n">
        <v>0</v>
      </c>
      <c r="M311" t="n">
        <v>0</v>
      </c>
      <c r="N311" t="n">
        <v>0</v>
      </c>
      <c r="O311" t="n">
        <v>0</v>
      </c>
      <c r="P311" t="n">
        <v>0</v>
      </c>
      <c r="Q311" t="n">
        <v>0</v>
      </c>
      <c r="R311" s="2" t="inlineStr"/>
    </row>
    <row r="312" ht="15" customHeight="1">
      <c r="A312" t="inlineStr">
        <is>
          <t>A 50428-2019</t>
        </is>
      </c>
      <c r="B312" s="1" t="n">
        <v>43735</v>
      </c>
      <c r="C312" s="1" t="n">
        <v>45822</v>
      </c>
      <c r="D312" t="inlineStr">
        <is>
          <t>VÄRMLANDS LÄN</t>
        </is>
      </c>
      <c r="E312" t="inlineStr">
        <is>
          <t>TORSBY</t>
        </is>
      </c>
      <c r="G312" t="n">
        <v>0.4</v>
      </c>
      <c r="H312" t="n">
        <v>0</v>
      </c>
      <c r="I312" t="n">
        <v>0</v>
      </c>
      <c r="J312" t="n">
        <v>0</v>
      </c>
      <c r="K312" t="n">
        <v>0</v>
      </c>
      <c r="L312" t="n">
        <v>0</v>
      </c>
      <c r="M312" t="n">
        <v>0</v>
      </c>
      <c r="N312" t="n">
        <v>0</v>
      </c>
      <c r="O312" t="n">
        <v>0</v>
      </c>
      <c r="P312" t="n">
        <v>0</v>
      </c>
      <c r="Q312" t="n">
        <v>0</v>
      </c>
      <c r="R312" s="2" t="inlineStr"/>
    </row>
    <row r="313" ht="15" customHeight="1">
      <c r="A313" t="inlineStr">
        <is>
          <t>A 52319-2019</t>
        </is>
      </c>
      <c r="B313" s="1" t="n">
        <v>43735</v>
      </c>
      <c r="C313" s="1" t="n">
        <v>45822</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52326-2019</t>
        </is>
      </c>
      <c r="B314" s="1" t="n">
        <v>43735</v>
      </c>
      <c r="C314" s="1" t="n">
        <v>45822</v>
      </c>
      <c r="D314" t="inlineStr">
        <is>
          <t>VÄRMLANDS LÄN</t>
        </is>
      </c>
      <c r="E314" t="inlineStr">
        <is>
          <t>TORSBY</t>
        </is>
      </c>
      <c r="G314" t="n">
        <v>6.2</v>
      </c>
      <c r="H314" t="n">
        <v>0</v>
      </c>
      <c r="I314" t="n">
        <v>0</v>
      </c>
      <c r="J314" t="n">
        <v>0</v>
      </c>
      <c r="K314" t="n">
        <v>0</v>
      </c>
      <c r="L314" t="n">
        <v>0</v>
      </c>
      <c r="M314" t="n">
        <v>0</v>
      </c>
      <c r="N314" t="n">
        <v>0</v>
      </c>
      <c r="O314" t="n">
        <v>0</v>
      </c>
      <c r="P314" t="n">
        <v>0</v>
      </c>
      <c r="Q314" t="n">
        <v>0</v>
      </c>
      <c r="R314" s="2" t="inlineStr"/>
    </row>
    <row r="315" ht="15" customHeight="1">
      <c r="A315" t="inlineStr">
        <is>
          <t>A 52317-2019</t>
        </is>
      </c>
      <c r="B315" s="1" t="n">
        <v>43735</v>
      </c>
      <c r="C315" s="1" t="n">
        <v>45822</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51254-2019</t>
        </is>
      </c>
      <c r="B316" s="1" t="n">
        <v>43739</v>
      </c>
      <c r="C316" s="1" t="n">
        <v>45822</v>
      </c>
      <c r="D316" t="inlineStr">
        <is>
          <t>VÄRMLANDS LÄN</t>
        </is>
      </c>
      <c r="E316" t="inlineStr">
        <is>
          <t>TORSBY</t>
        </is>
      </c>
      <c r="F316" t="inlineStr">
        <is>
          <t>Bergvik skog väst AB</t>
        </is>
      </c>
      <c r="G316" t="n">
        <v>4.5</v>
      </c>
      <c r="H316" t="n">
        <v>0</v>
      </c>
      <c r="I316" t="n">
        <v>0</v>
      </c>
      <c r="J316" t="n">
        <v>0</v>
      </c>
      <c r="K316" t="n">
        <v>0</v>
      </c>
      <c r="L316" t="n">
        <v>0</v>
      </c>
      <c r="M316" t="n">
        <v>0</v>
      </c>
      <c r="N316" t="n">
        <v>0</v>
      </c>
      <c r="O316" t="n">
        <v>0</v>
      </c>
      <c r="P316" t="n">
        <v>0</v>
      </c>
      <c r="Q316" t="n">
        <v>0</v>
      </c>
      <c r="R316" s="2" t="inlineStr"/>
    </row>
    <row r="317" ht="15" customHeight="1">
      <c r="A317" t="inlineStr">
        <is>
          <t>A 52186-2019</t>
        </is>
      </c>
      <c r="B317" s="1" t="n">
        <v>43742</v>
      </c>
      <c r="C317" s="1" t="n">
        <v>45822</v>
      </c>
      <c r="D317" t="inlineStr">
        <is>
          <t>VÄRMLANDS LÄN</t>
        </is>
      </c>
      <c r="E317" t="inlineStr">
        <is>
          <t>TORSBY</t>
        </is>
      </c>
      <c r="G317" t="n">
        <v>3.6</v>
      </c>
      <c r="H317" t="n">
        <v>0</v>
      </c>
      <c r="I317" t="n">
        <v>0</v>
      </c>
      <c r="J317" t="n">
        <v>0</v>
      </c>
      <c r="K317" t="n">
        <v>0</v>
      </c>
      <c r="L317" t="n">
        <v>0</v>
      </c>
      <c r="M317" t="n">
        <v>0</v>
      </c>
      <c r="N317" t="n">
        <v>0</v>
      </c>
      <c r="O317" t="n">
        <v>0</v>
      </c>
      <c r="P317" t="n">
        <v>0</v>
      </c>
      <c r="Q317" t="n">
        <v>0</v>
      </c>
      <c r="R317" s="2" t="inlineStr"/>
    </row>
    <row r="318" ht="15" customHeight="1">
      <c r="A318" t="inlineStr">
        <is>
          <t>A 52311-2019</t>
        </is>
      </c>
      <c r="B318" s="1" t="n">
        <v>43745</v>
      </c>
      <c r="C318" s="1" t="n">
        <v>45822</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52674-2019</t>
        </is>
      </c>
      <c r="B319" s="1" t="n">
        <v>43746</v>
      </c>
      <c r="C319" s="1" t="n">
        <v>45822</v>
      </c>
      <c r="D319" t="inlineStr">
        <is>
          <t>VÄRMLANDS LÄN</t>
        </is>
      </c>
      <c r="E319" t="inlineStr">
        <is>
          <t>TORSBY</t>
        </is>
      </c>
      <c r="F319" t="inlineStr">
        <is>
          <t>Bergvik skog väst AB</t>
        </is>
      </c>
      <c r="G319" t="n">
        <v>26.4</v>
      </c>
      <c r="H319" t="n">
        <v>0</v>
      </c>
      <c r="I319" t="n">
        <v>0</v>
      </c>
      <c r="J319" t="n">
        <v>0</v>
      </c>
      <c r="K319" t="n">
        <v>0</v>
      </c>
      <c r="L319" t="n">
        <v>0</v>
      </c>
      <c r="M319" t="n">
        <v>0</v>
      </c>
      <c r="N319" t="n">
        <v>0</v>
      </c>
      <c r="O319" t="n">
        <v>0</v>
      </c>
      <c r="P319" t="n">
        <v>0</v>
      </c>
      <c r="Q319" t="n">
        <v>0</v>
      </c>
      <c r="R319" s="2" t="inlineStr"/>
    </row>
    <row r="320" ht="15" customHeight="1">
      <c r="A320" t="inlineStr">
        <is>
          <t>A 52885-2019</t>
        </is>
      </c>
      <c r="B320" s="1" t="n">
        <v>43746</v>
      </c>
      <c r="C320" s="1" t="n">
        <v>45822</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53271-2019</t>
        </is>
      </c>
      <c r="B321" s="1" t="n">
        <v>43748</v>
      </c>
      <c r="C321" s="1" t="n">
        <v>45822</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54764-2019</t>
        </is>
      </c>
      <c r="B322" s="1" t="n">
        <v>43748</v>
      </c>
      <c r="C322" s="1" t="n">
        <v>45822</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53635-2019</t>
        </is>
      </c>
      <c r="B323" s="1" t="n">
        <v>43749</v>
      </c>
      <c r="C323" s="1" t="n">
        <v>45822</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53746-2019</t>
        </is>
      </c>
      <c r="B324" s="1" t="n">
        <v>43749</v>
      </c>
      <c r="C324" s="1" t="n">
        <v>45822</v>
      </c>
      <c r="D324" t="inlineStr">
        <is>
          <t>VÄRMLANDS LÄN</t>
        </is>
      </c>
      <c r="E324" t="inlineStr">
        <is>
          <t>TORSBY</t>
        </is>
      </c>
      <c r="G324" t="n">
        <v>0.3</v>
      </c>
      <c r="H324" t="n">
        <v>0</v>
      </c>
      <c r="I324" t="n">
        <v>0</v>
      </c>
      <c r="J324" t="n">
        <v>0</v>
      </c>
      <c r="K324" t="n">
        <v>0</v>
      </c>
      <c r="L324" t="n">
        <v>0</v>
      </c>
      <c r="M324" t="n">
        <v>0</v>
      </c>
      <c r="N324" t="n">
        <v>0</v>
      </c>
      <c r="O324" t="n">
        <v>0</v>
      </c>
      <c r="P324" t="n">
        <v>0</v>
      </c>
      <c r="Q324" t="n">
        <v>0</v>
      </c>
      <c r="R324" s="2" t="inlineStr"/>
    </row>
    <row r="325" ht="15" customHeight="1">
      <c r="A325" t="inlineStr">
        <is>
          <t>A 53744-2019</t>
        </is>
      </c>
      <c r="B325" s="1" t="n">
        <v>43749</v>
      </c>
      <c r="C325" s="1" t="n">
        <v>45822</v>
      </c>
      <c r="D325" t="inlineStr">
        <is>
          <t>VÄRMLANDS LÄN</t>
        </is>
      </c>
      <c r="E325" t="inlineStr">
        <is>
          <t>TORSBY</t>
        </is>
      </c>
      <c r="G325" t="n">
        <v>0.4</v>
      </c>
      <c r="H325" t="n">
        <v>0</v>
      </c>
      <c r="I325" t="n">
        <v>0</v>
      </c>
      <c r="J325" t="n">
        <v>0</v>
      </c>
      <c r="K325" t="n">
        <v>0</v>
      </c>
      <c r="L325" t="n">
        <v>0</v>
      </c>
      <c r="M325" t="n">
        <v>0</v>
      </c>
      <c r="N325" t="n">
        <v>0</v>
      </c>
      <c r="O325" t="n">
        <v>0</v>
      </c>
      <c r="P325" t="n">
        <v>0</v>
      </c>
      <c r="Q325" t="n">
        <v>0</v>
      </c>
      <c r="R325" s="2" t="inlineStr"/>
    </row>
    <row r="326" ht="15" customHeight="1">
      <c r="A326" t="inlineStr">
        <is>
          <t>A 54437-2019</t>
        </is>
      </c>
      <c r="B326" s="1" t="n">
        <v>43754</v>
      </c>
      <c r="C326" s="1" t="n">
        <v>45822</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56256-2019</t>
        </is>
      </c>
      <c r="B327" s="1" t="n">
        <v>43756</v>
      </c>
      <c r="C327" s="1" t="n">
        <v>45822</v>
      </c>
      <c r="D327" t="inlineStr">
        <is>
          <t>VÄRMLANDS LÄN</t>
        </is>
      </c>
      <c r="E327" t="inlineStr">
        <is>
          <t>TORSBY</t>
        </is>
      </c>
      <c r="G327" t="n">
        <v>2.2</v>
      </c>
      <c r="H327" t="n">
        <v>0</v>
      </c>
      <c r="I327" t="n">
        <v>0</v>
      </c>
      <c r="J327" t="n">
        <v>0</v>
      </c>
      <c r="K327" t="n">
        <v>0</v>
      </c>
      <c r="L327" t="n">
        <v>0</v>
      </c>
      <c r="M327" t="n">
        <v>0</v>
      </c>
      <c r="N327" t="n">
        <v>0</v>
      </c>
      <c r="O327" t="n">
        <v>0</v>
      </c>
      <c r="P327" t="n">
        <v>0</v>
      </c>
      <c r="Q327" t="n">
        <v>0</v>
      </c>
      <c r="R327" s="2" t="inlineStr"/>
    </row>
    <row r="328" ht="15" customHeight="1">
      <c r="A328" t="inlineStr">
        <is>
          <t>A 55988-2019</t>
        </is>
      </c>
      <c r="B328" s="1" t="n">
        <v>43759</v>
      </c>
      <c r="C328" s="1" t="n">
        <v>45822</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56704-2019</t>
        </is>
      </c>
      <c r="B329" s="1" t="n">
        <v>43759</v>
      </c>
      <c r="C329" s="1" t="n">
        <v>45822</v>
      </c>
      <c r="D329" t="inlineStr">
        <is>
          <t>VÄRMLANDS LÄN</t>
        </is>
      </c>
      <c r="E329" t="inlineStr">
        <is>
          <t>TORSBY</t>
        </is>
      </c>
      <c r="G329" t="n">
        <v>2.6</v>
      </c>
      <c r="H329" t="n">
        <v>0</v>
      </c>
      <c r="I329" t="n">
        <v>0</v>
      </c>
      <c r="J329" t="n">
        <v>0</v>
      </c>
      <c r="K329" t="n">
        <v>0</v>
      </c>
      <c r="L329" t="n">
        <v>0</v>
      </c>
      <c r="M329" t="n">
        <v>0</v>
      </c>
      <c r="N329" t="n">
        <v>0</v>
      </c>
      <c r="O329" t="n">
        <v>0</v>
      </c>
      <c r="P329" t="n">
        <v>0</v>
      </c>
      <c r="Q329" t="n">
        <v>0</v>
      </c>
      <c r="R329" s="2" t="inlineStr"/>
    </row>
    <row r="330" ht="15" customHeight="1">
      <c r="A330" t="inlineStr">
        <is>
          <t>A 55927-2019</t>
        </is>
      </c>
      <c r="B330" s="1" t="n">
        <v>43761</v>
      </c>
      <c r="C330" s="1" t="n">
        <v>45822</v>
      </c>
      <c r="D330" t="inlineStr">
        <is>
          <t>VÄRMLANDS LÄN</t>
        </is>
      </c>
      <c r="E330" t="inlineStr">
        <is>
          <t>TORSBY</t>
        </is>
      </c>
      <c r="G330" t="n">
        <v>2.8</v>
      </c>
      <c r="H330" t="n">
        <v>0</v>
      </c>
      <c r="I330" t="n">
        <v>0</v>
      </c>
      <c r="J330" t="n">
        <v>0</v>
      </c>
      <c r="K330" t="n">
        <v>0</v>
      </c>
      <c r="L330" t="n">
        <v>0</v>
      </c>
      <c r="M330" t="n">
        <v>0</v>
      </c>
      <c r="N330" t="n">
        <v>0</v>
      </c>
      <c r="O330" t="n">
        <v>0</v>
      </c>
      <c r="P330" t="n">
        <v>0</v>
      </c>
      <c r="Q330" t="n">
        <v>0</v>
      </c>
      <c r="R330" s="2" t="inlineStr"/>
    </row>
    <row r="331" ht="15" customHeight="1">
      <c r="A331" t="inlineStr">
        <is>
          <t>A 56021-2019</t>
        </is>
      </c>
      <c r="B331" s="1" t="n">
        <v>43761</v>
      </c>
      <c r="C331" s="1" t="n">
        <v>45822</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56305-2019</t>
        </is>
      </c>
      <c r="B332" s="1" t="n">
        <v>43762</v>
      </c>
      <c r="C332" s="1" t="n">
        <v>45822</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56594-2019</t>
        </is>
      </c>
      <c r="B333" s="1" t="n">
        <v>43763</v>
      </c>
      <c r="C333" s="1" t="n">
        <v>45822</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56633-2019</t>
        </is>
      </c>
      <c r="B334" s="1" t="n">
        <v>43763</v>
      </c>
      <c r="C334" s="1" t="n">
        <v>45822</v>
      </c>
      <c r="D334" t="inlineStr">
        <is>
          <t>VÄRMLANDS LÄN</t>
        </is>
      </c>
      <c r="E334" t="inlineStr">
        <is>
          <t>TORSBY</t>
        </is>
      </c>
      <c r="G334" t="n">
        <v>1.6</v>
      </c>
      <c r="H334" t="n">
        <v>0</v>
      </c>
      <c r="I334" t="n">
        <v>0</v>
      </c>
      <c r="J334" t="n">
        <v>0</v>
      </c>
      <c r="K334" t="n">
        <v>0</v>
      </c>
      <c r="L334" t="n">
        <v>0</v>
      </c>
      <c r="M334" t="n">
        <v>0</v>
      </c>
      <c r="N334" t="n">
        <v>0</v>
      </c>
      <c r="O334" t="n">
        <v>0</v>
      </c>
      <c r="P334" t="n">
        <v>0</v>
      </c>
      <c r="Q334" t="n">
        <v>0</v>
      </c>
      <c r="R334" s="2" t="inlineStr"/>
    </row>
    <row r="335" ht="15" customHeight="1">
      <c r="A335" t="inlineStr">
        <is>
          <t>A 56824-2019</t>
        </is>
      </c>
      <c r="B335" s="1" t="n">
        <v>43764</v>
      </c>
      <c r="C335" s="1" t="n">
        <v>45822</v>
      </c>
      <c r="D335" t="inlineStr">
        <is>
          <t>VÄRMLANDS LÄN</t>
        </is>
      </c>
      <c r="E335" t="inlineStr">
        <is>
          <t>TORSBY</t>
        </is>
      </c>
      <c r="G335" t="n">
        <v>3.6</v>
      </c>
      <c r="H335" t="n">
        <v>0</v>
      </c>
      <c r="I335" t="n">
        <v>0</v>
      </c>
      <c r="J335" t="n">
        <v>0</v>
      </c>
      <c r="K335" t="n">
        <v>0</v>
      </c>
      <c r="L335" t="n">
        <v>0</v>
      </c>
      <c r="M335" t="n">
        <v>0</v>
      </c>
      <c r="N335" t="n">
        <v>0</v>
      </c>
      <c r="O335" t="n">
        <v>0</v>
      </c>
      <c r="P335" t="n">
        <v>0</v>
      </c>
      <c r="Q335" t="n">
        <v>0</v>
      </c>
      <c r="R335" s="2" t="inlineStr"/>
    </row>
    <row r="336" ht="15" customHeight="1">
      <c r="A336" t="inlineStr">
        <is>
          <t>A 56935-2019</t>
        </is>
      </c>
      <c r="B336" s="1" t="n">
        <v>43766</v>
      </c>
      <c r="C336" s="1" t="n">
        <v>45822</v>
      </c>
      <c r="D336" t="inlineStr">
        <is>
          <t>VÄRMLANDS LÄN</t>
        </is>
      </c>
      <c r="E336" t="inlineStr">
        <is>
          <t>TORSBY</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57399-2019</t>
        </is>
      </c>
      <c r="B337" s="1" t="n">
        <v>43767</v>
      </c>
      <c r="C337" s="1" t="n">
        <v>45822</v>
      </c>
      <c r="D337" t="inlineStr">
        <is>
          <t>VÄRMLANDS LÄN</t>
        </is>
      </c>
      <c r="E337" t="inlineStr">
        <is>
          <t>TORSBY</t>
        </is>
      </c>
      <c r="F337" t="inlineStr">
        <is>
          <t>Bergvik skog väst AB</t>
        </is>
      </c>
      <c r="G337" t="n">
        <v>18.9</v>
      </c>
      <c r="H337" t="n">
        <v>0</v>
      </c>
      <c r="I337" t="n">
        <v>0</v>
      </c>
      <c r="J337" t="n">
        <v>0</v>
      </c>
      <c r="K337" t="n">
        <v>0</v>
      </c>
      <c r="L337" t="n">
        <v>0</v>
      </c>
      <c r="M337" t="n">
        <v>0</v>
      </c>
      <c r="N337" t="n">
        <v>0</v>
      </c>
      <c r="O337" t="n">
        <v>0</v>
      </c>
      <c r="P337" t="n">
        <v>0</v>
      </c>
      <c r="Q337" t="n">
        <v>0</v>
      </c>
      <c r="R337" s="2" t="inlineStr"/>
    </row>
    <row r="338" ht="15" customHeight="1">
      <c r="A338" t="inlineStr">
        <is>
          <t>A 57251-2019</t>
        </is>
      </c>
      <c r="B338" s="1" t="n">
        <v>43767</v>
      </c>
      <c r="C338" s="1" t="n">
        <v>45822</v>
      </c>
      <c r="D338" t="inlineStr">
        <is>
          <t>VÄRMLANDS LÄN</t>
        </is>
      </c>
      <c r="E338" t="inlineStr">
        <is>
          <t>TORSBY</t>
        </is>
      </c>
      <c r="F338" t="inlineStr">
        <is>
          <t>Bergvik skog väst AB</t>
        </is>
      </c>
      <c r="G338" t="n">
        <v>4.3</v>
      </c>
      <c r="H338" t="n">
        <v>0</v>
      </c>
      <c r="I338" t="n">
        <v>0</v>
      </c>
      <c r="J338" t="n">
        <v>0</v>
      </c>
      <c r="K338" t="n">
        <v>0</v>
      </c>
      <c r="L338" t="n">
        <v>0</v>
      </c>
      <c r="M338" t="n">
        <v>0</v>
      </c>
      <c r="N338" t="n">
        <v>0</v>
      </c>
      <c r="O338" t="n">
        <v>0</v>
      </c>
      <c r="P338" t="n">
        <v>0</v>
      </c>
      <c r="Q338" t="n">
        <v>0</v>
      </c>
      <c r="R338" s="2" t="inlineStr"/>
    </row>
    <row r="339" ht="15" customHeight="1">
      <c r="A339" t="inlineStr">
        <is>
          <t>A 57301-2019</t>
        </is>
      </c>
      <c r="B339" s="1" t="n">
        <v>43767</v>
      </c>
      <c r="C339" s="1" t="n">
        <v>45822</v>
      </c>
      <c r="D339" t="inlineStr">
        <is>
          <t>VÄRMLANDS LÄN</t>
        </is>
      </c>
      <c r="E339" t="inlineStr">
        <is>
          <t>TORSBY</t>
        </is>
      </c>
      <c r="G339" t="n">
        <v>3.6</v>
      </c>
      <c r="H339" t="n">
        <v>0</v>
      </c>
      <c r="I339" t="n">
        <v>0</v>
      </c>
      <c r="J339" t="n">
        <v>0</v>
      </c>
      <c r="K339" t="n">
        <v>0</v>
      </c>
      <c r="L339" t="n">
        <v>0</v>
      </c>
      <c r="M339" t="n">
        <v>0</v>
      </c>
      <c r="N339" t="n">
        <v>0</v>
      </c>
      <c r="O339" t="n">
        <v>0</v>
      </c>
      <c r="P339" t="n">
        <v>0</v>
      </c>
      <c r="Q339" t="n">
        <v>0</v>
      </c>
      <c r="R339" s="2" t="inlineStr"/>
    </row>
    <row r="340" ht="15" customHeight="1">
      <c r="A340" t="inlineStr">
        <is>
          <t>A 57268-2019</t>
        </is>
      </c>
      <c r="B340" s="1" t="n">
        <v>43767</v>
      </c>
      <c r="C340" s="1" t="n">
        <v>45822</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58530-2019</t>
        </is>
      </c>
      <c r="B341" s="1" t="n">
        <v>43767</v>
      </c>
      <c r="C341" s="1" t="n">
        <v>45822</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57223-2019</t>
        </is>
      </c>
      <c r="B342" s="1" t="n">
        <v>43767</v>
      </c>
      <c r="C342" s="1" t="n">
        <v>45822</v>
      </c>
      <c r="D342" t="inlineStr">
        <is>
          <t>VÄRMLANDS LÄN</t>
        </is>
      </c>
      <c r="E342" t="inlineStr">
        <is>
          <t>TORSBY</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57566-2019</t>
        </is>
      </c>
      <c r="B343" s="1" t="n">
        <v>43768</v>
      </c>
      <c r="C343" s="1" t="n">
        <v>45822</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57704-2019</t>
        </is>
      </c>
      <c r="B344" s="1" t="n">
        <v>43768</v>
      </c>
      <c r="C344" s="1" t="n">
        <v>45822</v>
      </c>
      <c r="D344" t="inlineStr">
        <is>
          <t>VÄRMLANDS LÄN</t>
        </is>
      </c>
      <c r="E344" t="inlineStr">
        <is>
          <t>TORSBY</t>
        </is>
      </c>
      <c r="F344" t="inlineStr">
        <is>
          <t>Kommuner</t>
        </is>
      </c>
      <c r="G344" t="n">
        <v>0.9</v>
      </c>
      <c r="H344" t="n">
        <v>0</v>
      </c>
      <c r="I344" t="n">
        <v>0</v>
      </c>
      <c r="J344" t="n">
        <v>0</v>
      </c>
      <c r="K344" t="n">
        <v>0</v>
      </c>
      <c r="L344" t="n">
        <v>0</v>
      </c>
      <c r="M344" t="n">
        <v>0</v>
      </c>
      <c r="N344" t="n">
        <v>0</v>
      </c>
      <c r="O344" t="n">
        <v>0</v>
      </c>
      <c r="P344" t="n">
        <v>0</v>
      </c>
      <c r="Q344" t="n">
        <v>0</v>
      </c>
      <c r="R344" s="2" t="inlineStr"/>
    </row>
    <row r="345" ht="15" customHeight="1">
      <c r="A345" t="inlineStr">
        <is>
          <t>A 57565-2019</t>
        </is>
      </c>
      <c r="B345" s="1" t="n">
        <v>43768</v>
      </c>
      <c r="C345" s="1" t="n">
        <v>45822</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58004-2019</t>
        </is>
      </c>
      <c r="B346" s="1" t="n">
        <v>43769</v>
      </c>
      <c r="C346" s="1" t="n">
        <v>45822</v>
      </c>
      <c r="D346" t="inlineStr">
        <is>
          <t>VÄRMLANDS LÄN</t>
        </is>
      </c>
      <c r="E346" t="inlineStr">
        <is>
          <t>TORSBY</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58678-2019</t>
        </is>
      </c>
      <c r="B347" s="1" t="n">
        <v>43773</v>
      </c>
      <c r="C347" s="1" t="n">
        <v>45822</v>
      </c>
      <c r="D347" t="inlineStr">
        <is>
          <t>VÄRMLANDS LÄN</t>
        </is>
      </c>
      <c r="E347" t="inlineStr">
        <is>
          <t>TORSBY</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59127-2019</t>
        </is>
      </c>
      <c r="B348" s="1" t="n">
        <v>43775</v>
      </c>
      <c r="C348" s="1" t="n">
        <v>45822</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59593-2019</t>
        </is>
      </c>
      <c r="B349" s="1" t="n">
        <v>43776</v>
      </c>
      <c r="C349" s="1" t="n">
        <v>45822</v>
      </c>
      <c r="D349" t="inlineStr">
        <is>
          <t>VÄRMLANDS LÄN</t>
        </is>
      </c>
      <c r="E349" t="inlineStr">
        <is>
          <t>TORSBY</t>
        </is>
      </c>
      <c r="F349" t="inlineStr">
        <is>
          <t>Bergvik skog väst AB</t>
        </is>
      </c>
      <c r="G349" t="n">
        <v>6.8</v>
      </c>
      <c r="H349" t="n">
        <v>0</v>
      </c>
      <c r="I349" t="n">
        <v>0</v>
      </c>
      <c r="J349" t="n">
        <v>0</v>
      </c>
      <c r="K349" t="n">
        <v>0</v>
      </c>
      <c r="L349" t="n">
        <v>0</v>
      </c>
      <c r="M349" t="n">
        <v>0</v>
      </c>
      <c r="N349" t="n">
        <v>0</v>
      </c>
      <c r="O349" t="n">
        <v>0</v>
      </c>
      <c r="P349" t="n">
        <v>0</v>
      </c>
      <c r="Q349" t="n">
        <v>0</v>
      </c>
      <c r="R349" s="2" t="inlineStr"/>
    </row>
    <row r="350" ht="15" customHeight="1">
      <c r="A350" t="inlineStr">
        <is>
          <t>A 60545-2019</t>
        </is>
      </c>
      <c r="B350" s="1" t="n">
        <v>43781</v>
      </c>
      <c r="C350" s="1" t="n">
        <v>45822</v>
      </c>
      <c r="D350" t="inlineStr">
        <is>
          <t>VÄRMLANDS LÄN</t>
        </is>
      </c>
      <c r="E350" t="inlineStr">
        <is>
          <t>TORSBY</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61074-2019</t>
        </is>
      </c>
      <c r="B351" s="1" t="n">
        <v>43782</v>
      </c>
      <c r="C351" s="1" t="n">
        <v>45822</v>
      </c>
      <c r="D351" t="inlineStr">
        <is>
          <t>VÄRMLANDS LÄN</t>
        </is>
      </c>
      <c r="E351" t="inlineStr">
        <is>
          <t>TORSBY</t>
        </is>
      </c>
      <c r="G351" t="n">
        <v>6.4</v>
      </c>
      <c r="H351" t="n">
        <v>0</v>
      </c>
      <c r="I351" t="n">
        <v>0</v>
      </c>
      <c r="J351" t="n">
        <v>0</v>
      </c>
      <c r="K351" t="n">
        <v>0</v>
      </c>
      <c r="L351" t="n">
        <v>0</v>
      </c>
      <c r="M351" t="n">
        <v>0</v>
      </c>
      <c r="N351" t="n">
        <v>0</v>
      </c>
      <c r="O351" t="n">
        <v>0</v>
      </c>
      <c r="P351" t="n">
        <v>0</v>
      </c>
      <c r="Q351" t="n">
        <v>0</v>
      </c>
      <c r="R351" s="2" t="inlineStr"/>
    </row>
    <row r="352" ht="15" customHeight="1">
      <c r="A352" t="inlineStr">
        <is>
          <t>A 62050-2019</t>
        </is>
      </c>
      <c r="B352" s="1" t="n">
        <v>43787</v>
      </c>
      <c r="C352" s="1" t="n">
        <v>45822</v>
      </c>
      <c r="D352" t="inlineStr">
        <is>
          <t>VÄRMLANDS LÄN</t>
        </is>
      </c>
      <c r="E352" t="inlineStr">
        <is>
          <t>TORSBY</t>
        </is>
      </c>
      <c r="F352" t="inlineStr">
        <is>
          <t>Bergvik skog väst AB</t>
        </is>
      </c>
      <c r="G352" t="n">
        <v>4.3</v>
      </c>
      <c r="H352" t="n">
        <v>0</v>
      </c>
      <c r="I352" t="n">
        <v>0</v>
      </c>
      <c r="J352" t="n">
        <v>0</v>
      </c>
      <c r="K352" t="n">
        <v>0</v>
      </c>
      <c r="L352" t="n">
        <v>0</v>
      </c>
      <c r="M352" t="n">
        <v>0</v>
      </c>
      <c r="N352" t="n">
        <v>0</v>
      </c>
      <c r="O352" t="n">
        <v>0</v>
      </c>
      <c r="P352" t="n">
        <v>0</v>
      </c>
      <c r="Q352" t="n">
        <v>0</v>
      </c>
      <c r="R352" s="2" t="inlineStr"/>
    </row>
    <row r="353" ht="15" customHeight="1">
      <c r="A353" t="inlineStr">
        <is>
          <t>A 61958-2019</t>
        </is>
      </c>
      <c r="B353" s="1" t="n">
        <v>43787</v>
      </c>
      <c r="C353" s="1" t="n">
        <v>45822</v>
      </c>
      <c r="D353" t="inlineStr">
        <is>
          <t>VÄRMLANDS LÄN</t>
        </is>
      </c>
      <c r="E353" t="inlineStr">
        <is>
          <t>TORSBY</t>
        </is>
      </c>
      <c r="G353" t="n">
        <v>2.4</v>
      </c>
      <c r="H353" t="n">
        <v>0</v>
      </c>
      <c r="I353" t="n">
        <v>0</v>
      </c>
      <c r="J353" t="n">
        <v>0</v>
      </c>
      <c r="K353" t="n">
        <v>0</v>
      </c>
      <c r="L353" t="n">
        <v>0</v>
      </c>
      <c r="M353" t="n">
        <v>0</v>
      </c>
      <c r="N353" t="n">
        <v>0</v>
      </c>
      <c r="O353" t="n">
        <v>0</v>
      </c>
      <c r="P353" t="n">
        <v>0</v>
      </c>
      <c r="Q353" t="n">
        <v>0</v>
      </c>
      <c r="R353" s="2" t="inlineStr"/>
    </row>
    <row r="354" ht="15" customHeight="1">
      <c r="A354" t="inlineStr">
        <is>
          <t>A 62255-2019</t>
        </is>
      </c>
      <c r="B354" s="1" t="n">
        <v>43788</v>
      </c>
      <c r="C354" s="1" t="n">
        <v>45822</v>
      </c>
      <c r="D354" t="inlineStr">
        <is>
          <t>VÄRMLANDS LÄN</t>
        </is>
      </c>
      <c r="E354" t="inlineStr">
        <is>
          <t>TORSBY</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62286-2019</t>
        </is>
      </c>
      <c r="B355" s="1" t="n">
        <v>43788</v>
      </c>
      <c r="C355" s="1" t="n">
        <v>45822</v>
      </c>
      <c r="D355" t="inlineStr">
        <is>
          <t>VÄRMLANDS LÄN</t>
        </is>
      </c>
      <c r="E355" t="inlineStr">
        <is>
          <t>TORSBY</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63743-2019</t>
        </is>
      </c>
      <c r="B356" s="1" t="n">
        <v>43795</v>
      </c>
      <c r="C356" s="1" t="n">
        <v>45822</v>
      </c>
      <c r="D356" t="inlineStr">
        <is>
          <t>VÄRMLANDS LÄN</t>
        </is>
      </c>
      <c r="E356" t="inlineStr">
        <is>
          <t>TORSBY</t>
        </is>
      </c>
      <c r="F356" t="inlineStr">
        <is>
          <t>Bergvik skog väst AB</t>
        </is>
      </c>
      <c r="G356" t="n">
        <v>6.3</v>
      </c>
      <c r="H356" t="n">
        <v>0</v>
      </c>
      <c r="I356" t="n">
        <v>0</v>
      </c>
      <c r="J356" t="n">
        <v>0</v>
      </c>
      <c r="K356" t="n">
        <v>0</v>
      </c>
      <c r="L356" t="n">
        <v>0</v>
      </c>
      <c r="M356" t="n">
        <v>0</v>
      </c>
      <c r="N356" t="n">
        <v>0</v>
      </c>
      <c r="O356" t="n">
        <v>0</v>
      </c>
      <c r="P356" t="n">
        <v>0</v>
      </c>
      <c r="Q356" t="n">
        <v>0</v>
      </c>
      <c r="R356" s="2" t="inlineStr"/>
    </row>
    <row r="357" ht="15" customHeight="1">
      <c r="A357" t="inlineStr">
        <is>
          <t>A 64114-2019</t>
        </is>
      </c>
      <c r="B357" s="1" t="n">
        <v>43796</v>
      </c>
      <c r="C357" s="1" t="n">
        <v>45822</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64444-2019</t>
        </is>
      </c>
      <c r="B358" s="1" t="n">
        <v>43797</v>
      </c>
      <c r="C358" s="1" t="n">
        <v>45822</v>
      </c>
      <c r="D358" t="inlineStr">
        <is>
          <t>VÄRMLANDS LÄN</t>
        </is>
      </c>
      <c r="E358" t="inlineStr">
        <is>
          <t>TORSBY</t>
        </is>
      </c>
      <c r="G358" t="n">
        <v>3.5</v>
      </c>
      <c r="H358" t="n">
        <v>0</v>
      </c>
      <c r="I358" t="n">
        <v>0</v>
      </c>
      <c r="J358" t="n">
        <v>0</v>
      </c>
      <c r="K358" t="n">
        <v>0</v>
      </c>
      <c r="L358" t="n">
        <v>0</v>
      </c>
      <c r="M358" t="n">
        <v>0</v>
      </c>
      <c r="N358" t="n">
        <v>0</v>
      </c>
      <c r="O358" t="n">
        <v>0</v>
      </c>
      <c r="P358" t="n">
        <v>0</v>
      </c>
      <c r="Q358" t="n">
        <v>0</v>
      </c>
      <c r="R358" s="2" t="inlineStr"/>
    </row>
    <row r="359" ht="15" customHeight="1">
      <c r="A359" t="inlineStr">
        <is>
          <t>A 65187-2019</t>
        </is>
      </c>
      <c r="B359" s="1" t="n">
        <v>43797</v>
      </c>
      <c r="C359" s="1" t="n">
        <v>45822</v>
      </c>
      <c r="D359" t="inlineStr">
        <is>
          <t>VÄRMLANDS LÄN</t>
        </is>
      </c>
      <c r="E359" t="inlineStr">
        <is>
          <t>TORSBY</t>
        </is>
      </c>
      <c r="G359" t="n">
        <v>2</v>
      </c>
      <c r="H359" t="n">
        <v>0</v>
      </c>
      <c r="I359" t="n">
        <v>0</v>
      </c>
      <c r="J359" t="n">
        <v>0</v>
      </c>
      <c r="K359" t="n">
        <v>0</v>
      </c>
      <c r="L359" t="n">
        <v>0</v>
      </c>
      <c r="M359" t="n">
        <v>0</v>
      </c>
      <c r="N359" t="n">
        <v>0</v>
      </c>
      <c r="O359" t="n">
        <v>0</v>
      </c>
      <c r="P359" t="n">
        <v>0</v>
      </c>
      <c r="Q359" t="n">
        <v>0</v>
      </c>
      <c r="R359" s="2" t="inlineStr"/>
    </row>
    <row r="360" ht="15" customHeight="1">
      <c r="A360" t="inlineStr">
        <is>
          <t>A 65243-2019</t>
        </is>
      </c>
      <c r="B360" s="1" t="n">
        <v>43797</v>
      </c>
      <c r="C360" s="1" t="n">
        <v>45822</v>
      </c>
      <c r="D360" t="inlineStr">
        <is>
          <t>VÄRMLANDS LÄN</t>
        </is>
      </c>
      <c r="E360" t="inlineStr">
        <is>
          <t>TORSBY</t>
        </is>
      </c>
      <c r="F360" t="inlineStr">
        <is>
          <t>Övriga statliga verk och myndigheter</t>
        </is>
      </c>
      <c r="G360" t="n">
        <v>20.3</v>
      </c>
      <c r="H360" t="n">
        <v>0</v>
      </c>
      <c r="I360" t="n">
        <v>0</v>
      </c>
      <c r="J360" t="n">
        <v>0</v>
      </c>
      <c r="K360" t="n">
        <v>0</v>
      </c>
      <c r="L360" t="n">
        <v>0</v>
      </c>
      <c r="M360" t="n">
        <v>0</v>
      </c>
      <c r="N360" t="n">
        <v>0</v>
      </c>
      <c r="O360" t="n">
        <v>0</v>
      </c>
      <c r="P360" t="n">
        <v>0</v>
      </c>
      <c r="Q360" t="n">
        <v>0</v>
      </c>
      <c r="R360" s="2" t="inlineStr"/>
    </row>
    <row r="361" ht="15" customHeight="1">
      <c r="A361" t="inlineStr">
        <is>
          <t>A 64803-2019</t>
        </is>
      </c>
      <c r="B361" s="1" t="n">
        <v>43801</v>
      </c>
      <c r="C361" s="1" t="n">
        <v>45822</v>
      </c>
      <c r="D361" t="inlineStr">
        <is>
          <t>VÄRMLANDS LÄN</t>
        </is>
      </c>
      <c r="E361" t="inlineStr">
        <is>
          <t>TORSBY</t>
        </is>
      </c>
      <c r="G361" t="n">
        <v>0.5</v>
      </c>
      <c r="H361" t="n">
        <v>0</v>
      </c>
      <c r="I361" t="n">
        <v>0</v>
      </c>
      <c r="J361" t="n">
        <v>0</v>
      </c>
      <c r="K361" t="n">
        <v>0</v>
      </c>
      <c r="L361" t="n">
        <v>0</v>
      </c>
      <c r="M361" t="n">
        <v>0</v>
      </c>
      <c r="N361" t="n">
        <v>0</v>
      </c>
      <c r="O361" t="n">
        <v>0</v>
      </c>
      <c r="P361" t="n">
        <v>0</v>
      </c>
      <c r="Q361" t="n">
        <v>0</v>
      </c>
      <c r="R361" s="2" t="inlineStr"/>
    </row>
    <row r="362" ht="15" customHeight="1">
      <c r="A362" t="inlineStr">
        <is>
          <t>A 65132-2019</t>
        </is>
      </c>
      <c r="B362" s="1" t="n">
        <v>43802</v>
      </c>
      <c r="C362" s="1" t="n">
        <v>45822</v>
      </c>
      <c r="D362" t="inlineStr">
        <is>
          <t>VÄRMLANDS LÄN</t>
        </is>
      </c>
      <c r="E362" t="inlineStr">
        <is>
          <t>TORSBY</t>
        </is>
      </c>
      <c r="G362" t="n">
        <v>2.4</v>
      </c>
      <c r="H362" t="n">
        <v>0</v>
      </c>
      <c r="I362" t="n">
        <v>0</v>
      </c>
      <c r="J362" t="n">
        <v>0</v>
      </c>
      <c r="K362" t="n">
        <v>0</v>
      </c>
      <c r="L362" t="n">
        <v>0</v>
      </c>
      <c r="M362" t="n">
        <v>0</v>
      </c>
      <c r="N362" t="n">
        <v>0</v>
      </c>
      <c r="O362" t="n">
        <v>0</v>
      </c>
      <c r="P362" t="n">
        <v>0</v>
      </c>
      <c r="Q362" t="n">
        <v>0</v>
      </c>
      <c r="R362" s="2" t="inlineStr"/>
    </row>
    <row r="363" ht="15" customHeight="1">
      <c r="A363" t="inlineStr">
        <is>
          <t>A 65076-2019</t>
        </is>
      </c>
      <c r="B363" s="1" t="n">
        <v>43802</v>
      </c>
      <c r="C363" s="1" t="n">
        <v>45822</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65465-2019</t>
        </is>
      </c>
      <c r="B364" s="1" t="n">
        <v>43803</v>
      </c>
      <c r="C364" s="1" t="n">
        <v>45822</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65914-2019</t>
        </is>
      </c>
      <c r="B365" s="1" t="n">
        <v>43805</v>
      </c>
      <c r="C365" s="1" t="n">
        <v>45822</v>
      </c>
      <c r="D365" t="inlineStr">
        <is>
          <t>VÄRMLANDS LÄN</t>
        </is>
      </c>
      <c r="E365" t="inlineStr">
        <is>
          <t>TORSBY</t>
        </is>
      </c>
      <c r="F365" t="inlineStr">
        <is>
          <t>Bergvik skog väst AB</t>
        </is>
      </c>
      <c r="G365" t="n">
        <v>1.5</v>
      </c>
      <c r="H365" t="n">
        <v>0</v>
      </c>
      <c r="I365" t="n">
        <v>0</v>
      </c>
      <c r="J365" t="n">
        <v>0</v>
      </c>
      <c r="K365" t="n">
        <v>0</v>
      </c>
      <c r="L365" t="n">
        <v>0</v>
      </c>
      <c r="M365" t="n">
        <v>0</v>
      </c>
      <c r="N365" t="n">
        <v>0</v>
      </c>
      <c r="O365" t="n">
        <v>0</v>
      </c>
      <c r="P365" t="n">
        <v>0</v>
      </c>
      <c r="Q365" t="n">
        <v>0</v>
      </c>
      <c r="R365" s="2" t="inlineStr"/>
    </row>
    <row r="366" ht="15" customHeight="1">
      <c r="A366" t="inlineStr">
        <is>
          <t>A 67527-2019</t>
        </is>
      </c>
      <c r="B366" s="1" t="n">
        <v>43808</v>
      </c>
      <c r="C366" s="1" t="n">
        <v>45822</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66690-2019</t>
        </is>
      </c>
      <c r="B367" s="1" t="n">
        <v>43809</v>
      </c>
      <c r="C367" s="1" t="n">
        <v>45822</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66689-2019</t>
        </is>
      </c>
      <c r="B368" s="1" t="n">
        <v>43809</v>
      </c>
      <c r="C368" s="1" t="n">
        <v>45822</v>
      </c>
      <c r="D368" t="inlineStr">
        <is>
          <t>VÄRMLANDS LÄN</t>
        </is>
      </c>
      <c r="E368" t="inlineStr">
        <is>
          <t>TORSBY</t>
        </is>
      </c>
      <c r="G368" t="n">
        <v>1.7</v>
      </c>
      <c r="H368" t="n">
        <v>0</v>
      </c>
      <c r="I368" t="n">
        <v>0</v>
      </c>
      <c r="J368" t="n">
        <v>0</v>
      </c>
      <c r="K368" t="n">
        <v>0</v>
      </c>
      <c r="L368" t="n">
        <v>0</v>
      </c>
      <c r="M368" t="n">
        <v>0</v>
      </c>
      <c r="N368" t="n">
        <v>0</v>
      </c>
      <c r="O368" t="n">
        <v>0</v>
      </c>
      <c r="P368" t="n">
        <v>0</v>
      </c>
      <c r="Q368" t="n">
        <v>0</v>
      </c>
      <c r="R368" s="2" t="inlineStr"/>
    </row>
    <row r="369" ht="15" customHeight="1">
      <c r="A369" t="inlineStr">
        <is>
          <t>A 67686-2019</t>
        </is>
      </c>
      <c r="B369" s="1" t="n">
        <v>43809</v>
      </c>
      <c r="C369" s="1" t="n">
        <v>45822</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66688-2019</t>
        </is>
      </c>
      <c r="B370" s="1" t="n">
        <v>43809</v>
      </c>
      <c r="C370" s="1" t="n">
        <v>45822</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67690-2019</t>
        </is>
      </c>
      <c r="B371" s="1" t="n">
        <v>43809</v>
      </c>
      <c r="C371" s="1" t="n">
        <v>45822</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67671-2019</t>
        </is>
      </c>
      <c r="B372" s="1" t="n">
        <v>43810</v>
      </c>
      <c r="C372" s="1" t="n">
        <v>45822</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67728-2019</t>
        </is>
      </c>
      <c r="B373" s="1" t="n">
        <v>43815</v>
      </c>
      <c r="C373" s="1" t="n">
        <v>45822</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68354-2019</t>
        </is>
      </c>
      <c r="B374" s="1" t="n">
        <v>43818</v>
      </c>
      <c r="C374" s="1" t="n">
        <v>45822</v>
      </c>
      <c r="D374" t="inlineStr">
        <is>
          <t>VÄRMLANDS LÄN</t>
        </is>
      </c>
      <c r="E374" t="inlineStr">
        <is>
          <t>TORSBY</t>
        </is>
      </c>
      <c r="G374" t="n">
        <v>61.1</v>
      </c>
      <c r="H374" t="n">
        <v>0</v>
      </c>
      <c r="I374" t="n">
        <v>0</v>
      </c>
      <c r="J374" t="n">
        <v>0</v>
      </c>
      <c r="K374" t="n">
        <v>0</v>
      </c>
      <c r="L374" t="n">
        <v>0</v>
      </c>
      <c r="M374" t="n">
        <v>0</v>
      </c>
      <c r="N374" t="n">
        <v>0</v>
      </c>
      <c r="O374" t="n">
        <v>0</v>
      </c>
      <c r="P374" t="n">
        <v>0</v>
      </c>
      <c r="Q374" t="n">
        <v>0</v>
      </c>
      <c r="R374" s="2" t="inlineStr"/>
    </row>
    <row r="375" ht="15" customHeight="1">
      <c r="A375" t="inlineStr">
        <is>
          <t>A 68360-2019</t>
        </is>
      </c>
      <c r="B375" s="1" t="n">
        <v>43818</v>
      </c>
      <c r="C375" s="1" t="n">
        <v>45822</v>
      </c>
      <c r="D375" t="inlineStr">
        <is>
          <t>VÄRMLANDS LÄN</t>
        </is>
      </c>
      <c r="E375" t="inlineStr">
        <is>
          <t>TORSBY</t>
        </is>
      </c>
      <c r="G375" t="n">
        <v>9</v>
      </c>
      <c r="H375" t="n">
        <v>0</v>
      </c>
      <c r="I375" t="n">
        <v>0</v>
      </c>
      <c r="J375" t="n">
        <v>0</v>
      </c>
      <c r="K375" t="n">
        <v>0</v>
      </c>
      <c r="L375" t="n">
        <v>0</v>
      </c>
      <c r="M375" t="n">
        <v>0</v>
      </c>
      <c r="N375" t="n">
        <v>0</v>
      </c>
      <c r="O375" t="n">
        <v>0</v>
      </c>
      <c r="P375" t="n">
        <v>0</v>
      </c>
      <c r="Q375" t="n">
        <v>0</v>
      </c>
      <c r="R375" s="2" t="inlineStr"/>
    </row>
    <row r="376" ht="15" customHeight="1">
      <c r="A376" t="inlineStr">
        <is>
          <t>A 68553-2019</t>
        </is>
      </c>
      <c r="B376" s="1" t="n">
        <v>43818</v>
      </c>
      <c r="C376" s="1" t="n">
        <v>45822</v>
      </c>
      <c r="D376" t="inlineStr">
        <is>
          <t>VÄRMLANDS LÄN</t>
        </is>
      </c>
      <c r="E376" t="inlineStr">
        <is>
          <t>TORSBY</t>
        </is>
      </c>
      <c r="G376" t="n">
        <v>1.5</v>
      </c>
      <c r="H376" t="n">
        <v>0</v>
      </c>
      <c r="I376" t="n">
        <v>0</v>
      </c>
      <c r="J376" t="n">
        <v>0</v>
      </c>
      <c r="K376" t="n">
        <v>0</v>
      </c>
      <c r="L376" t="n">
        <v>0</v>
      </c>
      <c r="M376" t="n">
        <v>0</v>
      </c>
      <c r="N376" t="n">
        <v>0</v>
      </c>
      <c r="O376" t="n">
        <v>0</v>
      </c>
      <c r="P376" t="n">
        <v>0</v>
      </c>
      <c r="Q376" t="n">
        <v>0</v>
      </c>
      <c r="R376" s="2" t="inlineStr"/>
    </row>
    <row r="377" ht="15" customHeight="1">
      <c r="A377" t="inlineStr">
        <is>
          <t>A 140-2020</t>
        </is>
      </c>
      <c r="B377" s="1" t="n">
        <v>43833</v>
      </c>
      <c r="C377" s="1" t="n">
        <v>45822</v>
      </c>
      <c r="D377" t="inlineStr">
        <is>
          <t>VÄRMLANDS LÄN</t>
        </is>
      </c>
      <c r="E377" t="inlineStr">
        <is>
          <t>TORSBY</t>
        </is>
      </c>
      <c r="G377" t="n">
        <v>2.8</v>
      </c>
      <c r="H377" t="n">
        <v>0</v>
      </c>
      <c r="I377" t="n">
        <v>0</v>
      </c>
      <c r="J377" t="n">
        <v>0</v>
      </c>
      <c r="K377" t="n">
        <v>0</v>
      </c>
      <c r="L377" t="n">
        <v>0</v>
      </c>
      <c r="M377" t="n">
        <v>0</v>
      </c>
      <c r="N377" t="n">
        <v>0</v>
      </c>
      <c r="O377" t="n">
        <v>0</v>
      </c>
      <c r="P377" t="n">
        <v>0</v>
      </c>
      <c r="Q377" t="n">
        <v>0</v>
      </c>
      <c r="R377" s="2" t="inlineStr"/>
    </row>
    <row r="378" ht="15" customHeight="1">
      <c r="A378" t="inlineStr">
        <is>
          <t>A 338-2020</t>
        </is>
      </c>
      <c r="B378" s="1" t="n">
        <v>43837</v>
      </c>
      <c r="C378" s="1" t="n">
        <v>45822</v>
      </c>
      <c r="D378" t="inlineStr">
        <is>
          <t>VÄRMLANDS LÄN</t>
        </is>
      </c>
      <c r="E378" t="inlineStr">
        <is>
          <t>TORSBY</t>
        </is>
      </c>
      <c r="G378" t="n">
        <v>3.2</v>
      </c>
      <c r="H378" t="n">
        <v>0</v>
      </c>
      <c r="I378" t="n">
        <v>0</v>
      </c>
      <c r="J378" t="n">
        <v>0</v>
      </c>
      <c r="K378" t="n">
        <v>0</v>
      </c>
      <c r="L378" t="n">
        <v>0</v>
      </c>
      <c r="M378" t="n">
        <v>0</v>
      </c>
      <c r="N378" t="n">
        <v>0</v>
      </c>
      <c r="O378" t="n">
        <v>0</v>
      </c>
      <c r="P378" t="n">
        <v>0</v>
      </c>
      <c r="Q378" t="n">
        <v>0</v>
      </c>
      <c r="R378" s="2" t="inlineStr"/>
    </row>
    <row r="379" ht="15" customHeight="1">
      <c r="A379" t="inlineStr">
        <is>
          <t>A 388-2020</t>
        </is>
      </c>
      <c r="B379" s="1" t="n">
        <v>43837</v>
      </c>
      <c r="C379" s="1" t="n">
        <v>45822</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3263-2020</t>
        </is>
      </c>
      <c r="B380" s="1" t="n">
        <v>43844</v>
      </c>
      <c r="C380" s="1" t="n">
        <v>45822</v>
      </c>
      <c r="D380" t="inlineStr">
        <is>
          <t>VÄRMLANDS LÄN</t>
        </is>
      </c>
      <c r="E380" t="inlineStr">
        <is>
          <t>TORSBY</t>
        </is>
      </c>
      <c r="G380" t="n">
        <v>14.7</v>
      </c>
      <c r="H380" t="n">
        <v>0</v>
      </c>
      <c r="I380" t="n">
        <v>0</v>
      </c>
      <c r="J380" t="n">
        <v>0</v>
      </c>
      <c r="K380" t="n">
        <v>0</v>
      </c>
      <c r="L380" t="n">
        <v>0</v>
      </c>
      <c r="M380" t="n">
        <v>0</v>
      </c>
      <c r="N380" t="n">
        <v>0</v>
      </c>
      <c r="O380" t="n">
        <v>0</v>
      </c>
      <c r="P380" t="n">
        <v>0</v>
      </c>
      <c r="Q380" t="n">
        <v>0</v>
      </c>
      <c r="R380" s="2" t="inlineStr"/>
    </row>
    <row r="381" ht="15" customHeight="1">
      <c r="A381" t="inlineStr">
        <is>
          <t>A 3172-2020</t>
        </is>
      </c>
      <c r="B381" s="1" t="n">
        <v>43844</v>
      </c>
      <c r="C381" s="1" t="n">
        <v>45822</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2082-2020</t>
        </is>
      </c>
      <c r="B382" s="1" t="n">
        <v>43845</v>
      </c>
      <c r="C382" s="1" t="n">
        <v>45822</v>
      </c>
      <c r="D382" t="inlineStr">
        <is>
          <t>VÄRMLANDS LÄN</t>
        </is>
      </c>
      <c r="E382" t="inlineStr">
        <is>
          <t>TORSBY</t>
        </is>
      </c>
      <c r="G382" t="n">
        <v>1.1</v>
      </c>
      <c r="H382" t="n">
        <v>0</v>
      </c>
      <c r="I382" t="n">
        <v>0</v>
      </c>
      <c r="J382" t="n">
        <v>0</v>
      </c>
      <c r="K382" t="n">
        <v>0</v>
      </c>
      <c r="L382" t="n">
        <v>0</v>
      </c>
      <c r="M382" t="n">
        <v>0</v>
      </c>
      <c r="N382" t="n">
        <v>0</v>
      </c>
      <c r="O382" t="n">
        <v>0</v>
      </c>
      <c r="P382" t="n">
        <v>0</v>
      </c>
      <c r="Q382" t="n">
        <v>0</v>
      </c>
      <c r="R382" s="2" t="inlineStr"/>
    </row>
    <row r="383" ht="15" customHeight="1">
      <c r="A383" t="inlineStr">
        <is>
          <t>A 1875-2020</t>
        </is>
      </c>
      <c r="B383" s="1" t="n">
        <v>43845</v>
      </c>
      <c r="C383" s="1" t="n">
        <v>45822</v>
      </c>
      <c r="D383" t="inlineStr">
        <is>
          <t>VÄRMLANDS LÄN</t>
        </is>
      </c>
      <c r="E383" t="inlineStr">
        <is>
          <t>TORSBY</t>
        </is>
      </c>
      <c r="G383" t="n">
        <v>3</v>
      </c>
      <c r="H383" t="n">
        <v>0</v>
      </c>
      <c r="I383" t="n">
        <v>0</v>
      </c>
      <c r="J383" t="n">
        <v>0</v>
      </c>
      <c r="K383" t="n">
        <v>0</v>
      </c>
      <c r="L383" t="n">
        <v>0</v>
      </c>
      <c r="M383" t="n">
        <v>0</v>
      </c>
      <c r="N383" t="n">
        <v>0</v>
      </c>
      <c r="O383" t="n">
        <v>0</v>
      </c>
      <c r="P383" t="n">
        <v>0</v>
      </c>
      <c r="Q383" t="n">
        <v>0</v>
      </c>
      <c r="R383" s="2" t="inlineStr"/>
    </row>
    <row r="384" ht="15" customHeight="1">
      <c r="A384" t="inlineStr">
        <is>
          <t>A 2068-2020</t>
        </is>
      </c>
      <c r="B384" s="1" t="n">
        <v>43845</v>
      </c>
      <c r="C384" s="1" t="n">
        <v>45822</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4017-2020</t>
        </is>
      </c>
      <c r="B385" s="1" t="n">
        <v>43846</v>
      </c>
      <c r="C385" s="1" t="n">
        <v>45822</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4753-2020</t>
        </is>
      </c>
      <c r="B386" s="1" t="n">
        <v>43859</v>
      </c>
      <c r="C386" s="1" t="n">
        <v>45822</v>
      </c>
      <c r="D386" t="inlineStr">
        <is>
          <t>VÄRMLANDS LÄN</t>
        </is>
      </c>
      <c r="E386" t="inlineStr">
        <is>
          <t>TORSBY</t>
        </is>
      </c>
      <c r="G386" t="n">
        <v>4.5</v>
      </c>
      <c r="H386" t="n">
        <v>0</v>
      </c>
      <c r="I386" t="n">
        <v>0</v>
      </c>
      <c r="J386" t="n">
        <v>0</v>
      </c>
      <c r="K386" t="n">
        <v>0</v>
      </c>
      <c r="L386" t="n">
        <v>0</v>
      </c>
      <c r="M386" t="n">
        <v>0</v>
      </c>
      <c r="N386" t="n">
        <v>0</v>
      </c>
      <c r="O386" t="n">
        <v>0</v>
      </c>
      <c r="P386" t="n">
        <v>0</v>
      </c>
      <c r="Q386" t="n">
        <v>0</v>
      </c>
      <c r="R386" s="2" t="inlineStr"/>
    </row>
    <row r="387" ht="15" customHeight="1">
      <c r="A387" t="inlineStr">
        <is>
          <t>A 5180-2020</t>
        </is>
      </c>
      <c r="B387" s="1" t="n">
        <v>43860</v>
      </c>
      <c r="C387" s="1" t="n">
        <v>45822</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5426-2020</t>
        </is>
      </c>
      <c r="B388" s="1" t="n">
        <v>43861</v>
      </c>
      <c r="C388" s="1" t="n">
        <v>45822</v>
      </c>
      <c r="D388" t="inlineStr">
        <is>
          <t>VÄRMLANDS LÄN</t>
        </is>
      </c>
      <c r="E388" t="inlineStr">
        <is>
          <t>TORSBY</t>
        </is>
      </c>
      <c r="G388" t="n">
        <v>7.2</v>
      </c>
      <c r="H388" t="n">
        <v>0</v>
      </c>
      <c r="I388" t="n">
        <v>0</v>
      </c>
      <c r="J388" t="n">
        <v>0</v>
      </c>
      <c r="K388" t="n">
        <v>0</v>
      </c>
      <c r="L388" t="n">
        <v>0</v>
      </c>
      <c r="M388" t="n">
        <v>0</v>
      </c>
      <c r="N388" t="n">
        <v>0</v>
      </c>
      <c r="O388" t="n">
        <v>0</v>
      </c>
      <c r="P388" t="n">
        <v>0</v>
      </c>
      <c r="Q388" t="n">
        <v>0</v>
      </c>
      <c r="R388" s="2" t="inlineStr"/>
    </row>
    <row r="389" ht="15" customHeight="1">
      <c r="A389" t="inlineStr">
        <is>
          <t>A 5425-2020</t>
        </is>
      </c>
      <c r="B389" s="1" t="n">
        <v>43861</v>
      </c>
      <c r="C389" s="1" t="n">
        <v>45822</v>
      </c>
      <c r="D389" t="inlineStr">
        <is>
          <t>VÄRMLANDS LÄN</t>
        </is>
      </c>
      <c r="E389" t="inlineStr">
        <is>
          <t>TORSBY</t>
        </is>
      </c>
      <c r="G389" t="n">
        <v>0.9</v>
      </c>
      <c r="H389" t="n">
        <v>0</v>
      </c>
      <c r="I389" t="n">
        <v>0</v>
      </c>
      <c r="J389" t="n">
        <v>0</v>
      </c>
      <c r="K389" t="n">
        <v>0</v>
      </c>
      <c r="L389" t="n">
        <v>0</v>
      </c>
      <c r="M389" t="n">
        <v>0</v>
      </c>
      <c r="N389" t="n">
        <v>0</v>
      </c>
      <c r="O389" t="n">
        <v>0</v>
      </c>
      <c r="P389" t="n">
        <v>0</v>
      </c>
      <c r="Q389" t="n">
        <v>0</v>
      </c>
      <c r="R389" s="2" t="inlineStr"/>
    </row>
    <row r="390" ht="15" customHeight="1">
      <c r="A390" t="inlineStr">
        <is>
          <t>A 5427-2020</t>
        </is>
      </c>
      <c r="B390" s="1" t="n">
        <v>43861</v>
      </c>
      <c r="C390" s="1" t="n">
        <v>45822</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7000-2020</t>
        </is>
      </c>
      <c r="B391" s="1" t="n">
        <v>43868</v>
      </c>
      <c r="C391" s="1" t="n">
        <v>45822</v>
      </c>
      <c r="D391" t="inlineStr">
        <is>
          <t>VÄRMLANDS LÄN</t>
        </is>
      </c>
      <c r="E391" t="inlineStr">
        <is>
          <t>TORSBY</t>
        </is>
      </c>
      <c r="G391" t="n">
        <v>2.8</v>
      </c>
      <c r="H391" t="n">
        <v>0</v>
      </c>
      <c r="I391" t="n">
        <v>0</v>
      </c>
      <c r="J391" t="n">
        <v>0</v>
      </c>
      <c r="K391" t="n">
        <v>0</v>
      </c>
      <c r="L391" t="n">
        <v>0</v>
      </c>
      <c r="M391" t="n">
        <v>0</v>
      </c>
      <c r="N391" t="n">
        <v>0</v>
      </c>
      <c r="O391" t="n">
        <v>0</v>
      </c>
      <c r="P391" t="n">
        <v>0</v>
      </c>
      <c r="Q391" t="n">
        <v>0</v>
      </c>
      <c r="R391" s="2" t="inlineStr"/>
    </row>
    <row r="392" ht="15" customHeight="1">
      <c r="A392" t="inlineStr">
        <is>
          <t>A 6862-2020</t>
        </is>
      </c>
      <c r="B392" s="1" t="n">
        <v>43868</v>
      </c>
      <c r="C392" s="1" t="n">
        <v>45822</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7153-2020</t>
        </is>
      </c>
      <c r="B393" s="1" t="n">
        <v>43870</v>
      </c>
      <c r="C393" s="1" t="n">
        <v>45822</v>
      </c>
      <c r="D393" t="inlineStr">
        <is>
          <t>VÄRMLANDS LÄN</t>
        </is>
      </c>
      <c r="E393" t="inlineStr">
        <is>
          <t>TORSBY</t>
        </is>
      </c>
      <c r="G393" t="n">
        <v>2.5</v>
      </c>
      <c r="H393" t="n">
        <v>0</v>
      </c>
      <c r="I393" t="n">
        <v>0</v>
      </c>
      <c r="J393" t="n">
        <v>0</v>
      </c>
      <c r="K393" t="n">
        <v>0</v>
      </c>
      <c r="L393" t="n">
        <v>0</v>
      </c>
      <c r="M393" t="n">
        <v>0</v>
      </c>
      <c r="N393" t="n">
        <v>0</v>
      </c>
      <c r="O393" t="n">
        <v>0</v>
      </c>
      <c r="P393" t="n">
        <v>0</v>
      </c>
      <c r="Q393" t="n">
        <v>0</v>
      </c>
      <c r="R393" s="2" t="inlineStr"/>
    </row>
    <row r="394" ht="15" customHeight="1">
      <c r="A394" t="inlineStr">
        <is>
          <t>A 7279-2020</t>
        </is>
      </c>
      <c r="B394" s="1" t="n">
        <v>43871</v>
      </c>
      <c r="C394" s="1" t="n">
        <v>45822</v>
      </c>
      <c r="D394" t="inlineStr">
        <is>
          <t>VÄRMLANDS LÄN</t>
        </is>
      </c>
      <c r="E394" t="inlineStr">
        <is>
          <t>TORSBY</t>
        </is>
      </c>
      <c r="G394" t="n">
        <v>6.7</v>
      </c>
      <c r="H394" t="n">
        <v>0</v>
      </c>
      <c r="I394" t="n">
        <v>0</v>
      </c>
      <c r="J394" t="n">
        <v>0</v>
      </c>
      <c r="K394" t="n">
        <v>0</v>
      </c>
      <c r="L394" t="n">
        <v>0</v>
      </c>
      <c r="M394" t="n">
        <v>0</v>
      </c>
      <c r="N394" t="n">
        <v>0</v>
      </c>
      <c r="O394" t="n">
        <v>0</v>
      </c>
      <c r="P394" t="n">
        <v>0</v>
      </c>
      <c r="Q394" t="n">
        <v>0</v>
      </c>
      <c r="R394" s="2" t="inlineStr"/>
    </row>
    <row r="395" ht="15" customHeight="1">
      <c r="A395" t="inlineStr">
        <is>
          <t>A 7526-2020</t>
        </is>
      </c>
      <c r="B395" s="1" t="n">
        <v>43871</v>
      </c>
      <c r="C395" s="1" t="n">
        <v>45822</v>
      </c>
      <c r="D395" t="inlineStr">
        <is>
          <t>VÄRMLANDS LÄN</t>
        </is>
      </c>
      <c r="E395" t="inlineStr">
        <is>
          <t>TORSBY</t>
        </is>
      </c>
      <c r="G395" t="n">
        <v>11.8</v>
      </c>
      <c r="H395" t="n">
        <v>0</v>
      </c>
      <c r="I395" t="n">
        <v>0</v>
      </c>
      <c r="J395" t="n">
        <v>0</v>
      </c>
      <c r="K395" t="n">
        <v>0</v>
      </c>
      <c r="L395" t="n">
        <v>0</v>
      </c>
      <c r="M395" t="n">
        <v>0</v>
      </c>
      <c r="N395" t="n">
        <v>0</v>
      </c>
      <c r="O395" t="n">
        <v>0</v>
      </c>
      <c r="P395" t="n">
        <v>0</v>
      </c>
      <c r="Q395" t="n">
        <v>0</v>
      </c>
      <c r="R395" s="2" t="inlineStr"/>
    </row>
    <row r="396" ht="15" customHeight="1">
      <c r="A396" t="inlineStr">
        <is>
          <t>A 7582-2020</t>
        </is>
      </c>
      <c r="B396" s="1" t="n">
        <v>43871</v>
      </c>
      <c r="C396" s="1" t="n">
        <v>45822</v>
      </c>
      <c r="D396" t="inlineStr">
        <is>
          <t>VÄRMLANDS LÄN</t>
        </is>
      </c>
      <c r="E396" t="inlineStr">
        <is>
          <t>TORSBY</t>
        </is>
      </c>
      <c r="G396" t="n">
        <v>7.4</v>
      </c>
      <c r="H396" t="n">
        <v>0</v>
      </c>
      <c r="I396" t="n">
        <v>0</v>
      </c>
      <c r="J396" t="n">
        <v>0</v>
      </c>
      <c r="K396" t="n">
        <v>0</v>
      </c>
      <c r="L396" t="n">
        <v>0</v>
      </c>
      <c r="M396" t="n">
        <v>0</v>
      </c>
      <c r="N396" t="n">
        <v>0</v>
      </c>
      <c r="O396" t="n">
        <v>0</v>
      </c>
      <c r="P396" t="n">
        <v>0</v>
      </c>
      <c r="Q396" t="n">
        <v>0</v>
      </c>
      <c r="R396" s="2" t="inlineStr"/>
    </row>
    <row r="397" ht="15" customHeight="1">
      <c r="A397" t="inlineStr">
        <is>
          <t>A 7749-2020</t>
        </is>
      </c>
      <c r="B397" s="1" t="n">
        <v>43872</v>
      </c>
      <c r="C397" s="1" t="n">
        <v>45822</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7856-2020</t>
        </is>
      </c>
      <c r="B398" s="1" t="n">
        <v>43873</v>
      </c>
      <c r="C398" s="1" t="n">
        <v>45822</v>
      </c>
      <c r="D398" t="inlineStr">
        <is>
          <t>VÄRMLANDS LÄN</t>
        </is>
      </c>
      <c r="E398" t="inlineStr">
        <is>
          <t>TORSBY</t>
        </is>
      </c>
      <c r="G398" t="n">
        <v>4.5</v>
      </c>
      <c r="H398" t="n">
        <v>0</v>
      </c>
      <c r="I398" t="n">
        <v>0</v>
      </c>
      <c r="J398" t="n">
        <v>0</v>
      </c>
      <c r="K398" t="n">
        <v>0</v>
      </c>
      <c r="L398" t="n">
        <v>0</v>
      </c>
      <c r="M398" t="n">
        <v>0</v>
      </c>
      <c r="N398" t="n">
        <v>0</v>
      </c>
      <c r="O398" t="n">
        <v>0</v>
      </c>
      <c r="P398" t="n">
        <v>0</v>
      </c>
      <c r="Q398" t="n">
        <v>0</v>
      </c>
      <c r="R398" s="2" t="inlineStr"/>
    </row>
    <row r="399" ht="15" customHeight="1">
      <c r="A399" t="inlineStr">
        <is>
          <t>A 8631-2020</t>
        </is>
      </c>
      <c r="B399" s="1" t="n">
        <v>43874</v>
      </c>
      <c r="C399" s="1" t="n">
        <v>45822</v>
      </c>
      <c r="D399" t="inlineStr">
        <is>
          <t>VÄRMLANDS LÄN</t>
        </is>
      </c>
      <c r="E399" t="inlineStr">
        <is>
          <t>TORSBY</t>
        </is>
      </c>
      <c r="G399" t="n">
        <v>3.3</v>
      </c>
      <c r="H399" t="n">
        <v>0</v>
      </c>
      <c r="I399" t="n">
        <v>0</v>
      </c>
      <c r="J399" t="n">
        <v>0</v>
      </c>
      <c r="K399" t="n">
        <v>0</v>
      </c>
      <c r="L399" t="n">
        <v>0</v>
      </c>
      <c r="M399" t="n">
        <v>0</v>
      </c>
      <c r="N399" t="n">
        <v>0</v>
      </c>
      <c r="O399" t="n">
        <v>0</v>
      </c>
      <c r="P399" t="n">
        <v>0</v>
      </c>
      <c r="Q399" t="n">
        <v>0</v>
      </c>
      <c r="R399" s="2" t="inlineStr"/>
    </row>
    <row r="400" ht="15" customHeight="1">
      <c r="A400" t="inlineStr">
        <is>
          <t>A 8899-2020</t>
        </is>
      </c>
      <c r="B400" s="1" t="n">
        <v>43878</v>
      </c>
      <c r="C400" s="1" t="n">
        <v>45822</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9192-2020</t>
        </is>
      </c>
      <c r="B401" s="1" t="n">
        <v>43879</v>
      </c>
      <c r="C401" s="1" t="n">
        <v>45822</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9766-2020</t>
        </is>
      </c>
      <c r="B402" s="1" t="n">
        <v>43879</v>
      </c>
      <c r="C402" s="1" t="n">
        <v>45822</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9760-2020</t>
        </is>
      </c>
      <c r="B403" s="1" t="n">
        <v>43879</v>
      </c>
      <c r="C403" s="1" t="n">
        <v>45822</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9600-2020</t>
        </is>
      </c>
      <c r="B404" s="1" t="n">
        <v>43881</v>
      </c>
      <c r="C404" s="1" t="n">
        <v>45822</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10899-2020</t>
        </is>
      </c>
      <c r="B405" s="1" t="n">
        <v>43885</v>
      </c>
      <c r="C405" s="1" t="n">
        <v>45822</v>
      </c>
      <c r="D405" t="inlineStr">
        <is>
          <t>VÄRMLANDS LÄN</t>
        </is>
      </c>
      <c r="E405" t="inlineStr">
        <is>
          <t>TORSBY</t>
        </is>
      </c>
      <c r="G405" t="n">
        <v>7.4</v>
      </c>
      <c r="H405" t="n">
        <v>0</v>
      </c>
      <c r="I405" t="n">
        <v>0</v>
      </c>
      <c r="J405" t="n">
        <v>0</v>
      </c>
      <c r="K405" t="n">
        <v>0</v>
      </c>
      <c r="L405" t="n">
        <v>0</v>
      </c>
      <c r="M405" t="n">
        <v>0</v>
      </c>
      <c r="N405" t="n">
        <v>0</v>
      </c>
      <c r="O405" t="n">
        <v>0</v>
      </c>
      <c r="P405" t="n">
        <v>0</v>
      </c>
      <c r="Q405" t="n">
        <v>0</v>
      </c>
      <c r="R405" s="2" t="inlineStr"/>
    </row>
    <row r="406" ht="15" customHeight="1">
      <c r="A406" t="inlineStr">
        <is>
          <t>A 10422-2020</t>
        </is>
      </c>
      <c r="B406" s="1" t="n">
        <v>43886</v>
      </c>
      <c r="C406" s="1" t="n">
        <v>45822</v>
      </c>
      <c r="D406" t="inlineStr">
        <is>
          <t>VÄRMLANDS LÄN</t>
        </is>
      </c>
      <c r="E406" t="inlineStr">
        <is>
          <t>TORSBY</t>
        </is>
      </c>
      <c r="G406" t="n">
        <v>3.4</v>
      </c>
      <c r="H406" t="n">
        <v>0</v>
      </c>
      <c r="I406" t="n">
        <v>0</v>
      </c>
      <c r="J406" t="n">
        <v>0</v>
      </c>
      <c r="K406" t="n">
        <v>0</v>
      </c>
      <c r="L406" t="n">
        <v>0</v>
      </c>
      <c r="M406" t="n">
        <v>0</v>
      </c>
      <c r="N406" t="n">
        <v>0</v>
      </c>
      <c r="O406" t="n">
        <v>0</v>
      </c>
      <c r="P406" t="n">
        <v>0</v>
      </c>
      <c r="Q406" t="n">
        <v>0</v>
      </c>
      <c r="R406" s="2" t="inlineStr"/>
    </row>
    <row r="407" ht="15" customHeight="1">
      <c r="A407" t="inlineStr">
        <is>
          <t>A 10449-2020</t>
        </is>
      </c>
      <c r="B407" s="1" t="n">
        <v>43886</v>
      </c>
      <c r="C407" s="1" t="n">
        <v>45822</v>
      </c>
      <c r="D407" t="inlineStr">
        <is>
          <t>VÄRMLANDS LÄN</t>
        </is>
      </c>
      <c r="E407" t="inlineStr">
        <is>
          <t>TORSBY</t>
        </is>
      </c>
      <c r="G407" t="n">
        <v>2.4</v>
      </c>
      <c r="H407" t="n">
        <v>0</v>
      </c>
      <c r="I407" t="n">
        <v>0</v>
      </c>
      <c r="J407" t="n">
        <v>0</v>
      </c>
      <c r="K407" t="n">
        <v>0</v>
      </c>
      <c r="L407" t="n">
        <v>0</v>
      </c>
      <c r="M407" t="n">
        <v>0</v>
      </c>
      <c r="N407" t="n">
        <v>0</v>
      </c>
      <c r="O407" t="n">
        <v>0</v>
      </c>
      <c r="P407" t="n">
        <v>0</v>
      </c>
      <c r="Q407" t="n">
        <v>0</v>
      </c>
      <c r="R407" s="2" t="inlineStr"/>
    </row>
    <row r="408" ht="15" customHeight="1">
      <c r="A408" t="inlineStr">
        <is>
          <t>A 11213-2020</t>
        </is>
      </c>
      <c r="B408" s="1" t="n">
        <v>43892</v>
      </c>
      <c r="C408" s="1" t="n">
        <v>45822</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12428-2020</t>
        </is>
      </c>
      <c r="B409" s="1" t="n">
        <v>43896</v>
      </c>
      <c r="C409" s="1" t="n">
        <v>45822</v>
      </c>
      <c r="D409" t="inlineStr">
        <is>
          <t>VÄRMLANDS LÄN</t>
        </is>
      </c>
      <c r="E409" t="inlineStr">
        <is>
          <t>TORSBY</t>
        </is>
      </c>
      <c r="G409" t="n">
        <v>2.3</v>
      </c>
      <c r="H409" t="n">
        <v>0</v>
      </c>
      <c r="I409" t="n">
        <v>0</v>
      </c>
      <c r="J409" t="n">
        <v>0</v>
      </c>
      <c r="K409" t="n">
        <v>0</v>
      </c>
      <c r="L409" t="n">
        <v>0</v>
      </c>
      <c r="M409" t="n">
        <v>0</v>
      </c>
      <c r="N409" t="n">
        <v>0</v>
      </c>
      <c r="O409" t="n">
        <v>0</v>
      </c>
      <c r="P409" t="n">
        <v>0</v>
      </c>
      <c r="Q409" t="n">
        <v>0</v>
      </c>
      <c r="R409" s="2" t="inlineStr"/>
    </row>
    <row r="410" ht="15" customHeight="1">
      <c r="A410" t="inlineStr">
        <is>
          <t>A 12855-2020</t>
        </is>
      </c>
      <c r="B410" s="1" t="n">
        <v>43899</v>
      </c>
      <c r="C410" s="1" t="n">
        <v>45822</v>
      </c>
      <c r="D410" t="inlineStr">
        <is>
          <t>VÄRMLANDS LÄN</t>
        </is>
      </c>
      <c r="E410" t="inlineStr">
        <is>
          <t>TORSBY</t>
        </is>
      </c>
      <c r="G410" t="n">
        <v>5.9</v>
      </c>
      <c r="H410" t="n">
        <v>0</v>
      </c>
      <c r="I410" t="n">
        <v>0</v>
      </c>
      <c r="J410" t="n">
        <v>0</v>
      </c>
      <c r="K410" t="n">
        <v>0</v>
      </c>
      <c r="L410" t="n">
        <v>0</v>
      </c>
      <c r="M410" t="n">
        <v>0</v>
      </c>
      <c r="N410" t="n">
        <v>0</v>
      </c>
      <c r="O410" t="n">
        <v>0</v>
      </c>
      <c r="P410" t="n">
        <v>0</v>
      </c>
      <c r="Q410" t="n">
        <v>0</v>
      </c>
      <c r="R410" s="2" t="inlineStr"/>
    </row>
    <row r="411" ht="15" customHeight="1">
      <c r="A411" t="inlineStr">
        <is>
          <t>A 12881-2020</t>
        </is>
      </c>
      <c r="B411" s="1" t="n">
        <v>43900</v>
      </c>
      <c r="C411" s="1" t="n">
        <v>45822</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14246-2020</t>
        </is>
      </c>
      <c r="B412" s="1" t="n">
        <v>43900</v>
      </c>
      <c r="C412" s="1" t="n">
        <v>45822</v>
      </c>
      <c r="D412" t="inlineStr">
        <is>
          <t>VÄRMLANDS LÄN</t>
        </is>
      </c>
      <c r="E412" t="inlineStr">
        <is>
          <t>TORSBY</t>
        </is>
      </c>
      <c r="G412" t="n">
        <v>2.3</v>
      </c>
      <c r="H412" t="n">
        <v>0</v>
      </c>
      <c r="I412" t="n">
        <v>0</v>
      </c>
      <c r="J412" t="n">
        <v>0</v>
      </c>
      <c r="K412" t="n">
        <v>0</v>
      </c>
      <c r="L412" t="n">
        <v>0</v>
      </c>
      <c r="M412" t="n">
        <v>0</v>
      </c>
      <c r="N412" t="n">
        <v>0</v>
      </c>
      <c r="O412" t="n">
        <v>0</v>
      </c>
      <c r="P412" t="n">
        <v>0</v>
      </c>
      <c r="Q412" t="n">
        <v>0</v>
      </c>
      <c r="R412" s="2" t="inlineStr"/>
    </row>
    <row r="413" ht="15" customHeight="1">
      <c r="A413" t="inlineStr">
        <is>
          <t>A 13153-2020</t>
        </is>
      </c>
      <c r="B413" s="1" t="n">
        <v>43901</v>
      </c>
      <c r="C413" s="1" t="n">
        <v>45822</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13250-2020</t>
        </is>
      </c>
      <c r="B414" s="1" t="n">
        <v>43901</v>
      </c>
      <c r="C414" s="1" t="n">
        <v>45822</v>
      </c>
      <c r="D414" t="inlineStr">
        <is>
          <t>VÄRMLANDS LÄN</t>
        </is>
      </c>
      <c r="E414" t="inlineStr">
        <is>
          <t>TORSBY</t>
        </is>
      </c>
      <c r="G414" t="n">
        <v>0.8</v>
      </c>
      <c r="H414" t="n">
        <v>0</v>
      </c>
      <c r="I414" t="n">
        <v>0</v>
      </c>
      <c r="J414" t="n">
        <v>0</v>
      </c>
      <c r="K414" t="n">
        <v>0</v>
      </c>
      <c r="L414" t="n">
        <v>0</v>
      </c>
      <c r="M414" t="n">
        <v>0</v>
      </c>
      <c r="N414" t="n">
        <v>0</v>
      </c>
      <c r="O414" t="n">
        <v>0</v>
      </c>
      <c r="P414" t="n">
        <v>0</v>
      </c>
      <c r="Q414" t="n">
        <v>0</v>
      </c>
      <c r="R414" s="2" t="inlineStr"/>
    </row>
    <row r="415" ht="15" customHeight="1">
      <c r="A415" t="inlineStr">
        <is>
          <t>A 14695-2020</t>
        </is>
      </c>
      <c r="B415" s="1" t="n">
        <v>43903</v>
      </c>
      <c r="C415" s="1" t="n">
        <v>45822</v>
      </c>
      <c r="D415" t="inlineStr">
        <is>
          <t>VÄRMLANDS LÄN</t>
        </is>
      </c>
      <c r="E415" t="inlineStr">
        <is>
          <t>TORSBY</t>
        </is>
      </c>
      <c r="G415" t="n">
        <v>8</v>
      </c>
      <c r="H415" t="n">
        <v>0</v>
      </c>
      <c r="I415" t="n">
        <v>0</v>
      </c>
      <c r="J415" t="n">
        <v>0</v>
      </c>
      <c r="K415" t="n">
        <v>0</v>
      </c>
      <c r="L415" t="n">
        <v>0</v>
      </c>
      <c r="M415" t="n">
        <v>0</v>
      </c>
      <c r="N415" t="n">
        <v>0</v>
      </c>
      <c r="O415" t="n">
        <v>0</v>
      </c>
      <c r="P415" t="n">
        <v>0</v>
      </c>
      <c r="Q415" t="n">
        <v>0</v>
      </c>
      <c r="R415" s="2" t="inlineStr"/>
    </row>
    <row r="416" ht="15" customHeight="1">
      <c r="A416" t="inlineStr">
        <is>
          <t>A 14693-2020</t>
        </is>
      </c>
      <c r="B416" s="1" t="n">
        <v>43903</v>
      </c>
      <c r="C416" s="1" t="n">
        <v>45822</v>
      </c>
      <c r="D416" t="inlineStr">
        <is>
          <t>VÄRMLANDS LÄN</t>
        </is>
      </c>
      <c r="E416" t="inlineStr">
        <is>
          <t>TORSBY</t>
        </is>
      </c>
      <c r="G416" t="n">
        <v>2.9</v>
      </c>
      <c r="H416" t="n">
        <v>0</v>
      </c>
      <c r="I416" t="n">
        <v>0</v>
      </c>
      <c r="J416" t="n">
        <v>0</v>
      </c>
      <c r="K416" t="n">
        <v>0</v>
      </c>
      <c r="L416" t="n">
        <v>0</v>
      </c>
      <c r="M416" t="n">
        <v>0</v>
      </c>
      <c r="N416" t="n">
        <v>0</v>
      </c>
      <c r="O416" t="n">
        <v>0</v>
      </c>
      <c r="P416" t="n">
        <v>0</v>
      </c>
      <c r="Q416" t="n">
        <v>0</v>
      </c>
      <c r="R416" s="2" t="inlineStr"/>
    </row>
    <row r="417" ht="15" customHeight="1">
      <c r="A417" t="inlineStr">
        <is>
          <t>A 14962-2020</t>
        </is>
      </c>
      <c r="B417" s="1" t="n">
        <v>43907</v>
      </c>
      <c r="C417" s="1" t="n">
        <v>45822</v>
      </c>
      <c r="D417" t="inlineStr">
        <is>
          <t>VÄRMLANDS LÄN</t>
        </is>
      </c>
      <c r="E417" t="inlineStr">
        <is>
          <t>TORSBY</t>
        </is>
      </c>
      <c r="G417" t="n">
        <v>2.1</v>
      </c>
      <c r="H417" t="n">
        <v>0</v>
      </c>
      <c r="I417" t="n">
        <v>0</v>
      </c>
      <c r="J417" t="n">
        <v>0</v>
      </c>
      <c r="K417" t="n">
        <v>0</v>
      </c>
      <c r="L417" t="n">
        <v>0</v>
      </c>
      <c r="M417" t="n">
        <v>0</v>
      </c>
      <c r="N417" t="n">
        <v>0</v>
      </c>
      <c r="O417" t="n">
        <v>0</v>
      </c>
      <c r="P417" t="n">
        <v>0</v>
      </c>
      <c r="Q417" t="n">
        <v>0</v>
      </c>
      <c r="R417" s="2" t="inlineStr"/>
    </row>
    <row r="418" ht="15" customHeight="1">
      <c r="A418" t="inlineStr">
        <is>
          <t>A 14968-2020</t>
        </is>
      </c>
      <c r="B418" s="1" t="n">
        <v>43907</v>
      </c>
      <c r="C418" s="1" t="n">
        <v>45822</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14702-2020</t>
        </is>
      </c>
      <c r="B419" s="1" t="n">
        <v>43909</v>
      </c>
      <c r="C419" s="1" t="n">
        <v>45822</v>
      </c>
      <c r="D419" t="inlineStr">
        <is>
          <t>VÄRMLANDS LÄN</t>
        </is>
      </c>
      <c r="E419" t="inlineStr">
        <is>
          <t>TORSBY</t>
        </is>
      </c>
      <c r="G419" t="n">
        <v>2.1</v>
      </c>
      <c r="H419" t="n">
        <v>0</v>
      </c>
      <c r="I419" t="n">
        <v>0</v>
      </c>
      <c r="J419" t="n">
        <v>0</v>
      </c>
      <c r="K419" t="n">
        <v>0</v>
      </c>
      <c r="L419" t="n">
        <v>0</v>
      </c>
      <c r="M419" t="n">
        <v>0</v>
      </c>
      <c r="N419" t="n">
        <v>0</v>
      </c>
      <c r="O419" t="n">
        <v>0</v>
      </c>
      <c r="P419" t="n">
        <v>0</v>
      </c>
      <c r="Q419" t="n">
        <v>0</v>
      </c>
      <c r="R419" s="2" t="inlineStr"/>
    </row>
    <row r="420" ht="15" customHeight="1">
      <c r="A420" t="inlineStr">
        <is>
          <t>A 14694-2020</t>
        </is>
      </c>
      <c r="B420" s="1" t="n">
        <v>43909</v>
      </c>
      <c r="C420" s="1" t="n">
        <v>45822</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14851-2020</t>
        </is>
      </c>
      <c r="B421" s="1" t="n">
        <v>43909</v>
      </c>
      <c r="C421" s="1" t="n">
        <v>45822</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15161-2020</t>
        </is>
      </c>
      <c r="B422" s="1" t="n">
        <v>43912</v>
      </c>
      <c r="C422" s="1" t="n">
        <v>45822</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15280-2020</t>
        </is>
      </c>
      <c r="B423" s="1" t="n">
        <v>43913</v>
      </c>
      <c r="C423" s="1" t="n">
        <v>45822</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15589-2020</t>
        </is>
      </c>
      <c r="B424" s="1" t="n">
        <v>43914</v>
      </c>
      <c r="C424" s="1" t="n">
        <v>45822</v>
      </c>
      <c r="D424" t="inlineStr">
        <is>
          <t>VÄRMLANDS LÄN</t>
        </is>
      </c>
      <c r="E424" t="inlineStr">
        <is>
          <t>TORSBY</t>
        </is>
      </c>
      <c r="G424" t="n">
        <v>1.5</v>
      </c>
      <c r="H424" t="n">
        <v>0</v>
      </c>
      <c r="I424" t="n">
        <v>0</v>
      </c>
      <c r="J424" t="n">
        <v>0</v>
      </c>
      <c r="K424" t="n">
        <v>0</v>
      </c>
      <c r="L424" t="n">
        <v>0</v>
      </c>
      <c r="M424" t="n">
        <v>0</v>
      </c>
      <c r="N424" t="n">
        <v>0</v>
      </c>
      <c r="O424" t="n">
        <v>0</v>
      </c>
      <c r="P424" t="n">
        <v>0</v>
      </c>
      <c r="Q424" t="n">
        <v>0</v>
      </c>
      <c r="R424" s="2" t="inlineStr"/>
    </row>
    <row r="425" ht="15" customHeight="1">
      <c r="A425" t="inlineStr">
        <is>
          <t>A 15701-2020</t>
        </is>
      </c>
      <c r="B425" s="1" t="n">
        <v>43915</v>
      </c>
      <c r="C425" s="1" t="n">
        <v>45822</v>
      </c>
      <c r="D425" t="inlineStr">
        <is>
          <t>VÄRMLANDS LÄN</t>
        </is>
      </c>
      <c r="E425" t="inlineStr">
        <is>
          <t>TORSBY</t>
        </is>
      </c>
      <c r="G425" t="n">
        <v>2.9</v>
      </c>
      <c r="H425" t="n">
        <v>0</v>
      </c>
      <c r="I425" t="n">
        <v>0</v>
      </c>
      <c r="J425" t="n">
        <v>0</v>
      </c>
      <c r="K425" t="n">
        <v>0</v>
      </c>
      <c r="L425" t="n">
        <v>0</v>
      </c>
      <c r="M425" t="n">
        <v>0</v>
      </c>
      <c r="N425" t="n">
        <v>0</v>
      </c>
      <c r="O425" t="n">
        <v>0</v>
      </c>
      <c r="P425" t="n">
        <v>0</v>
      </c>
      <c r="Q425" t="n">
        <v>0</v>
      </c>
      <c r="R425" s="2" t="inlineStr"/>
    </row>
    <row r="426" ht="15" customHeight="1">
      <c r="A426" t="inlineStr">
        <is>
          <t>A 15768-2020</t>
        </is>
      </c>
      <c r="B426" s="1" t="n">
        <v>43915</v>
      </c>
      <c r="C426" s="1" t="n">
        <v>45822</v>
      </c>
      <c r="D426" t="inlineStr">
        <is>
          <t>VÄRMLANDS LÄN</t>
        </is>
      </c>
      <c r="E426" t="inlineStr">
        <is>
          <t>TORSBY</t>
        </is>
      </c>
      <c r="G426" t="n">
        <v>0.6</v>
      </c>
      <c r="H426" t="n">
        <v>0</v>
      </c>
      <c r="I426" t="n">
        <v>0</v>
      </c>
      <c r="J426" t="n">
        <v>0</v>
      </c>
      <c r="K426" t="n">
        <v>0</v>
      </c>
      <c r="L426" t="n">
        <v>0</v>
      </c>
      <c r="M426" t="n">
        <v>0</v>
      </c>
      <c r="N426" t="n">
        <v>0</v>
      </c>
      <c r="O426" t="n">
        <v>0</v>
      </c>
      <c r="P426" t="n">
        <v>0</v>
      </c>
      <c r="Q426" t="n">
        <v>0</v>
      </c>
      <c r="R426" s="2" t="inlineStr"/>
    </row>
    <row r="427" ht="15" customHeight="1">
      <c r="A427" t="inlineStr">
        <is>
          <t>A 16364-2020</t>
        </is>
      </c>
      <c r="B427" s="1" t="n">
        <v>43917</v>
      </c>
      <c r="C427" s="1" t="n">
        <v>45822</v>
      </c>
      <c r="D427" t="inlineStr">
        <is>
          <t>VÄRMLANDS LÄN</t>
        </is>
      </c>
      <c r="E427" t="inlineStr">
        <is>
          <t>TORSBY</t>
        </is>
      </c>
      <c r="G427" t="n">
        <v>1.6</v>
      </c>
      <c r="H427" t="n">
        <v>0</v>
      </c>
      <c r="I427" t="n">
        <v>0</v>
      </c>
      <c r="J427" t="n">
        <v>0</v>
      </c>
      <c r="K427" t="n">
        <v>0</v>
      </c>
      <c r="L427" t="n">
        <v>0</v>
      </c>
      <c r="M427" t="n">
        <v>0</v>
      </c>
      <c r="N427" t="n">
        <v>0</v>
      </c>
      <c r="O427" t="n">
        <v>0</v>
      </c>
      <c r="P427" t="n">
        <v>0</v>
      </c>
      <c r="Q427" t="n">
        <v>0</v>
      </c>
      <c r="R427" s="2" t="inlineStr"/>
    </row>
    <row r="428" ht="15" customHeight="1">
      <c r="A428" t="inlineStr">
        <is>
          <t>A 16437-2020</t>
        </is>
      </c>
      <c r="B428" s="1" t="n">
        <v>43919</v>
      </c>
      <c r="C428" s="1" t="n">
        <v>45822</v>
      </c>
      <c r="D428" t="inlineStr">
        <is>
          <t>VÄRMLANDS LÄN</t>
        </is>
      </c>
      <c r="E428" t="inlineStr">
        <is>
          <t>TORSBY</t>
        </is>
      </c>
      <c r="G428" t="n">
        <v>1.2</v>
      </c>
      <c r="H428" t="n">
        <v>0</v>
      </c>
      <c r="I428" t="n">
        <v>0</v>
      </c>
      <c r="J428" t="n">
        <v>0</v>
      </c>
      <c r="K428" t="n">
        <v>0</v>
      </c>
      <c r="L428" t="n">
        <v>0</v>
      </c>
      <c r="M428" t="n">
        <v>0</v>
      </c>
      <c r="N428" t="n">
        <v>0</v>
      </c>
      <c r="O428" t="n">
        <v>0</v>
      </c>
      <c r="P428" t="n">
        <v>0</v>
      </c>
      <c r="Q428" t="n">
        <v>0</v>
      </c>
      <c r="R428" s="2" t="inlineStr"/>
    </row>
    <row r="429" ht="15" customHeight="1">
      <c r="A429" t="inlineStr">
        <is>
          <t>A 17021-2020</t>
        </is>
      </c>
      <c r="B429" s="1" t="n">
        <v>43921</v>
      </c>
      <c r="C429" s="1" t="n">
        <v>45822</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16999-2020</t>
        </is>
      </c>
      <c r="B430" s="1" t="n">
        <v>43921</v>
      </c>
      <c r="C430" s="1" t="n">
        <v>45822</v>
      </c>
      <c r="D430" t="inlineStr">
        <is>
          <t>VÄRMLANDS LÄN</t>
        </is>
      </c>
      <c r="E430" t="inlineStr">
        <is>
          <t>TORSBY</t>
        </is>
      </c>
      <c r="G430" t="n">
        <v>6.6</v>
      </c>
      <c r="H430" t="n">
        <v>0</v>
      </c>
      <c r="I430" t="n">
        <v>0</v>
      </c>
      <c r="J430" t="n">
        <v>0</v>
      </c>
      <c r="K430" t="n">
        <v>0</v>
      </c>
      <c r="L430" t="n">
        <v>0</v>
      </c>
      <c r="M430" t="n">
        <v>0</v>
      </c>
      <c r="N430" t="n">
        <v>0</v>
      </c>
      <c r="O430" t="n">
        <v>0</v>
      </c>
      <c r="P430" t="n">
        <v>0</v>
      </c>
      <c r="Q430" t="n">
        <v>0</v>
      </c>
      <c r="R430" s="2" t="inlineStr"/>
    </row>
    <row r="431" ht="15" customHeight="1">
      <c r="A431" t="inlineStr">
        <is>
          <t>A 17009-2020</t>
        </is>
      </c>
      <c r="B431" s="1" t="n">
        <v>43921</v>
      </c>
      <c r="C431" s="1" t="n">
        <v>45822</v>
      </c>
      <c r="D431" t="inlineStr">
        <is>
          <t>VÄRMLANDS LÄN</t>
        </is>
      </c>
      <c r="E431" t="inlineStr">
        <is>
          <t>TORSBY</t>
        </is>
      </c>
      <c r="G431" t="n">
        <v>3.3</v>
      </c>
      <c r="H431" t="n">
        <v>0</v>
      </c>
      <c r="I431" t="n">
        <v>0</v>
      </c>
      <c r="J431" t="n">
        <v>0</v>
      </c>
      <c r="K431" t="n">
        <v>0</v>
      </c>
      <c r="L431" t="n">
        <v>0</v>
      </c>
      <c r="M431" t="n">
        <v>0</v>
      </c>
      <c r="N431" t="n">
        <v>0</v>
      </c>
      <c r="O431" t="n">
        <v>0</v>
      </c>
      <c r="P431" t="n">
        <v>0</v>
      </c>
      <c r="Q431" t="n">
        <v>0</v>
      </c>
      <c r="R431" s="2" t="inlineStr"/>
    </row>
    <row r="432" ht="15" customHeight="1">
      <c r="A432" t="inlineStr">
        <is>
          <t>A 18155-2020</t>
        </is>
      </c>
      <c r="B432" s="1" t="n">
        <v>43927</v>
      </c>
      <c r="C432" s="1" t="n">
        <v>45822</v>
      </c>
      <c r="D432" t="inlineStr">
        <is>
          <t>VÄRMLANDS LÄN</t>
        </is>
      </c>
      <c r="E432" t="inlineStr">
        <is>
          <t>TORSBY</t>
        </is>
      </c>
      <c r="G432" t="n">
        <v>0.8</v>
      </c>
      <c r="H432" t="n">
        <v>0</v>
      </c>
      <c r="I432" t="n">
        <v>0</v>
      </c>
      <c r="J432" t="n">
        <v>0</v>
      </c>
      <c r="K432" t="n">
        <v>0</v>
      </c>
      <c r="L432" t="n">
        <v>0</v>
      </c>
      <c r="M432" t="n">
        <v>0</v>
      </c>
      <c r="N432" t="n">
        <v>0</v>
      </c>
      <c r="O432" t="n">
        <v>0</v>
      </c>
      <c r="P432" t="n">
        <v>0</v>
      </c>
      <c r="Q432" t="n">
        <v>0</v>
      </c>
      <c r="R432" s="2" t="inlineStr"/>
    </row>
    <row r="433" ht="15" customHeight="1">
      <c r="A433" t="inlineStr">
        <is>
          <t>A 18641-2020</t>
        </is>
      </c>
      <c r="B433" s="1" t="n">
        <v>43928</v>
      </c>
      <c r="C433" s="1" t="n">
        <v>45822</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18769-2020</t>
        </is>
      </c>
      <c r="B434" s="1" t="n">
        <v>43930</v>
      </c>
      <c r="C434" s="1" t="n">
        <v>45822</v>
      </c>
      <c r="D434" t="inlineStr">
        <is>
          <t>VÄRMLANDS LÄN</t>
        </is>
      </c>
      <c r="E434" t="inlineStr">
        <is>
          <t>TORSBY</t>
        </is>
      </c>
      <c r="G434" t="n">
        <v>5.2</v>
      </c>
      <c r="H434" t="n">
        <v>0</v>
      </c>
      <c r="I434" t="n">
        <v>0</v>
      </c>
      <c r="J434" t="n">
        <v>0</v>
      </c>
      <c r="K434" t="n">
        <v>0</v>
      </c>
      <c r="L434" t="n">
        <v>0</v>
      </c>
      <c r="M434" t="n">
        <v>0</v>
      </c>
      <c r="N434" t="n">
        <v>0</v>
      </c>
      <c r="O434" t="n">
        <v>0</v>
      </c>
      <c r="P434" t="n">
        <v>0</v>
      </c>
      <c r="Q434" t="n">
        <v>0</v>
      </c>
      <c r="R434" s="2" t="inlineStr"/>
    </row>
    <row r="435" ht="15" customHeight="1">
      <c r="A435" t="inlineStr">
        <is>
          <t>A 18770-2020</t>
        </is>
      </c>
      <c r="B435" s="1" t="n">
        <v>43930</v>
      </c>
      <c r="C435" s="1" t="n">
        <v>45822</v>
      </c>
      <c r="D435" t="inlineStr">
        <is>
          <t>VÄRMLANDS LÄN</t>
        </is>
      </c>
      <c r="E435" t="inlineStr">
        <is>
          <t>TORSBY</t>
        </is>
      </c>
      <c r="G435" t="n">
        <v>4.2</v>
      </c>
      <c r="H435" t="n">
        <v>0</v>
      </c>
      <c r="I435" t="n">
        <v>0</v>
      </c>
      <c r="J435" t="n">
        <v>0</v>
      </c>
      <c r="K435" t="n">
        <v>0</v>
      </c>
      <c r="L435" t="n">
        <v>0</v>
      </c>
      <c r="M435" t="n">
        <v>0</v>
      </c>
      <c r="N435" t="n">
        <v>0</v>
      </c>
      <c r="O435" t="n">
        <v>0</v>
      </c>
      <c r="P435" t="n">
        <v>0</v>
      </c>
      <c r="Q435" t="n">
        <v>0</v>
      </c>
      <c r="R435" s="2" t="inlineStr"/>
    </row>
    <row r="436" ht="15" customHeight="1">
      <c r="A436" t="inlineStr">
        <is>
          <t>A 18972-2020</t>
        </is>
      </c>
      <c r="B436" s="1" t="n">
        <v>43935</v>
      </c>
      <c r="C436" s="1" t="n">
        <v>45822</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19032-2020</t>
        </is>
      </c>
      <c r="B437" s="1" t="n">
        <v>43936</v>
      </c>
      <c r="C437" s="1" t="n">
        <v>45822</v>
      </c>
      <c r="D437" t="inlineStr">
        <is>
          <t>VÄRMLANDS LÄN</t>
        </is>
      </c>
      <c r="E437" t="inlineStr">
        <is>
          <t>TORSBY</t>
        </is>
      </c>
      <c r="G437" t="n">
        <v>1</v>
      </c>
      <c r="H437" t="n">
        <v>0</v>
      </c>
      <c r="I437" t="n">
        <v>0</v>
      </c>
      <c r="J437" t="n">
        <v>0</v>
      </c>
      <c r="K437" t="n">
        <v>0</v>
      </c>
      <c r="L437" t="n">
        <v>0</v>
      </c>
      <c r="M437" t="n">
        <v>0</v>
      </c>
      <c r="N437" t="n">
        <v>0</v>
      </c>
      <c r="O437" t="n">
        <v>0</v>
      </c>
      <c r="P437" t="n">
        <v>0</v>
      </c>
      <c r="Q437" t="n">
        <v>0</v>
      </c>
      <c r="R437" s="2" t="inlineStr"/>
    </row>
    <row r="438" ht="15" customHeight="1">
      <c r="A438" t="inlineStr">
        <is>
          <t>A 19181-2020</t>
        </is>
      </c>
      <c r="B438" s="1" t="n">
        <v>43937</v>
      </c>
      <c r="C438" s="1" t="n">
        <v>45822</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19384-2020</t>
        </is>
      </c>
      <c r="B439" s="1" t="n">
        <v>43938</v>
      </c>
      <c r="C439" s="1" t="n">
        <v>45822</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19963-2020</t>
        </is>
      </c>
      <c r="B440" s="1" t="n">
        <v>43941</v>
      </c>
      <c r="C440" s="1" t="n">
        <v>45822</v>
      </c>
      <c r="D440" t="inlineStr">
        <is>
          <t>VÄRMLANDS LÄN</t>
        </is>
      </c>
      <c r="E440" t="inlineStr">
        <is>
          <t>TORSBY</t>
        </is>
      </c>
      <c r="G440" t="n">
        <v>0.5</v>
      </c>
      <c r="H440" t="n">
        <v>0</v>
      </c>
      <c r="I440" t="n">
        <v>0</v>
      </c>
      <c r="J440" t="n">
        <v>0</v>
      </c>
      <c r="K440" t="n">
        <v>0</v>
      </c>
      <c r="L440" t="n">
        <v>0</v>
      </c>
      <c r="M440" t="n">
        <v>0</v>
      </c>
      <c r="N440" t="n">
        <v>0</v>
      </c>
      <c r="O440" t="n">
        <v>0</v>
      </c>
      <c r="P440" t="n">
        <v>0</v>
      </c>
      <c r="Q440" t="n">
        <v>0</v>
      </c>
      <c r="R440" s="2" t="inlineStr"/>
    </row>
    <row r="441" ht="15" customHeight="1">
      <c r="A441" t="inlineStr">
        <is>
          <t>A 20025-2020</t>
        </is>
      </c>
      <c r="B441" s="1" t="n">
        <v>43943</v>
      </c>
      <c r="C441" s="1" t="n">
        <v>45822</v>
      </c>
      <c r="D441" t="inlineStr">
        <is>
          <t>VÄRMLANDS LÄN</t>
        </is>
      </c>
      <c r="E441" t="inlineStr">
        <is>
          <t>TORSBY</t>
        </is>
      </c>
      <c r="F441" t="inlineStr">
        <is>
          <t>Bergvik skog väst AB</t>
        </is>
      </c>
      <c r="G441" t="n">
        <v>0.6</v>
      </c>
      <c r="H441" t="n">
        <v>0</v>
      </c>
      <c r="I441" t="n">
        <v>0</v>
      </c>
      <c r="J441" t="n">
        <v>0</v>
      </c>
      <c r="K441" t="n">
        <v>0</v>
      </c>
      <c r="L441" t="n">
        <v>0</v>
      </c>
      <c r="M441" t="n">
        <v>0</v>
      </c>
      <c r="N441" t="n">
        <v>0</v>
      </c>
      <c r="O441" t="n">
        <v>0</v>
      </c>
      <c r="P441" t="n">
        <v>0</v>
      </c>
      <c r="Q441" t="n">
        <v>0</v>
      </c>
      <c r="R441" s="2" t="inlineStr"/>
    </row>
    <row r="442" ht="15" customHeight="1">
      <c r="A442" t="inlineStr">
        <is>
          <t>A 20280-2020</t>
        </is>
      </c>
      <c r="B442" s="1" t="n">
        <v>43945</v>
      </c>
      <c r="C442" s="1" t="n">
        <v>45822</v>
      </c>
      <c r="D442" t="inlineStr">
        <is>
          <t>VÄRMLANDS LÄN</t>
        </is>
      </c>
      <c r="E442" t="inlineStr">
        <is>
          <t>TORSBY</t>
        </is>
      </c>
      <c r="G442" t="n">
        <v>1.7</v>
      </c>
      <c r="H442" t="n">
        <v>0</v>
      </c>
      <c r="I442" t="n">
        <v>0</v>
      </c>
      <c r="J442" t="n">
        <v>0</v>
      </c>
      <c r="K442" t="n">
        <v>0</v>
      </c>
      <c r="L442" t="n">
        <v>0</v>
      </c>
      <c r="M442" t="n">
        <v>0</v>
      </c>
      <c r="N442" t="n">
        <v>0</v>
      </c>
      <c r="O442" t="n">
        <v>0</v>
      </c>
      <c r="P442" t="n">
        <v>0</v>
      </c>
      <c r="Q442" t="n">
        <v>0</v>
      </c>
      <c r="R442" s="2" t="inlineStr"/>
    </row>
    <row r="443" ht="15" customHeight="1">
      <c r="A443" t="inlineStr">
        <is>
          <t>A 20464-2020</t>
        </is>
      </c>
      <c r="B443" s="1" t="n">
        <v>43948</v>
      </c>
      <c r="C443" s="1" t="n">
        <v>45822</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21099-2020</t>
        </is>
      </c>
      <c r="B444" s="1" t="n">
        <v>43951</v>
      </c>
      <c r="C444" s="1" t="n">
        <v>45822</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21335-2020</t>
        </is>
      </c>
      <c r="B445" s="1" t="n">
        <v>43951</v>
      </c>
      <c r="C445" s="1" t="n">
        <v>45822</v>
      </c>
      <c r="D445" t="inlineStr">
        <is>
          <t>VÄRMLANDS LÄN</t>
        </is>
      </c>
      <c r="E445" t="inlineStr">
        <is>
          <t>TORSBY</t>
        </is>
      </c>
      <c r="F445" t="inlineStr">
        <is>
          <t>Övriga Aktiebolag</t>
        </is>
      </c>
      <c r="G445" t="n">
        <v>4</v>
      </c>
      <c r="H445" t="n">
        <v>0</v>
      </c>
      <c r="I445" t="n">
        <v>0</v>
      </c>
      <c r="J445" t="n">
        <v>0</v>
      </c>
      <c r="K445" t="n">
        <v>0</v>
      </c>
      <c r="L445" t="n">
        <v>0</v>
      </c>
      <c r="M445" t="n">
        <v>0</v>
      </c>
      <c r="N445" t="n">
        <v>0</v>
      </c>
      <c r="O445" t="n">
        <v>0</v>
      </c>
      <c r="P445" t="n">
        <v>0</v>
      </c>
      <c r="Q445" t="n">
        <v>0</v>
      </c>
      <c r="R445" s="2" t="inlineStr"/>
    </row>
    <row r="446" ht="15" customHeight="1">
      <c r="A446" t="inlineStr">
        <is>
          <t>A 21369-2020</t>
        </is>
      </c>
      <c r="B446" s="1" t="n">
        <v>43951</v>
      </c>
      <c r="C446" s="1" t="n">
        <v>45822</v>
      </c>
      <c r="D446" t="inlineStr">
        <is>
          <t>VÄRMLANDS LÄN</t>
        </is>
      </c>
      <c r="E446" t="inlineStr">
        <is>
          <t>TORSBY</t>
        </is>
      </c>
      <c r="F446" t="inlineStr">
        <is>
          <t>Övriga Aktiebolag</t>
        </is>
      </c>
      <c r="G446" t="n">
        <v>3.5</v>
      </c>
      <c r="H446" t="n">
        <v>0</v>
      </c>
      <c r="I446" t="n">
        <v>0</v>
      </c>
      <c r="J446" t="n">
        <v>0</v>
      </c>
      <c r="K446" t="n">
        <v>0</v>
      </c>
      <c r="L446" t="n">
        <v>0</v>
      </c>
      <c r="M446" t="n">
        <v>0</v>
      </c>
      <c r="N446" t="n">
        <v>0</v>
      </c>
      <c r="O446" t="n">
        <v>0</v>
      </c>
      <c r="P446" t="n">
        <v>0</v>
      </c>
      <c r="Q446" t="n">
        <v>0</v>
      </c>
      <c r="R446" s="2" t="inlineStr"/>
    </row>
    <row r="447" ht="15" customHeight="1">
      <c r="A447" t="inlineStr">
        <is>
          <t>A 21045-2020</t>
        </is>
      </c>
      <c r="B447" s="1" t="n">
        <v>43951</v>
      </c>
      <c r="C447" s="1" t="n">
        <v>45822</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21347-2020</t>
        </is>
      </c>
      <c r="B448" s="1" t="n">
        <v>43951</v>
      </c>
      <c r="C448" s="1" t="n">
        <v>45822</v>
      </c>
      <c r="D448" t="inlineStr">
        <is>
          <t>VÄRMLANDS LÄN</t>
        </is>
      </c>
      <c r="E448" t="inlineStr">
        <is>
          <t>TORSBY</t>
        </is>
      </c>
      <c r="F448" t="inlineStr">
        <is>
          <t>Övriga Aktiebolag</t>
        </is>
      </c>
      <c r="G448" t="n">
        <v>0.8</v>
      </c>
      <c r="H448" t="n">
        <v>0</v>
      </c>
      <c r="I448" t="n">
        <v>0</v>
      </c>
      <c r="J448" t="n">
        <v>0</v>
      </c>
      <c r="K448" t="n">
        <v>0</v>
      </c>
      <c r="L448" t="n">
        <v>0</v>
      </c>
      <c r="M448" t="n">
        <v>0</v>
      </c>
      <c r="N448" t="n">
        <v>0</v>
      </c>
      <c r="O448" t="n">
        <v>0</v>
      </c>
      <c r="P448" t="n">
        <v>0</v>
      </c>
      <c r="Q448" t="n">
        <v>0</v>
      </c>
      <c r="R448" s="2" t="inlineStr"/>
    </row>
    <row r="449" ht="15" customHeight="1">
      <c r="A449" t="inlineStr">
        <is>
          <t>A 21900-2020</t>
        </is>
      </c>
      <c r="B449" s="1" t="n">
        <v>43955</v>
      </c>
      <c r="C449" s="1" t="n">
        <v>45822</v>
      </c>
      <c r="D449" t="inlineStr">
        <is>
          <t>VÄRMLANDS LÄN</t>
        </is>
      </c>
      <c r="E449" t="inlineStr">
        <is>
          <t>TORSBY</t>
        </is>
      </c>
      <c r="G449" t="n">
        <v>2.7</v>
      </c>
      <c r="H449" t="n">
        <v>0</v>
      </c>
      <c r="I449" t="n">
        <v>0</v>
      </c>
      <c r="J449" t="n">
        <v>0</v>
      </c>
      <c r="K449" t="n">
        <v>0</v>
      </c>
      <c r="L449" t="n">
        <v>0</v>
      </c>
      <c r="M449" t="n">
        <v>0</v>
      </c>
      <c r="N449" t="n">
        <v>0</v>
      </c>
      <c r="O449" t="n">
        <v>0</v>
      </c>
      <c r="P449" t="n">
        <v>0</v>
      </c>
      <c r="Q449" t="n">
        <v>0</v>
      </c>
      <c r="R449" s="2" t="inlineStr"/>
    </row>
    <row r="450" ht="15" customHeight="1">
      <c r="A450" t="inlineStr">
        <is>
          <t>A 21672-2020</t>
        </is>
      </c>
      <c r="B450" s="1" t="n">
        <v>43957</v>
      </c>
      <c r="C450" s="1" t="n">
        <v>45822</v>
      </c>
      <c r="D450" t="inlineStr">
        <is>
          <t>VÄRMLANDS LÄN</t>
        </is>
      </c>
      <c r="E450" t="inlineStr">
        <is>
          <t>TORSBY</t>
        </is>
      </c>
      <c r="F450" t="inlineStr">
        <is>
          <t>Bergvik skog väst AB</t>
        </is>
      </c>
      <c r="G450" t="n">
        <v>44.1</v>
      </c>
      <c r="H450" t="n">
        <v>0</v>
      </c>
      <c r="I450" t="n">
        <v>0</v>
      </c>
      <c r="J450" t="n">
        <v>0</v>
      </c>
      <c r="K450" t="n">
        <v>0</v>
      </c>
      <c r="L450" t="n">
        <v>0</v>
      </c>
      <c r="M450" t="n">
        <v>0</v>
      </c>
      <c r="N450" t="n">
        <v>0</v>
      </c>
      <c r="O450" t="n">
        <v>0</v>
      </c>
      <c r="P450" t="n">
        <v>0</v>
      </c>
      <c r="Q450" t="n">
        <v>0</v>
      </c>
      <c r="R450" s="2" t="inlineStr"/>
    </row>
    <row r="451" ht="15" customHeight="1">
      <c r="A451" t="inlineStr">
        <is>
          <t>A 22194-2020</t>
        </is>
      </c>
      <c r="B451" s="1" t="n">
        <v>43962</v>
      </c>
      <c r="C451" s="1" t="n">
        <v>45822</v>
      </c>
      <c r="D451" t="inlineStr">
        <is>
          <t>VÄRMLANDS LÄN</t>
        </is>
      </c>
      <c r="E451" t="inlineStr">
        <is>
          <t>TORSBY</t>
        </is>
      </c>
      <c r="G451" t="n">
        <v>3.2</v>
      </c>
      <c r="H451" t="n">
        <v>0</v>
      </c>
      <c r="I451" t="n">
        <v>0</v>
      </c>
      <c r="J451" t="n">
        <v>0</v>
      </c>
      <c r="K451" t="n">
        <v>0</v>
      </c>
      <c r="L451" t="n">
        <v>0</v>
      </c>
      <c r="M451" t="n">
        <v>0</v>
      </c>
      <c r="N451" t="n">
        <v>0</v>
      </c>
      <c r="O451" t="n">
        <v>0</v>
      </c>
      <c r="P451" t="n">
        <v>0</v>
      </c>
      <c r="Q451" t="n">
        <v>0</v>
      </c>
      <c r="R451" s="2" t="inlineStr"/>
    </row>
    <row r="452" ht="15" customHeight="1">
      <c r="A452" t="inlineStr">
        <is>
          <t>A 22209-2020</t>
        </is>
      </c>
      <c r="B452" s="1" t="n">
        <v>43962</v>
      </c>
      <c r="C452" s="1" t="n">
        <v>45822</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25518-2020</t>
        </is>
      </c>
      <c r="B453" s="1" t="n">
        <v>43983</v>
      </c>
      <c r="C453" s="1" t="n">
        <v>45822</v>
      </c>
      <c r="D453" t="inlineStr">
        <is>
          <t>VÄRMLANDS LÄN</t>
        </is>
      </c>
      <c r="E453" t="inlineStr">
        <is>
          <t>TORSBY</t>
        </is>
      </c>
      <c r="G453" t="n">
        <v>0.2</v>
      </c>
      <c r="H453" t="n">
        <v>0</v>
      </c>
      <c r="I453" t="n">
        <v>0</v>
      </c>
      <c r="J453" t="n">
        <v>0</v>
      </c>
      <c r="K453" t="n">
        <v>0</v>
      </c>
      <c r="L453" t="n">
        <v>0</v>
      </c>
      <c r="M453" t="n">
        <v>0</v>
      </c>
      <c r="N453" t="n">
        <v>0</v>
      </c>
      <c r="O453" t="n">
        <v>0</v>
      </c>
      <c r="P453" t="n">
        <v>0</v>
      </c>
      <c r="Q453" t="n">
        <v>0</v>
      </c>
      <c r="R453" s="2" t="inlineStr"/>
    </row>
    <row r="454" ht="15" customHeight="1">
      <c r="A454" t="inlineStr">
        <is>
          <t>A 26915-2020</t>
        </is>
      </c>
      <c r="B454" s="1" t="n">
        <v>43986</v>
      </c>
      <c r="C454" s="1" t="n">
        <v>45822</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26926-2020</t>
        </is>
      </c>
      <c r="B455" s="1" t="n">
        <v>43986</v>
      </c>
      <c r="C455" s="1" t="n">
        <v>45822</v>
      </c>
      <c r="D455" t="inlineStr">
        <is>
          <t>VÄRMLANDS LÄN</t>
        </is>
      </c>
      <c r="E455" t="inlineStr">
        <is>
          <t>TORSBY</t>
        </is>
      </c>
      <c r="G455" t="n">
        <v>1.4</v>
      </c>
      <c r="H455" t="n">
        <v>0</v>
      </c>
      <c r="I455" t="n">
        <v>0</v>
      </c>
      <c r="J455" t="n">
        <v>0</v>
      </c>
      <c r="K455" t="n">
        <v>0</v>
      </c>
      <c r="L455" t="n">
        <v>0</v>
      </c>
      <c r="M455" t="n">
        <v>0</v>
      </c>
      <c r="N455" t="n">
        <v>0</v>
      </c>
      <c r="O455" t="n">
        <v>0</v>
      </c>
      <c r="P455" t="n">
        <v>0</v>
      </c>
      <c r="Q455" t="n">
        <v>0</v>
      </c>
      <c r="R455" s="2" t="inlineStr"/>
    </row>
    <row r="456" ht="15" customHeight="1">
      <c r="A456" t="inlineStr">
        <is>
          <t>A 26919-2020</t>
        </is>
      </c>
      <c r="B456" s="1" t="n">
        <v>43986</v>
      </c>
      <c r="C456" s="1" t="n">
        <v>45822</v>
      </c>
      <c r="D456" t="inlineStr">
        <is>
          <t>VÄRMLANDS LÄN</t>
        </is>
      </c>
      <c r="E456" t="inlineStr">
        <is>
          <t>TORSBY</t>
        </is>
      </c>
      <c r="G456" t="n">
        <v>0.4</v>
      </c>
      <c r="H456" t="n">
        <v>0</v>
      </c>
      <c r="I456" t="n">
        <v>0</v>
      </c>
      <c r="J456" t="n">
        <v>0</v>
      </c>
      <c r="K456" t="n">
        <v>0</v>
      </c>
      <c r="L456" t="n">
        <v>0</v>
      </c>
      <c r="M456" t="n">
        <v>0</v>
      </c>
      <c r="N456" t="n">
        <v>0</v>
      </c>
      <c r="O456" t="n">
        <v>0</v>
      </c>
      <c r="P456" t="n">
        <v>0</v>
      </c>
      <c r="Q456" t="n">
        <v>0</v>
      </c>
      <c r="R456" s="2" t="inlineStr"/>
    </row>
    <row r="457" ht="15" customHeight="1">
      <c r="A457" t="inlineStr">
        <is>
          <t>A 26666-2020</t>
        </is>
      </c>
      <c r="B457" s="1" t="n">
        <v>43989</v>
      </c>
      <c r="C457" s="1" t="n">
        <v>45822</v>
      </c>
      <c r="D457" t="inlineStr">
        <is>
          <t>VÄRMLANDS LÄN</t>
        </is>
      </c>
      <c r="E457" t="inlineStr">
        <is>
          <t>TORSBY</t>
        </is>
      </c>
      <c r="G457" t="n">
        <v>8.4</v>
      </c>
      <c r="H457" t="n">
        <v>0</v>
      </c>
      <c r="I457" t="n">
        <v>0</v>
      </c>
      <c r="J457" t="n">
        <v>0</v>
      </c>
      <c r="K457" t="n">
        <v>0</v>
      </c>
      <c r="L457" t="n">
        <v>0</v>
      </c>
      <c r="M457" t="n">
        <v>0</v>
      </c>
      <c r="N457" t="n">
        <v>0</v>
      </c>
      <c r="O457" t="n">
        <v>0</v>
      </c>
      <c r="P457" t="n">
        <v>0</v>
      </c>
      <c r="Q457" t="n">
        <v>0</v>
      </c>
      <c r="R457" s="2" t="inlineStr"/>
    </row>
    <row r="458" ht="15" customHeight="1">
      <c r="A458" t="inlineStr">
        <is>
          <t>A 27339-2020</t>
        </is>
      </c>
      <c r="B458" s="1" t="n">
        <v>43990</v>
      </c>
      <c r="C458" s="1" t="n">
        <v>45822</v>
      </c>
      <c r="D458" t="inlineStr">
        <is>
          <t>VÄRMLANDS LÄN</t>
        </is>
      </c>
      <c r="E458" t="inlineStr">
        <is>
          <t>TORSBY</t>
        </is>
      </c>
      <c r="G458" t="n">
        <v>4.2</v>
      </c>
      <c r="H458" t="n">
        <v>0</v>
      </c>
      <c r="I458" t="n">
        <v>0</v>
      </c>
      <c r="J458" t="n">
        <v>0</v>
      </c>
      <c r="K458" t="n">
        <v>0</v>
      </c>
      <c r="L458" t="n">
        <v>0</v>
      </c>
      <c r="M458" t="n">
        <v>0</v>
      </c>
      <c r="N458" t="n">
        <v>0</v>
      </c>
      <c r="O458" t="n">
        <v>0</v>
      </c>
      <c r="P458" t="n">
        <v>0</v>
      </c>
      <c r="Q458" t="n">
        <v>0</v>
      </c>
      <c r="R458" s="2" t="inlineStr"/>
    </row>
    <row r="459" ht="15" customHeight="1">
      <c r="A459" t="inlineStr">
        <is>
          <t>A 27009-2020</t>
        </is>
      </c>
      <c r="B459" s="1" t="n">
        <v>43991</v>
      </c>
      <c r="C459" s="1" t="n">
        <v>45822</v>
      </c>
      <c r="D459" t="inlineStr">
        <is>
          <t>VÄRMLANDS LÄN</t>
        </is>
      </c>
      <c r="E459" t="inlineStr">
        <is>
          <t>TORSBY</t>
        </is>
      </c>
      <c r="F459" t="inlineStr">
        <is>
          <t>Bergvik skog väst AB</t>
        </is>
      </c>
      <c r="G459" t="n">
        <v>3</v>
      </c>
      <c r="H459" t="n">
        <v>0</v>
      </c>
      <c r="I459" t="n">
        <v>0</v>
      </c>
      <c r="J459" t="n">
        <v>0</v>
      </c>
      <c r="K459" t="n">
        <v>0</v>
      </c>
      <c r="L459" t="n">
        <v>0</v>
      </c>
      <c r="M459" t="n">
        <v>0</v>
      </c>
      <c r="N459" t="n">
        <v>0</v>
      </c>
      <c r="O459" t="n">
        <v>0</v>
      </c>
      <c r="P459" t="n">
        <v>0</v>
      </c>
      <c r="Q459" t="n">
        <v>0</v>
      </c>
      <c r="R459" s="2" t="inlineStr"/>
    </row>
    <row r="460" ht="15" customHeight="1">
      <c r="A460" t="inlineStr">
        <is>
          <t>A 28397-2020</t>
        </is>
      </c>
      <c r="B460" s="1" t="n">
        <v>43998</v>
      </c>
      <c r="C460" s="1" t="n">
        <v>45822</v>
      </c>
      <c r="D460" t="inlineStr">
        <is>
          <t>VÄRMLANDS LÄN</t>
        </is>
      </c>
      <c r="E460" t="inlineStr">
        <is>
          <t>TORSBY</t>
        </is>
      </c>
      <c r="G460" t="n">
        <v>7.3</v>
      </c>
      <c r="H460" t="n">
        <v>0</v>
      </c>
      <c r="I460" t="n">
        <v>0</v>
      </c>
      <c r="J460" t="n">
        <v>0</v>
      </c>
      <c r="K460" t="n">
        <v>0</v>
      </c>
      <c r="L460" t="n">
        <v>0</v>
      </c>
      <c r="M460" t="n">
        <v>0</v>
      </c>
      <c r="N460" t="n">
        <v>0</v>
      </c>
      <c r="O460" t="n">
        <v>0</v>
      </c>
      <c r="P460" t="n">
        <v>0</v>
      </c>
      <c r="Q460" t="n">
        <v>0</v>
      </c>
      <c r="R460" s="2" t="inlineStr"/>
    </row>
    <row r="461" ht="15" customHeight="1">
      <c r="A461" t="inlineStr">
        <is>
          <t>A 28416-2020</t>
        </is>
      </c>
      <c r="B461" s="1" t="n">
        <v>43998</v>
      </c>
      <c r="C461" s="1" t="n">
        <v>45822</v>
      </c>
      <c r="D461" t="inlineStr">
        <is>
          <t>VÄRMLANDS LÄN</t>
        </is>
      </c>
      <c r="E461" t="inlineStr">
        <is>
          <t>TORSBY</t>
        </is>
      </c>
      <c r="G461" t="n">
        <v>2.1</v>
      </c>
      <c r="H461" t="n">
        <v>0</v>
      </c>
      <c r="I461" t="n">
        <v>0</v>
      </c>
      <c r="J461" t="n">
        <v>0</v>
      </c>
      <c r="K461" t="n">
        <v>0</v>
      </c>
      <c r="L461" t="n">
        <v>0</v>
      </c>
      <c r="M461" t="n">
        <v>0</v>
      </c>
      <c r="N461" t="n">
        <v>0</v>
      </c>
      <c r="O461" t="n">
        <v>0</v>
      </c>
      <c r="P461" t="n">
        <v>0</v>
      </c>
      <c r="Q461" t="n">
        <v>0</v>
      </c>
      <c r="R461" s="2" t="inlineStr"/>
    </row>
    <row r="462" ht="15" customHeight="1">
      <c r="A462" t="inlineStr">
        <is>
          <t>A 28703-2020</t>
        </is>
      </c>
      <c r="B462" s="1" t="n">
        <v>43999</v>
      </c>
      <c r="C462" s="1" t="n">
        <v>45822</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28849-2020</t>
        </is>
      </c>
      <c r="B463" s="1" t="n">
        <v>44000</v>
      </c>
      <c r="C463" s="1" t="n">
        <v>45822</v>
      </c>
      <c r="D463" t="inlineStr">
        <is>
          <t>VÄRMLANDS LÄN</t>
        </is>
      </c>
      <c r="E463" t="inlineStr">
        <is>
          <t>TORSBY</t>
        </is>
      </c>
      <c r="G463" t="n">
        <v>10.9</v>
      </c>
      <c r="H463" t="n">
        <v>0</v>
      </c>
      <c r="I463" t="n">
        <v>0</v>
      </c>
      <c r="J463" t="n">
        <v>0</v>
      </c>
      <c r="K463" t="n">
        <v>0</v>
      </c>
      <c r="L463" t="n">
        <v>0</v>
      </c>
      <c r="M463" t="n">
        <v>0</v>
      </c>
      <c r="N463" t="n">
        <v>0</v>
      </c>
      <c r="O463" t="n">
        <v>0</v>
      </c>
      <c r="P463" t="n">
        <v>0</v>
      </c>
      <c r="Q463" t="n">
        <v>0</v>
      </c>
      <c r="R463" s="2" t="inlineStr"/>
    </row>
    <row r="464" ht="15" customHeight="1">
      <c r="A464" t="inlineStr">
        <is>
          <t>A 28897-2020</t>
        </is>
      </c>
      <c r="B464" s="1" t="n">
        <v>44000</v>
      </c>
      <c r="C464" s="1" t="n">
        <v>45822</v>
      </c>
      <c r="D464" t="inlineStr">
        <is>
          <t>VÄRMLANDS LÄN</t>
        </is>
      </c>
      <c r="E464" t="inlineStr">
        <is>
          <t>TORSBY</t>
        </is>
      </c>
      <c r="G464" t="n">
        <v>2.1</v>
      </c>
      <c r="H464" t="n">
        <v>0</v>
      </c>
      <c r="I464" t="n">
        <v>0</v>
      </c>
      <c r="J464" t="n">
        <v>0</v>
      </c>
      <c r="K464" t="n">
        <v>0</v>
      </c>
      <c r="L464" t="n">
        <v>0</v>
      </c>
      <c r="M464" t="n">
        <v>0</v>
      </c>
      <c r="N464" t="n">
        <v>0</v>
      </c>
      <c r="O464" t="n">
        <v>0</v>
      </c>
      <c r="P464" t="n">
        <v>0</v>
      </c>
      <c r="Q464" t="n">
        <v>0</v>
      </c>
      <c r="R464" s="2" t="inlineStr"/>
    </row>
    <row r="465" ht="15" customHeight="1">
      <c r="A465" t="inlineStr">
        <is>
          <t>A 28911-2020</t>
        </is>
      </c>
      <c r="B465" s="1" t="n">
        <v>44000</v>
      </c>
      <c r="C465" s="1" t="n">
        <v>45822</v>
      </c>
      <c r="D465" t="inlineStr">
        <is>
          <t>VÄRMLANDS LÄN</t>
        </is>
      </c>
      <c r="E465" t="inlineStr">
        <is>
          <t>TORSBY</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28976-2020</t>
        </is>
      </c>
      <c r="B466" s="1" t="n">
        <v>44000</v>
      </c>
      <c r="C466" s="1" t="n">
        <v>45822</v>
      </c>
      <c r="D466" t="inlineStr">
        <is>
          <t>VÄRMLANDS LÄN</t>
        </is>
      </c>
      <c r="E466" t="inlineStr">
        <is>
          <t>TORSBY</t>
        </is>
      </c>
      <c r="G466" t="n">
        <v>2.2</v>
      </c>
      <c r="H466" t="n">
        <v>0</v>
      </c>
      <c r="I466" t="n">
        <v>0</v>
      </c>
      <c r="J466" t="n">
        <v>0</v>
      </c>
      <c r="K466" t="n">
        <v>0</v>
      </c>
      <c r="L466" t="n">
        <v>0</v>
      </c>
      <c r="M466" t="n">
        <v>0</v>
      </c>
      <c r="N466" t="n">
        <v>0</v>
      </c>
      <c r="O466" t="n">
        <v>0</v>
      </c>
      <c r="P466" t="n">
        <v>0</v>
      </c>
      <c r="Q466" t="n">
        <v>0</v>
      </c>
      <c r="R466" s="2" t="inlineStr"/>
    </row>
    <row r="467" ht="15" customHeight="1">
      <c r="A467" t="inlineStr">
        <is>
          <t>A 28987-2020</t>
        </is>
      </c>
      <c r="B467" s="1" t="n">
        <v>44000</v>
      </c>
      <c r="C467" s="1" t="n">
        <v>45822</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29970-2020</t>
        </is>
      </c>
      <c r="B468" s="1" t="n">
        <v>44006</v>
      </c>
      <c r="C468" s="1" t="n">
        <v>45822</v>
      </c>
      <c r="D468" t="inlineStr">
        <is>
          <t>VÄRMLANDS LÄN</t>
        </is>
      </c>
      <c r="E468" t="inlineStr">
        <is>
          <t>TORSBY</t>
        </is>
      </c>
      <c r="F468" t="inlineStr">
        <is>
          <t>Bergvik skog väst AB</t>
        </is>
      </c>
      <c r="G468" t="n">
        <v>7.4</v>
      </c>
      <c r="H468" t="n">
        <v>0</v>
      </c>
      <c r="I468" t="n">
        <v>0</v>
      </c>
      <c r="J468" t="n">
        <v>0</v>
      </c>
      <c r="K468" t="n">
        <v>0</v>
      </c>
      <c r="L468" t="n">
        <v>0</v>
      </c>
      <c r="M468" t="n">
        <v>0</v>
      </c>
      <c r="N468" t="n">
        <v>0</v>
      </c>
      <c r="O468" t="n">
        <v>0</v>
      </c>
      <c r="P468" t="n">
        <v>0</v>
      </c>
      <c r="Q468" t="n">
        <v>0</v>
      </c>
      <c r="R468" s="2" t="inlineStr"/>
    </row>
    <row r="469" ht="15" customHeight="1">
      <c r="A469" t="inlineStr">
        <is>
          <t>A 30572-2020</t>
        </is>
      </c>
      <c r="B469" s="1" t="n">
        <v>44008</v>
      </c>
      <c r="C469" s="1" t="n">
        <v>45822</v>
      </c>
      <c r="D469" t="inlineStr">
        <is>
          <t>VÄRMLANDS LÄN</t>
        </is>
      </c>
      <c r="E469" t="inlineStr">
        <is>
          <t>TORSBY</t>
        </is>
      </c>
      <c r="G469" t="n">
        <v>0.9</v>
      </c>
      <c r="H469" t="n">
        <v>0</v>
      </c>
      <c r="I469" t="n">
        <v>0</v>
      </c>
      <c r="J469" t="n">
        <v>0</v>
      </c>
      <c r="K469" t="n">
        <v>0</v>
      </c>
      <c r="L469" t="n">
        <v>0</v>
      </c>
      <c r="M469" t="n">
        <v>0</v>
      </c>
      <c r="N469" t="n">
        <v>0</v>
      </c>
      <c r="O469" t="n">
        <v>0</v>
      </c>
      <c r="P469" t="n">
        <v>0</v>
      </c>
      <c r="Q469" t="n">
        <v>0</v>
      </c>
      <c r="R469" s="2" t="inlineStr"/>
    </row>
    <row r="470" ht="15" customHeight="1">
      <c r="A470" t="inlineStr">
        <is>
          <t>A 30996-2020</t>
        </is>
      </c>
      <c r="B470" s="1" t="n">
        <v>44011</v>
      </c>
      <c r="C470" s="1" t="n">
        <v>45822</v>
      </c>
      <c r="D470" t="inlineStr">
        <is>
          <t>VÄRMLANDS LÄN</t>
        </is>
      </c>
      <c r="E470" t="inlineStr">
        <is>
          <t>TORSBY</t>
        </is>
      </c>
      <c r="G470" t="n">
        <v>0.4</v>
      </c>
      <c r="H470" t="n">
        <v>0</v>
      </c>
      <c r="I470" t="n">
        <v>0</v>
      </c>
      <c r="J470" t="n">
        <v>0</v>
      </c>
      <c r="K470" t="n">
        <v>0</v>
      </c>
      <c r="L470" t="n">
        <v>0</v>
      </c>
      <c r="M470" t="n">
        <v>0</v>
      </c>
      <c r="N470" t="n">
        <v>0</v>
      </c>
      <c r="O470" t="n">
        <v>0</v>
      </c>
      <c r="P470" t="n">
        <v>0</v>
      </c>
      <c r="Q470" t="n">
        <v>0</v>
      </c>
      <c r="R470" s="2" t="inlineStr"/>
    </row>
    <row r="471" ht="15" customHeight="1">
      <c r="A471" t="inlineStr">
        <is>
          <t>A 30930-2020</t>
        </is>
      </c>
      <c r="B471" s="1" t="n">
        <v>44011</v>
      </c>
      <c r="C471" s="1" t="n">
        <v>45822</v>
      </c>
      <c r="D471" t="inlineStr">
        <is>
          <t>VÄRMLANDS LÄN</t>
        </is>
      </c>
      <c r="E471" t="inlineStr">
        <is>
          <t>TORSBY</t>
        </is>
      </c>
      <c r="G471" t="n">
        <v>1.6</v>
      </c>
      <c r="H471" t="n">
        <v>0</v>
      </c>
      <c r="I471" t="n">
        <v>0</v>
      </c>
      <c r="J471" t="n">
        <v>0</v>
      </c>
      <c r="K471" t="n">
        <v>0</v>
      </c>
      <c r="L471" t="n">
        <v>0</v>
      </c>
      <c r="M471" t="n">
        <v>0</v>
      </c>
      <c r="N471" t="n">
        <v>0</v>
      </c>
      <c r="O471" t="n">
        <v>0</v>
      </c>
      <c r="P471" t="n">
        <v>0</v>
      </c>
      <c r="Q471" t="n">
        <v>0</v>
      </c>
      <c r="R471" s="2" t="inlineStr"/>
    </row>
    <row r="472" ht="15" customHeight="1">
      <c r="A472" t="inlineStr">
        <is>
          <t>A 31298-2020</t>
        </is>
      </c>
      <c r="B472" s="1" t="n">
        <v>44012</v>
      </c>
      <c r="C472" s="1" t="n">
        <v>45822</v>
      </c>
      <c r="D472" t="inlineStr">
        <is>
          <t>VÄRMLANDS LÄN</t>
        </is>
      </c>
      <c r="E472" t="inlineStr">
        <is>
          <t>TORSBY</t>
        </is>
      </c>
      <c r="G472" t="n">
        <v>4.3</v>
      </c>
      <c r="H472" t="n">
        <v>0</v>
      </c>
      <c r="I472" t="n">
        <v>0</v>
      </c>
      <c r="J472" t="n">
        <v>0</v>
      </c>
      <c r="K472" t="n">
        <v>0</v>
      </c>
      <c r="L472" t="n">
        <v>0</v>
      </c>
      <c r="M472" t="n">
        <v>0</v>
      </c>
      <c r="N472" t="n">
        <v>0</v>
      </c>
      <c r="O472" t="n">
        <v>0</v>
      </c>
      <c r="P472" t="n">
        <v>0</v>
      </c>
      <c r="Q472" t="n">
        <v>0</v>
      </c>
      <c r="R472" s="2" t="inlineStr"/>
    </row>
    <row r="473" ht="15" customHeight="1">
      <c r="A473" t="inlineStr">
        <is>
          <t>A 31436-2020</t>
        </is>
      </c>
      <c r="B473" s="1" t="n">
        <v>44013</v>
      </c>
      <c r="C473" s="1" t="n">
        <v>45822</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31577-2020</t>
        </is>
      </c>
      <c r="B474" s="1" t="n">
        <v>44013</v>
      </c>
      <c r="C474" s="1" t="n">
        <v>45822</v>
      </c>
      <c r="D474" t="inlineStr">
        <is>
          <t>VÄRMLANDS LÄN</t>
        </is>
      </c>
      <c r="E474" t="inlineStr">
        <is>
          <t>TORSBY</t>
        </is>
      </c>
      <c r="F474" t="inlineStr">
        <is>
          <t>Kommuner</t>
        </is>
      </c>
      <c r="G474" t="n">
        <v>1</v>
      </c>
      <c r="H474" t="n">
        <v>0</v>
      </c>
      <c r="I474" t="n">
        <v>0</v>
      </c>
      <c r="J474" t="n">
        <v>0</v>
      </c>
      <c r="K474" t="n">
        <v>0</v>
      </c>
      <c r="L474" t="n">
        <v>0</v>
      </c>
      <c r="M474" t="n">
        <v>0</v>
      </c>
      <c r="N474" t="n">
        <v>0</v>
      </c>
      <c r="O474" t="n">
        <v>0</v>
      </c>
      <c r="P474" t="n">
        <v>0</v>
      </c>
      <c r="Q474" t="n">
        <v>0</v>
      </c>
      <c r="R474" s="2" t="inlineStr"/>
    </row>
    <row r="475" ht="15" customHeight="1">
      <c r="A475" t="inlineStr">
        <is>
          <t>A 31759-2020</t>
        </is>
      </c>
      <c r="B475" s="1" t="n">
        <v>44014</v>
      </c>
      <c r="C475" s="1" t="n">
        <v>45822</v>
      </c>
      <c r="D475" t="inlineStr">
        <is>
          <t>VÄRMLANDS LÄN</t>
        </is>
      </c>
      <c r="E475" t="inlineStr">
        <is>
          <t>TORSBY</t>
        </is>
      </c>
      <c r="G475" t="n">
        <v>1.4</v>
      </c>
      <c r="H475" t="n">
        <v>0</v>
      </c>
      <c r="I475" t="n">
        <v>0</v>
      </c>
      <c r="J475" t="n">
        <v>0</v>
      </c>
      <c r="K475" t="n">
        <v>0</v>
      </c>
      <c r="L475" t="n">
        <v>0</v>
      </c>
      <c r="M475" t="n">
        <v>0</v>
      </c>
      <c r="N475" t="n">
        <v>0</v>
      </c>
      <c r="O475" t="n">
        <v>0</v>
      </c>
      <c r="P475" t="n">
        <v>0</v>
      </c>
      <c r="Q475" t="n">
        <v>0</v>
      </c>
      <c r="R475" s="2" t="inlineStr"/>
    </row>
    <row r="476" ht="15" customHeight="1">
      <c r="A476" t="inlineStr">
        <is>
          <t>A 32122-2020</t>
        </is>
      </c>
      <c r="B476" s="1" t="n">
        <v>44015</v>
      </c>
      <c r="C476" s="1" t="n">
        <v>45822</v>
      </c>
      <c r="D476" t="inlineStr">
        <is>
          <t>VÄRMLANDS LÄN</t>
        </is>
      </c>
      <c r="E476" t="inlineStr">
        <is>
          <t>TORSBY</t>
        </is>
      </c>
      <c r="G476" t="n">
        <v>0.8</v>
      </c>
      <c r="H476" t="n">
        <v>0</v>
      </c>
      <c r="I476" t="n">
        <v>0</v>
      </c>
      <c r="J476" t="n">
        <v>0</v>
      </c>
      <c r="K476" t="n">
        <v>0</v>
      </c>
      <c r="L476" t="n">
        <v>0</v>
      </c>
      <c r="M476" t="n">
        <v>0</v>
      </c>
      <c r="N476" t="n">
        <v>0</v>
      </c>
      <c r="O476" t="n">
        <v>0</v>
      </c>
      <c r="P476" t="n">
        <v>0</v>
      </c>
      <c r="Q476" t="n">
        <v>0</v>
      </c>
      <c r="R476" s="2" t="inlineStr"/>
    </row>
    <row r="477" ht="15" customHeight="1">
      <c r="A477" t="inlineStr">
        <is>
          <t>A 32623-2020</t>
        </is>
      </c>
      <c r="B477" s="1" t="n">
        <v>44019</v>
      </c>
      <c r="C477" s="1" t="n">
        <v>45822</v>
      </c>
      <c r="D477" t="inlineStr">
        <is>
          <t>VÄRMLANDS LÄN</t>
        </is>
      </c>
      <c r="E477" t="inlineStr">
        <is>
          <t>TORSBY</t>
        </is>
      </c>
      <c r="F477" t="inlineStr">
        <is>
          <t>Kommuner</t>
        </is>
      </c>
      <c r="G477" t="n">
        <v>13.9</v>
      </c>
      <c r="H477" t="n">
        <v>0</v>
      </c>
      <c r="I477" t="n">
        <v>0</v>
      </c>
      <c r="J477" t="n">
        <v>0</v>
      </c>
      <c r="K477" t="n">
        <v>0</v>
      </c>
      <c r="L477" t="n">
        <v>0</v>
      </c>
      <c r="M477" t="n">
        <v>0</v>
      </c>
      <c r="N477" t="n">
        <v>0</v>
      </c>
      <c r="O477" t="n">
        <v>0</v>
      </c>
      <c r="P477" t="n">
        <v>0</v>
      </c>
      <c r="Q477" t="n">
        <v>0</v>
      </c>
      <c r="R477" s="2" t="inlineStr"/>
    </row>
    <row r="478" ht="15" customHeight="1">
      <c r="A478" t="inlineStr">
        <is>
          <t>A 32651-2020</t>
        </is>
      </c>
      <c r="B478" s="1" t="n">
        <v>44019</v>
      </c>
      <c r="C478" s="1" t="n">
        <v>45822</v>
      </c>
      <c r="D478" t="inlineStr">
        <is>
          <t>VÄRMLANDS LÄN</t>
        </is>
      </c>
      <c r="E478" t="inlineStr">
        <is>
          <t>TORSBY</t>
        </is>
      </c>
      <c r="F478" t="inlineStr">
        <is>
          <t>Kommuner</t>
        </is>
      </c>
      <c r="G478" t="n">
        <v>8.6</v>
      </c>
      <c r="H478" t="n">
        <v>0</v>
      </c>
      <c r="I478" t="n">
        <v>0</v>
      </c>
      <c r="J478" t="n">
        <v>0</v>
      </c>
      <c r="K478" t="n">
        <v>0</v>
      </c>
      <c r="L478" t="n">
        <v>0</v>
      </c>
      <c r="M478" t="n">
        <v>0</v>
      </c>
      <c r="N478" t="n">
        <v>0</v>
      </c>
      <c r="O478" t="n">
        <v>0</v>
      </c>
      <c r="P478" t="n">
        <v>0</v>
      </c>
      <c r="Q478" t="n">
        <v>0</v>
      </c>
      <c r="R478" s="2" t="inlineStr"/>
    </row>
    <row r="479" ht="15" customHeight="1">
      <c r="A479" t="inlineStr">
        <is>
          <t>A 33124-2020</t>
        </is>
      </c>
      <c r="B479" s="1" t="n">
        <v>44021</v>
      </c>
      <c r="C479" s="1" t="n">
        <v>45822</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33095-2020</t>
        </is>
      </c>
      <c r="B480" s="1" t="n">
        <v>44021</v>
      </c>
      <c r="C480" s="1" t="n">
        <v>45822</v>
      </c>
      <c r="D480" t="inlineStr">
        <is>
          <t>VÄRMLANDS LÄN</t>
        </is>
      </c>
      <c r="E480" t="inlineStr">
        <is>
          <t>TORSBY</t>
        </is>
      </c>
      <c r="G480" t="n">
        <v>3.1</v>
      </c>
      <c r="H480" t="n">
        <v>0</v>
      </c>
      <c r="I480" t="n">
        <v>0</v>
      </c>
      <c r="J480" t="n">
        <v>0</v>
      </c>
      <c r="K480" t="n">
        <v>0</v>
      </c>
      <c r="L480" t="n">
        <v>0</v>
      </c>
      <c r="M480" t="n">
        <v>0</v>
      </c>
      <c r="N480" t="n">
        <v>0</v>
      </c>
      <c r="O480" t="n">
        <v>0</v>
      </c>
      <c r="P480" t="n">
        <v>0</v>
      </c>
      <c r="Q480" t="n">
        <v>0</v>
      </c>
      <c r="R480" s="2" t="inlineStr"/>
    </row>
    <row r="481" ht="15" customHeight="1">
      <c r="A481" t="inlineStr">
        <is>
          <t>A 33126-2020</t>
        </is>
      </c>
      <c r="B481" s="1" t="n">
        <v>44021</v>
      </c>
      <c r="C481" s="1" t="n">
        <v>45822</v>
      </c>
      <c r="D481" t="inlineStr">
        <is>
          <t>VÄRMLANDS LÄN</t>
        </is>
      </c>
      <c r="E481" t="inlineStr">
        <is>
          <t>TORSBY</t>
        </is>
      </c>
      <c r="G481" t="n">
        <v>1.7</v>
      </c>
      <c r="H481" t="n">
        <v>0</v>
      </c>
      <c r="I481" t="n">
        <v>0</v>
      </c>
      <c r="J481" t="n">
        <v>0</v>
      </c>
      <c r="K481" t="n">
        <v>0</v>
      </c>
      <c r="L481" t="n">
        <v>0</v>
      </c>
      <c r="M481" t="n">
        <v>0</v>
      </c>
      <c r="N481" t="n">
        <v>0</v>
      </c>
      <c r="O481" t="n">
        <v>0</v>
      </c>
      <c r="P481" t="n">
        <v>0</v>
      </c>
      <c r="Q481" t="n">
        <v>0</v>
      </c>
      <c r="R481" s="2" t="inlineStr"/>
    </row>
    <row r="482" ht="15" customHeight="1">
      <c r="A482" t="inlineStr">
        <is>
          <t>A 33691-2020</t>
        </is>
      </c>
      <c r="B482" s="1" t="n">
        <v>44022</v>
      </c>
      <c r="C482" s="1" t="n">
        <v>45822</v>
      </c>
      <c r="D482" t="inlineStr">
        <is>
          <t>VÄRMLANDS LÄN</t>
        </is>
      </c>
      <c r="E482" t="inlineStr">
        <is>
          <t>TORSBY</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34901-2020</t>
        </is>
      </c>
      <c r="B483" s="1" t="n">
        <v>44022</v>
      </c>
      <c r="C483" s="1" t="n">
        <v>45822</v>
      </c>
      <c r="D483" t="inlineStr">
        <is>
          <t>VÄRMLANDS LÄN</t>
        </is>
      </c>
      <c r="E483" t="inlineStr">
        <is>
          <t>TORSBY</t>
        </is>
      </c>
      <c r="F483" t="inlineStr">
        <is>
          <t>Övriga Aktiebolag</t>
        </is>
      </c>
      <c r="G483" t="n">
        <v>0.4</v>
      </c>
      <c r="H483" t="n">
        <v>0</v>
      </c>
      <c r="I483" t="n">
        <v>0</v>
      </c>
      <c r="J483" t="n">
        <v>0</v>
      </c>
      <c r="K483" t="n">
        <v>0</v>
      </c>
      <c r="L483" t="n">
        <v>0</v>
      </c>
      <c r="M483" t="n">
        <v>0</v>
      </c>
      <c r="N483" t="n">
        <v>0</v>
      </c>
      <c r="O483" t="n">
        <v>0</v>
      </c>
      <c r="P483" t="n">
        <v>0</v>
      </c>
      <c r="Q483" t="n">
        <v>0</v>
      </c>
      <c r="R483" s="2" t="inlineStr"/>
    </row>
    <row r="484" ht="15" customHeight="1">
      <c r="A484" t="inlineStr">
        <is>
          <t>A 33908-2020</t>
        </is>
      </c>
      <c r="B484" s="1" t="n">
        <v>44027</v>
      </c>
      <c r="C484" s="1" t="n">
        <v>45822</v>
      </c>
      <c r="D484" t="inlineStr">
        <is>
          <t>VÄRMLANDS LÄN</t>
        </is>
      </c>
      <c r="E484" t="inlineStr">
        <is>
          <t>TORSBY</t>
        </is>
      </c>
      <c r="G484" t="n">
        <v>3.6</v>
      </c>
      <c r="H484" t="n">
        <v>0</v>
      </c>
      <c r="I484" t="n">
        <v>0</v>
      </c>
      <c r="J484" t="n">
        <v>0</v>
      </c>
      <c r="K484" t="n">
        <v>0</v>
      </c>
      <c r="L484" t="n">
        <v>0</v>
      </c>
      <c r="M484" t="n">
        <v>0</v>
      </c>
      <c r="N484" t="n">
        <v>0</v>
      </c>
      <c r="O484" t="n">
        <v>0</v>
      </c>
      <c r="P484" t="n">
        <v>0</v>
      </c>
      <c r="Q484" t="n">
        <v>0</v>
      </c>
      <c r="R484" s="2" t="inlineStr"/>
    </row>
    <row r="485" ht="15" customHeight="1">
      <c r="A485" t="inlineStr">
        <is>
          <t>A 33864-2020</t>
        </is>
      </c>
      <c r="B485" s="1" t="n">
        <v>44027</v>
      </c>
      <c r="C485" s="1" t="n">
        <v>45822</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34118-2020</t>
        </is>
      </c>
      <c r="B486" s="1" t="n">
        <v>44028</v>
      </c>
      <c r="C486" s="1" t="n">
        <v>45822</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34247-2020</t>
        </is>
      </c>
      <c r="B487" s="1" t="n">
        <v>44029</v>
      </c>
      <c r="C487" s="1" t="n">
        <v>45822</v>
      </c>
      <c r="D487" t="inlineStr">
        <is>
          <t>VÄRMLANDS LÄN</t>
        </is>
      </c>
      <c r="E487" t="inlineStr">
        <is>
          <t>TORSBY</t>
        </is>
      </c>
      <c r="F487" t="inlineStr">
        <is>
          <t>Kommuner</t>
        </is>
      </c>
      <c r="G487" t="n">
        <v>3.3</v>
      </c>
      <c r="H487" t="n">
        <v>0</v>
      </c>
      <c r="I487" t="n">
        <v>0</v>
      </c>
      <c r="J487" t="n">
        <v>0</v>
      </c>
      <c r="K487" t="n">
        <v>0</v>
      </c>
      <c r="L487" t="n">
        <v>0</v>
      </c>
      <c r="M487" t="n">
        <v>0</v>
      </c>
      <c r="N487" t="n">
        <v>0</v>
      </c>
      <c r="O487" t="n">
        <v>0</v>
      </c>
      <c r="P487" t="n">
        <v>0</v>
      </c>
      <c r="Q487" t="n">
        <v>0</v>
      </c>
      <c r="R487" s="2" t="inlineStr"/>
    </row>
    <row r="488" ht="15" customHeight="1">
      <c r="A488" t="inlineStr">
        <is>
          <t>A 35132-2020</t>
        </is>
      </c>
      <c r="B488" s="1" t="n">
        <v>44040</v>
      </c>
      <c r="C488" s="1" t="n">
        <v>45822</v>
      </c>
      <c r="D488" t="inlineStr">
        <is>
          <t>VÄRMLANDS LÄN</t>
        </is>
      </c>
      <c r="E488" t="inlineStr">
        <is>
          <t>TORSBY</t>
        </is>
      </c>
      <c r="F488" t="inlineStr">
        <is>
          <t>Kommuner</t>
        </is>
      </c>
      <c r="G488" t="n">
        <v>5.3</v>
      </c>
      <c r="H488" t="n">
        <v>0</v>
      </c>
      <c r="I488" t="n">
        <v>0</v>
      </c>
      <c r="J488" t="n">
        <v>0</v>
      </c>
      <c r="K488" t="n">
        <v>0</v>
      </c>
      <c r="L488" t="n">
        <v>0</v>
      </c>
      <c r="M488" t="n">
        <v>0</v>
      </c>
      <c r="N488" t="n">
        <v>0</v>
      </c>
      <c r="O488" t="n">
        <v>0</v>
      </c>
      <c r="P488" t="n">
        <v>0</v>
      </c>
      <c r="Q488" t="n">
        <v>0</v>
      </c>
      <c r="R488" s="2" t="inlineStr"/>
    </row>
    <row r="489" ht="15" customHeight="1">
      <c r="A489" t="inlineStr">
        <is>
          <t>A 35174-2020</t>
        </is>
      </c>
      <c r="B489" s="1" t="n">
        <v>44040</v>
      </c>
      <c r="C489" s="1" t="n">
        <v>45822</v>
      </c>
      <c r="D489" t="inlineStr">
        <is>
          <t>VÄRMLANDS LÄN</t>
        </is>
      </c>
      <c r="E489" t="inlineStr">
        <is>
          <t>TORSBY</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35500-2020</t>
        </is>
      </c>
      <c r="B490" s="1" t="n">
        <v>44043</v>
      </c>
      <c r="C490" s="1" t="n">
        <v>45822</v>
      </c>
      <c r="D490" t="inlineStr">
        <is>
          <t>VÄRMLANDS LÄN</t>
        </is>
      </c>
      <c r="E490" t="inlineStr">
        <is>
          <t>TORSBY</t>
        </is>
      </c>
      <c r="F490" t="inlineStr">
        <is>
          <t>Bergvik skog väst AB</t>
        </is>
      </c>
      <c r="G490" t="n">
        <v>1</v>
      </c>
      <c r="H490" t="n">
        <v>0</v>
      </c>
      <c r="I490" t="n">
        <v>0</v>
      </c>
      <c r="J490" t="n">
        <v>0</v>
      </c>
      <c r="K490" t="n">
        <v>0</v>
      </c>
      <c r="L490" t="n">
        <v>0</v>
      </c>
      <c r="M490" t="n">
        <v>0</v>
      </c>
      <c r="N490" t="n">
        <v>0</v>
      </c>
      <c r="O490" t="n">
        <v>0</v>
      </c>
      <c r="P490" t="n">
        <v>0</v>
      </c>
      <c r="Q490" t="n">
        <v>0</v>
      </c>
      <c r="R490" s="2" t="inlineStr"/>
    </row>
    <row r="491" ht="15" customHeight="1">
      <c r="A491" t="inlineStr">
        <is>
          <t>A 35778-2020</t>
        </is>
      </c>
      <c r="B491" s="1" t="n">
        <v>44046</v>
      </c>
      <c r="C491" s="1" t="n">
        <v>45822</v>
      </c>
      <c r="D491" t="inlineStr">
        <is>
          <t>VÄRMLANDS LÄN</t>
        </is>
      </c>
      <c r="E491" t="inlineStr">
        <is>
          <t>TORSBY</t>
        </is>
      </c>
      <c r="G491" t="n">
        <v>10.2</v>
      </c>
      <c r="H491" t="n">
        <v>0</v>
      </c>
      <c r="I491" t="n">
        <v>0</v>
      </c>
      <c r="J491" t="n">
        <v>0</v>
      </c>
      <c r="K491" t="n">
        <v>0</v>
      </c>
      <c r="L491" t="n">
        <v>0</v>
      </c>
      <c r="M491" t="n">
        <v>0</v>
      </c>
      <c r="N491" t="n">
        <v>0</v>
      </c>
      <c r="O491" t="n">
        <v>0</v>
      </c>
      <c r="P491" t="n">
        <v>0</v>
      </c>
      <c r="Q491" t="n">
        <v>0</v>
      </c>
      <c r="R491" s="2" t="inlineStr"/>
    </row>
    <row r="492" ht="15" customHeight="1">
      <c r="A492" t="inlineStr">
        <is>
          <t>A 35900-2020</t>
        </is>
      </c>
      <c r="B492" s="1" t="n">
        <v>44047</v>
      </c>
      <c r="C492" s="1" t="n">
        <v>45822</v>
      </c>
      <c r="D492" t="inlineStr">
        <is>
          <t>VÄRMLANDS LÄN</t>
        </is>
      </c>
      <c r="E492" t="inlineStr">
        <is>
          <t>TORSBY</t>
        </is>
      </c>
      <c r="G492" t="n">
        <v>7.2</v>
      </c>
      <c r="H492" t="n">
        <v>0</v>
      </c>
      <c r="I492" t="n">
        <v>0</v>
      </c>
      <c r="J492" t="n">
        <v>0</v>
      </c>
      <c r="K492" t="n">
        <v>0</v>
      </c>
      <c r="L492" t="n">
        <v>0</v>
      </c>
      <c r="M492" t="n">
        <v>0</v>
      </c>
      <c r="N492" t="n">
        <v>0</v>
      </c>
      <c r="O492" t="n">
        <v>0</v>
      </c>
      <c r="P492" t="n">
        <v>0</v>
      </c>
      <c r="Q492" t="n">
        <v>0</v>
      </c>
      <c r="R492" s="2" t="inlineStr"/>
    </row>
    <row r="493" ht="15" customHeight="1">
      <c r="A493" t="inlineStr">
        <is>
          <t>A 35955-2020</t>
        </is>
      </c>
      <c r="B493" s="1" t="n">
        <v>44047</v>
      </c>
      <c r="C493" s="1" t="n">
        <v>45822</v>
      </c>
      <c r="D493" t="inlineStr">
        <is>
          <t>VÄRMLANDS LÄN</t>
        </is>
      </c>
      <c r="E493" t="inlineStr">
        <is>
          <t>TORSBY</t>
        </is>
      </c>
      <c r="G493" t="n">
        <v>0.8</v>
      </c>
      <c r="H493" t="n">
        <v>0</v>
      </c>
      <c r="I493" t="n">
        <v>0</v>
      </c>
      <c r="J493" t="n">
        <v>0</v>
      </c>
      <c r="K493" t="n">
        <v>0</v>
      </c>
      <c r="L493" t="n">
        <v>0</v>
      </c>
      <c r="M493" t="n">
        <v>0</v>
      </c>
      <c r="N493" t="n">
        <v>0</v>
      </c>
      <c r="O493" t="n">
        <v>0</v>
      </c>
      <c r="P493" t="n">
        <v>0</v>
      </c>
      <c r="Q493" t="n">
        <v>0</v>
      </c>
      <c r="R493" s="2" t="inlineStr"/>
    </row>
    <row r="494" ht="15" customHeight="1">
      <c r="A494" t="inlineStr">
        <is>
          <t>A 35826-2020</t>
        </is>
      </c>
      <c r="B494" s="1" t="n">
        <v>44047</v>
      </c>
      <c r="C494" s="1" t="n">
        <v>45822</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35905-2020</t>
        </is>
      </c>
      <c r="B495" s="1" t="n">
        <v>44047</v>
      </c>
      <c r="C495" s="1" t="n">
        <v>45822</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36482-2020</t>
        </is>
      </c>
      <c r="B496" s="1" t="n">
        <v>44048</v>
      </c>
      <c r="C496" s="1" t="n">
        <v>45822</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36104-2020</t>
        </is>
      </c>
      <c r="B497" s="1" t="n">
        <v>44048</v>
      </c>
      <c r="C497" s="1" t="n">
        <v>45822</v>
      </c>
      <c r="D497" t="inlineStr">
        <is>
          <t>VÄRMLANDS LÄN</t>
        </is>
      </c>
      <c r="E497" t="inlineStr">
        <is>
          <t>TORSBY</t>
        </is>
      </c>
      <c r="G497" t="n">
        <v>3.1</v>
      </c>
      <c r="H497" t="n">
        <v>0</v>
      </c>
      <c r="I497" t="n">
        <v>0</v>
      </c>
      <c r="J497" t="n">
        <v>0</v>
      </c>
      <c r="K497" t="n">
        <v>0</v>
      </c>
      <c r="L497" t="n">
        <v>0</v>
      </c>
      <c r="M497" t="n">
        <v>0</v>
      </c>
      <c r="N497" t="n">
        <v>0</v>
      </c>
      <c r="O497" t="n">
        <v>0</v>
      </c>
      <c r="P497" t="n">
        <v>0</v>
      </c>
      <c r="Q497" t="n">
        <v>0</v>
      </c>
      <c r="R497" s="2" t="inlineStr"/>
    </row>
    <row r="498" ht="15" customHeight="1">
      <c r="A498" t="inlineStr">
        <is>
          <t>A 36265-2020</t>
        </is>
      </c>
      <c r="B498" s="1" t="n">
        <v>44049</v>
      </c>
      <c r="C498" s="1" t="n">
        <v>45822</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36396-2020</t>
        </is>
      </c>
      <c r="B499" s="1" t="n">
        <v>44049</v>
      </c>
      <c r="C499" s="1" t="n">
        <v>45822</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36394-2020</t>
        </is>
      </c>
      <c r="B500" s="1" t="n">
        <v>44049</v>
      </c>
      <c r="C500" s="1" t="n">
        <v>45822</v>
      </c>
      <c r="D500" t="inlineStr">
        <is>
          <t>VÄRMLANDS LÄN</t>
        </is>
      </c>
      <c r="E500" t="inlineStr">
        <is>
          <t>TORSBY</t>
        </is>
      </c>
      <c r="G500" t="n">
        <v>7</v>
      </c>
      <c r="H500" t="n">
        <v>0</v>
      </c>
      <c r="I500" t="n">
        <v>0</v>
      </c>
      <c r="J500" t="n">
        <v>0</v>
      </c>
      <c r="K500" t="n">
        <v>0</v>
      </c>
      <c r="L500" t="n">
        <v>0</v>
      </c>
      <c r="M500" t="n">
        <v>0</v>
      </c>
      <c r="N500" t="n">
        <v>0</v>
      </c>
      <c r="O500" t="n">
        <v>0</v>
      </c>
      <c r="P500" t="n">
        <v>0</v>
      </c>
      <c r="Q500" t="n">
        <v>0</v>
      </c>
      <c r="R500" s="2" t="inlineStr"/>
    </row>
    <row r="501" ht="15" customHeight="1">
      <c r="A501" t="inlineStr">
        <is>
          <t>A 36847-2020</t>
        </is>
      </c>
      <c r="B501" s="1" t="n">
        <v>44053</v>
      </c>
      <c r="C501" s="1" t="n">
        <v>45822</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36901-2020</t>
        </is>
      </c>
      <c r="B502" s="1" t="n">
        <v>44053</v>
      </c>
      <c r="C502" s="1" t="n">
        <v>45822</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37305-2020</t>
        </is>
      </c>
      <c r="B503" s="1" t="n">
        <v>44055</v>
      </c>
      <c r="C503" s="1" t="n">
        <v>45822</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37302-2020</t>
        </is>
      </c>
      <c r="B504" s="1" t="n">
        <v>44055</v>
      </c>
      <c r="C504" s="1" t="n">
        <v>45822</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37307-2020</t>
        </is>
      </c>
      <c r="B505" s="1" t="n">
        <v>44055</v>
      </c>
      <c r="C505" s="1" t="n">
        <v>45822</v>
      </c>
      <c r="D505" t="inlineStr">
        <is>
          <t>VÄRMLANDS LÄN</t>
        </is>
      </c>
      <c r="E505" t="inlineStr">
        <is>
          <t>TORSBY</t>
        </is>
      </c>
      <c r="G505" t="n">
        <v>1.2</v>
      </c>
      <c r="H505" t="n">
        <v>0</v>
      </c>
      <c r="I505" t="n">
        <v>0</v>
      </c>
      <c r="J505" t="n">
        <v>0</v>
      </c>
      <c r="K505" t="n">
        <v>0</v>
      </c>
      <c r="L505" t="n">
        <v>0</v>
      </c>
      <c r="M505" t="n">
        <v>0</v>
      </c>
      <c r="N505" t="n">
        <v>0</v>
      </c>
      <c r="O505" t="n">
        <v>0</v>
      </c>
      <c r="P505" t="n">
        <v>0</v>
      </c>
      <c r="Q505" t="n">
        <v>0</v>
      </c>
      <c r="R505" s="2" t="inlineStr"/>
    </row>
    <row r="506" ht="15" customHeight="1">
      <c r="A506" t="inlineStr">
        <is>
          <t>A 37303-2020</t>
        </is>
      </c>
      <c r="B506" s="1" t="n">
        <v>44055</v>
      </c>
      <c r="C506" s="1" t="n">
        <v>45822</v>
      </c>
      <c r="D506" t="inlineStr">
        <is>
          <t>VÄRMLANDS LÄN</t>
        </is>
      </c>
      <c r="E506" t="inlineStr">
        <is>
          <t>TORSBY</t>
        </is>
      </c>
      <c r="G506" t="n">
        <v>1.9</v>
      </c>
      <c r="H506" t="n">
        <v>0</v>
      </c>
      <c r="I506" t="n">
        <v>0</v>
      </c>
      <c r="J506" t="n">
        <v>0</v>
      </c>
      <c r="K506" t="n">
        <v>0</v>
      </c>
      <c r="L506" t="n">
        <v>0</v>
      </c>
      <c r="M506" t="n">
        <v>0</v>
      </c>
      <c r="N506" t="n">
        <v>0</v>
      </c>
      <c r="O506" t="n">
        <v>0</v>
      </c>
      <c r="P506" t="n">
        <v>0</v>
      </c>
      <c r="Q506" t="n">
        <v>0</v>
      </c>
      <c r="R506" s="2" t="inlineStr"/>
    </row>
    <row r="507" ht="15" customHeight="1">
      <c r="A507" t="inlineStr">
        <is>
          <t>A 38506-2020</t>
        </is>
      </c>
      <c r="B507" s="1" t="n">
        <v>44061</v>
      </c>
      <c r="C507" s="1" t="n">
        <v>45822</v>
      </c>
      <c r="D507" t="inlineStr">
        <is>
          <t>VÄRMLANDS LÄN</t>
        </is>
      </c>
      <c r="E507" t="inlineStr">
        <is>
          <t>TORSBY</t>
        </is>
      </c>
      <c r="G507" t="n">
        <v>5</v>
      </c>
      <c r="H507" t="n">
        <v>0</v>
      </c>
      <c r="I507" t="n">
        <v>0</v>
      </c>
      <c r="J507" t="n">
        <v>0</v>
      </c>
      <c r="K507" t="n">
        <v>0</v>
      </c>
      <c r="L507" t="n">
        <v>0</v>
      </c>
      <c r="M507" t="n">
        <v>0</v>
      </c>
      <c r="N507" t="n">
        <v>0</v>
      </c>
      <c r="O507" t="n">
        <v>0</v>
      </c>
      <c r="P507" t="n">
        <v>0</v>
      </c>
      <c r="Q507" t="n">
        <v>0</v>
      </c>
      <c r="R507" s="2" t="inlineStr"/>
    </row>
    <row r="508" ht="15" customHeight="1">
      <c r="A508" t="inlineStr">
        <is>
          <t>A 38978-2020</t>
        </is>
      </c>
      <c r="B508" s="1" t="n">
        <v>44062</v>
      </c>
      <c r="C508" s="1" t="n">
        <v>45822</v>
      </c>
      <c r="D508" t="inlineStr">
        <is>
          <t>VÄRMLANDS LÄN</t>
        </is>
      </c>
      <c r="E508" t="inlineStr">
        <is>
          <t>TORSBY</t>
        </is>
      </c>
      <c r="G508" t="n">
        <v>1.8</v>
      </c>
      <c r="H508" t="n">
        <v>0</v>
      </c>
      <c r="I508" t="n">
        <v>0</v>
      </c>
      <c r="J508" t="n">
        <v>0</v>
      </c>
      <c r="K508" t="n">
        <v>0</v>
      </c>
      <c r="L508" t="n">
        <v>0</v>
      </c>
      <c r="M508" t="n">
        <v>0</v>
      </c>
      <c r="N508" t="n">
        <v>0</v>
      </c>
      <c r="O508" t="n">
        <v>0</v>
      </c>
      <c r="P508" t="n">
        <v>0</v>
      </c>
      <c r="Q508" t="n">
        <v>0</v>
      </c>
      <c r="R508" s="2" t="inlineStr"/>
    </row>
    <row r="509" ht="15" customHeight="1">
      <c r="A509" t="inlineStr">
        <is>
          <t>A 40218-2020</t>
        </is>
      </c>
      <c r="B509" s="1" t="n">
        <v>44064</v>
      </c>
      <c r="C509" s="1" t="n">
        <v>45822</v>
      </c>
      <c r="D509" t="inlineStr">
        <is>
          <t>VÄRMLANDS LÄN</t>
        </is>
      </c>
      <c r="E509" t="inlineStr">
        <is>
          <t>TORSBY</t>
        </is>
      </c>
      <c r="G509" t="n">
        <v>3.7</v>
      </c>
      <c r="H509" t="n">
        <v>0</v>
      </c>
      <c r="I509" t="n">
        <v>0</v>
      </c>
      <c r="J509" t="n">
        <v>0</v>
      </c>
      <c r="K509" t="n">
        <v>0</v>
      </c>
      <c r="L509" t="n">
        <v>0</v>
      </c>
      <c r="M509" t="n">
        <v>0</v>
      </c>
      <c r="N509" t="n">
        <v>0</v>
      </c>
      <c r="O509" t="n">
        <v>0</v>
      </c>
      <c r="P509" t="n">
        <v>0</v>
      </c>
      <c r="Q509" t="n">
        <v>0</v>
      </c>
      <c r="R509" s="2" t="inlineStr"/>
    </row>
    <row r="510" ht="15" customHeight="1">
      <c r="A510" t="inlineStr">
        <is>
          <t>A 40015-2020</t>
        </is>
      </c>
      <c r="B510" s="1" t="n">
        <v>44067</v>
      </c>
      <c r="C510" s="1" t="n">
        <v>45822</v>
      </c>
      <c r="D510" t="inlineStr">
        <is>
          <t>VÄRMLANDS LÄN</t>
        </is>
      </c>
      <c r="E510" t="inlineStr">
        <is>
          <t>TORSBY</t>
        </is>
      </c>
      <c r="G510" t="n">
        <v>5.7</v>
      </c>
      <c r="H510" t="n">
        <v>0</v>
      </c>
      <c r="I510" t="n">
        <v>0</v>
      </c>
      <c r="J510" t="n">
        <v>0</v>
      </c>
      <c r="K510" t="n">
        <v>0</v>
      </c>
      <c r="L510" t="n">
        <v>0</v>
      </c>
      <c r="M510" t="n">
        <v>0</v>
      </c>
      <c r="N510" t="n">
        <v>0</v>
      </c>
      <c r="O510" t="n">
        <v>0</v>
      </c>
      <c r="P510" t="n">
        <v>0</v>
      </c>
      <c r="Q510" t="n">
        <v>0</v>
      </c>
      <c r="R510" s="2" t="inlineStr"/>
    </row>
    <row r="511" ht="15" customHeight="1">
      <c r="A511" t="inlineStr">
        <is>
          <t>A 40550-2020</t>
        </is>
      </c>
      <c r="B511" s="1" t="n">
        <v>44069</v>
      </c>
      <c r="C511" s="1" t="n">
        <v>45822</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40594-2020</t>
        </is>
      </c>
      <c r="B512" s="1" t="n">
        <v>44069</v>
      </c>
      <c r="C512" s="1" t="n">
        <v>45822</v>
      </c>
      <c r="D512" t="inlineStr">
        <is>
          <t>VÄRMLANDS LÄN</t>
        </is>
      </c>
      <c r="E512" t="inlineStr">
        <is>
          <t>TORSBY</t>
        </is>
      </c>
      <c r="G512" t="n">
        <v>0.9</v>
      </c>
      <c r="H512" t="n">
        <v>0</v>
      </c>
      <c r="I512" t="n">
        <v>0</v>
      </c>
      <c r="J512" t="n">
        <v>0</v>
      </c>
      <c r="K512" t="n">
        <v>0</v>
      </c>
      <c r="L512" t="n">
        <v>0</v>
      </c>
      <c r="M512" t="n">
        <v>0</v>
      </c>
      <c r="N512" t="n">
        <v>0</v>
      </c>
      <c r="O512" t="n">
        <v>0</v>
      </c>
      <c r="P512" t="n">
        <v>0</v>
      </c>
      <c r="Q512" t="n">
        <v>0</v>
      </c>
      <c r="R512" s="2" t="inlineStr"/>
    </row>
    <row r="513" ht="15" customHeight="1">
      <c r="A513" t="inlineStr">
        <is>
          <t>A 40509-2020</t>
        </is>
      </c>
      <c r="B513" s="1" t="n">
        <v>44069</v>
      </c>
      <c r="C513" s="1" t="n">
        <v>45822</v>
      </c>
      <c r="D513" t="inlineStr">
        <is>
          <t>VÄRMLANDS LÄN</t>
        </is>
      </c>
      <c r="E513" t="inlineStr">
        <is>
          <t>TORSBY</t>
        </is>
      </c>
      <c r="F513" t="inlineStr">
        <is>
          <t>Naturvårdsverket</t>
        </is>
      </c>
      <c r="G513" t="n">
        <v>57</v>
      </c>
      <c r="H513" t="n">
        <v>0</v>
      </c>
      <c r="I513" t="n">
        <v>0</v>
      </c>
      <c r="J513" t="n">
        <v>0</v>
      </c>
      <c r="K513" t="n">
        <v>0</v>
      </c>
      <c r="L513" t="n">
        <v>0</v>
      </c>
      <c r="M513" t="n">
        <v>0</v>
      </c>
      <c r="N513" t="n">
        <v>0</v>
      </c>
      <c r="O513" t="n">
        <v>0</v>
      </c>
      <c r="P513" t="n">
        <v>0</v>
      </c>
      <c r="Q513" t="n">
        <v>0</v>
      </c>
      <c r="R513" s="2" t="inlineStr"/>
    </row>
    <row r="514" ht="15" customHeight="1">
      <c r="A514" t="inlineStr">
        <is>
          <t>A 40601-2020</t>
        </is>
      </c>
      <c r="B514" s="1" t="n">
        <v>44069</v>
      </c>
      <c r="C514" s="1" t="n">
        <v>45822</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40994-2020</t>
        </is>
      </c>
      <c r="B515" s="1" t="n">
        <v>44070</v>
      </c>
      <c r="C515" s="1" t="n">
        <v>45822</v>
      </c>
      <c r="D515" t="inlineStr">
        <is>
          <t>VÄRMLANDS LÄN</t>
        </is>
      </c>
      <c r="E515" t="inlineStr">
        <is>
          <t>TORSBY</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40987-2020</t>
        </is>
      </c>
      <c r="B516" s="1" t="n">
        <v>44070</v>
      </c>
      <c r="C516" s="1" t="n">
        <v>45822</v>
      </c>
      <c r="D516" t="inlineStr">
        <is>
          <t>VÄRMLANDS LÄN</t>
        </is>
      </c>
      <c r="E516" t="inlineStr">
        <is>
          <t>TORSBY</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40993-2020</t>
        </is>
      </c>
      <c r="B517" s="1" t="n">
        <v>44070</v>
      </c>
      <c r="C517" s="1" t="n">
        <v>45822</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41469-2020</t>
        </is>
      </c>
      <c r="B518" s="1" t="n">
        <v>44074</v>
      </c>
      <c r="C518" s="1" t="n">
        <v>45822</v>
      </c>
      <c r="D518" t="inlineStr">
        <is>
          <t>VÄRMLANDS LÄN</t>
        </is>
      </c>
      <c r="E518" t="inlineStr">
        <is>
          <t>TORSBY</t>
        </is>
      </c>
      <c r="F518" t="inlineStr">
        <is>
          <t>Bergvik skog väst AB</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42391-2020</t>
        </is>
      </c>
      <c r="B519" s="1" t="n">
        <v>44076</v>
      </c>
      <c r="C519" s="1" t="n">
        <v>45822</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42566-2020</t>
        </is>
      </c>
      <c r="B520" s="1" t="n">
        <v>44077</v>
      </c>
      <c r="C520" s="1" t="n">
        <v>45822</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42982-2020</t>
        </is>
      </c>
      <c r="B521" s="1" t="n">
        <v>44078</v>
      </c>
      <c r="C521" s="1" t="n">
        <v>45822</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44722-2020</t>
        </is>
      </c>
      <c r="B522" s="1" t="n">
        <v>44078</v>
      </c>
      <c r="C522" s="1" t="n">
        <v>45822</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43547-2020</t>
        </is>
      </c>
      <c r="B523" s="1" t="n">
        <v>44078</v>
      </c>
      <c r="C523" s="1" t="n">
        <v>45822</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44715-2020</t>
        </is>
      </c>
      <c r="B524" s="1" t="n">
        <v>44078</v>
      </c>
      <c r="C524" s="1" t="n">
        <v>45822</v>
      </c>
      <c r="D524" t="inlineStr">
        <is>
          <t>VÄRMLANDS LÄN</t>
        </is>
      </c>
      <c r="E524" t="inlineStr">
        <is>
          <t>TORSBY</t>
        </is>
      </c>
      <c r="G524" t="n">
        <v>1.9</v>
      </c>
      <c r="H524" t="n">
        <v>0</v>
      </c>
      <c r="I524" t="n">
        <v>0</v>
      </c>
      <c r="J524" t="n">
        <v>0</v>
      </c>
      <c r="K524" t="n">
        <v>0</v>
      </c>
      <c r="L524" t="n">
        <v>0</v>
      </c>
      <c r="M524" t="n">
        <v>0</v>
      </c>
      <c r="N524" t="n">
        <v>0</v>
      </c>
      <c r="O524" t="n">
        <v>0</v>
      </c>
      <c r="P524" t="n">
        <v>0</v>
      </c>
      <c r="Q524" t="n">
        <v>0</v>
      </c>
      <c r="R524" s="2" t="inlineStr"/>
    </row>
    <row r="525" ht="15" customHeight="1">
      <c r="A525" t="inlineStr">
        <is>
          <t>A 44720-2020</t>
        </is>
      </c>
      <c r="B525" s="1" t="n">
        <v>44078</v>
      </c>
      <c r="C525" s="1" t="n">
        <v>45822</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43725-2020</t>
        </is>
      </c>
      <c r="B526" s="1" t="n">
        <v>44082</v>
      </c>
      <c r="C526" s="1" t="n">
        <v>45822</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44666-2020</t>
        </is>
      </c>
      <c r="B527" s="1" t="n">
        <v>44085</v>
      </c>
      <c r="C527" s="1" t="n">
        <v>45822</v>
      </c>
      <c r="D527" t="inlineStr">
        <is>
          <t>VÄRMLANDS LÄN</t>
        </is>
      </c>
      <c r="E527" t="inlineStr">
        <is>
          <t>TORSBY</t>
        </is>
      </c>
      <c r="G527" t="n">
        <v>0.9</v>
      </c>
      <c r="H527" t="n">
        <v>0</v>
      </c>
      <c r="I527" t="n">
        <v>0</v>
      </c>
      <c r="J527" t="n">
        <v>0</v>
      </c>
      <c r="K527" t="n">
        <v>0</v>
      </c>
      <c r="L527" t="n">
        <v>0</v>
      </c>
      <c r="M527" t="n">
        <v>0</v>
      </c>
      <c r="N527" t="n">
        <v>0</v>
      </c>
      <c r="O527" t="n">
        <v>0</v>
      </c>
      <c r="P527" t="n">
        <v>0</v>
      </c>
      <c r="Q527" t="n">
        <v>0</v>
      </c>
      <c r="R527" s="2" t="inlineStr"/>
    </row>
    <row r="528" ht="15" customHeight="1">
      <c r="A528" t="inlineStr">
        <is>
          <t>A 46482-2020</t>
        </is>
      </c>
      <c r="B528" s="1" t="n">
        <v>44089</v>
      </c>
      <c r="C528" s="1" t="n">
        <v>45822</v>
      </c>
      <c r="D528" t="inlineStr">
        <is>
          <t>VÄRMLANDS LÄN</t>
        </is>
      </c>
      <c r="E528" t="inlineStr">
        <is>
          <t>TORSBY</t>
        </is>
      </c>
      <c r="G528" t="n">
        <v>2.2</v>
      </c>
      <c r="H528" t="n">
        <v>0</v>
      </c>
      <c r="I528" t="n">
        <v>0</v>
      </c>
      <c r="J528" t="n">
        <v>0</v>
      </c>
      <c r="K528" t="n">
        <v>0</v>
      </c>
      <c r="L528" t="n">
        <v>0</v>
      </c>
      <c r="M528" t="n">
        <v>0</v>
      </c>
      <c r="N528" t="n">
        <v>0</v>
      </c>
      <c r="O528" t="n">
        <v>0</v>
      </c>
      <c r="P528" t="n">
        <v>0</v>
      </c>
      <c r="Q528" t="n">
        <v>0</v>
      </c>
      <c r="R528" s="2" t="inlineStr"/>
    </row>
    <row r="529" ht="15" customHeight="1">
      <c r="A529" t="inlineStr">
        <is>
          <t>A 45404-2020</t>
        </is>
      </c>
      <c r="B529" s="1" t="n">
        <v>44089</v>
      </c>
      <c r="C529" s="1" t="n">
        <v>45822</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45872-2020</t>
        </is>
      </c>
      <c r="B530" s="1" t="n">
        <v>44091</v>
      </c>
      <c r="C530" s="1" t="n">
        <v>45822</v>
      </c>
      <c r="D530" t="inlineStr">
        <is>
          <t>VÄRMLANDS LÄN</t>
        </is>
      </c>
      <c r="E530" t="inlineStr">
        <is>
          <t>TORSBY</t>
        </is>
      </c>
      <c r="G530" t="n">
        <v>1.8</v>
      </c>
      <c r="H530" t="n">
        <v>0</v>
      </c>
      <c r="I530" t="n">
        <v>0</v>
      </c>
      <c r="J530" t="n">
        <v>0</v>
      </c>
      <c r="K530" t="n">
        <v>0</v>
      </c>
      <c r="L530" t="n">
        <v>0</v>
      </c>
      <c r="M530" t="n">
        <v>0</v>
      </c>
      <c r="N530" t="n">
        <v>0</v>
      </c>
      <c r="O530" t="n">
        <v>0</v>
      </c>
      <c r="P530" t="n">
        <v>0</v>
      </c>
      <c r="Q530" t="n">
        <v>0</v>
      </c>
      <c r="R530" s="2" t="inlineStr"/>
    </row>
    <row r="531" ht="15" customHeight="1">
      <c r="A531" t="inlineStr">
        <is>
          <t>A 45898-2020</t>
        </is>
      </c>
      <c r="B531" s="1" t="n">
        <v>44091</v>
      </c>
      <c r="C531" s="1" t="n">
        <v>45822</v>
      </c>
      <c r="D531" t="inlineStr">
        <is>
          <t>VÄRMLANDS LÄN</t>
        </is>
      </c>
      <c r="E531" t="inlineStr">
        <is>
          <t>TORSBY</t>
        </is>
      </c>
      <c r="G531" t="n">
        <v>1.5</v>
      </c>
      <c r="H531" t="n">
        <v>0</v>
      </c>
      <c r="I531" t="n">
        <v>0</v>
      </c>
      <c r="J531" t="n">
        <v>0</v>
      </c>
      <c r="K531" t="n">
        <v>0</v>
      </c>
      <c r="L531" t="n">
        <v>0</v>
      </c>
      <c r="M531" t="n">
        <v>0</v>
      </c>
      <c r="N531" t="n">
        <v>0</v>
      </c>
      <c r="O531" t="n">
        <v>0</v>
      </c>
      <c r="P531" t="n">
        <v>0</v>
      </c>
      <c r="Q531" t="n">
        <v>0</v>
      </c>
      <c r="R531" s="2" t="inlineStr"/>
    </row>
    <row r="532" ht="15" customHeight="1">
      <c r="A532" t="inlineStr">
        <is>
          <t>A 46271-2020</t>
        </is>
      </c>
      <c r="B532" s="1" t="n">
        <v>44092</v>
      </c>
      <c r="C532" s="1" t="n">
        <v>45822</v>
      </c>
      <c r="D532" t="inlineStr">
        <is>
          <t>VÄRMLANDS LÄN</t>
        </is>
      </c>
      <c r="E532" t="inlineStr">
        <is>
          <t>TORSBY</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47707-2020</t>
        </is>
      </c>
      <c r="B533" s="1" t="n">
        <v>44096</v>
      </c>
      <c r="C533" s="1" t="n">
        <v>45822</v>
      </c>
      <c r="D533" t="inlineStr">
        <is>
          <t>VÄRMLANDS LÄN</t>
        </is>
      </c>
      <c r="E533" t="inlineStr">
        <is>
          <t>TORSBY</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47709-2020</t>
        </is>
      </c>
      <c r="B534" s="1" t="n">
        <v>44096</v>
      </c>
      <c r="C534" s="1" t="n">
        <v>45822</v>
      </c>
      <c r="D534" t="inlineStr">
        <is>
          <t>VÄRMLANDS LÄN</t>
        </is>
      </c>
      <c r="E534" t="inlineStr">
        <is>
          <t>TORSBY</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47490-2020</t>
        </is>
      </c>
      <c r="B535" s="1" t="n">
        <v>44098</v>
      </c>
      <c r="C535" s="1" t="n">
        <v>45822</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48231-2020</t>
        </is>
      </c>
      <c r="B536" s="1" t="n">
        <v>44102</v>
      </c>
      <c r="C536" s="1" t="n">
        <v>45822</v>
      </c>
      <c r="D536" t="inlineStr">
        <is>
          <t>VÄRMLANDS LÄN</t>
        </is>
      </c>
      <c r="E536" t="inlineStr">
        <is>
          <t>TORSBY</t>
        </is>
      </c>
      <c r="G536" t="n">
        <v>1.7</v>
      </c>
      <c r="H536" t="n">
        <v>0</v>
      </c>
      <c r="I536" t="n">
        <v>0</v>
      </c>
      <c r="J536" t="n">
        <v>0</v>
      </c>
      <c r="K536" t="n">
        <v>0</v>
      </c>
      <c r="L536" t="n">
        <v>0</v>
      </c>
      <c r="M536" t="n">
        <v>0</v>
      </c>
      <c r="N536" t="n">
        <v>0</v>
      </c>
      <c r="O536" t="n">
        <v>0</v>
      </c>
      <c r="P536" t="n">
        <v>0</v>
      </c>
      <c r="Q536" t="n">
        <v>0</v>
      </c>
      <c r="R536" s="2" t="inlineStr"/>
    </row>
    <row r="537" ht="15" customHeight="1">
      <c r="A537" t="inlineStr">
        <is>
          <t>A 48383-2020</t>
        </is>
      </c>
      <c r="B537" s="1" t="n">
        <v>44102</v>
      </c>
      <c r="C537" s="1" t="n">
        <v>45822</v>
      </c>
      <c r="D537" t="inlineStr">
        <is>
          <t>VÄRMLANDS LÄN</t>
        </is>
      </c>
      <c r="E537" t="inlineStr">
        <is>
          <t>TORSBY</t>
        </is>
      </c>
      <c r="G537" t="n">
        <v>2.9</v>
      </c>
      <c r="H537" t="n">
        <v>0</v>
      </c>
      <c r="I537" t="n">
        <v>0</v>
      </c>
      <c r="J537" t="n">
        <v>0</v>
      </c>
      <c r="K537" t="n">
        <v>0</v>
      </c>
      <c r="L537" t="n">
        <v>0</v>
      </c>
      <c r="M537" t="n">
        <v>0</v>
      </c>
      <c r="N537" t="n">
        <v>0</v>
      </c>
      <c r="O537" t="n">
        <v>0</v>
      </c>
      <c r="P537" t="n">
        <v>0</v>
      </c>
      <c r="Q537" t="n">
        <v>0</v>
      </c>
      <c r="R537" s="2" t="inlineStr"/>
    </row>
    <row r="538" ht="15" customHeight="1">
      <c r="A538" t="inlineStr">
        <is>
          <t>A 48488-2020</t>
        </is>
      </c>
      <c r="B538" s="1" t="n">
        <v>44103</v>
      </c>
      <c r="C538" s="1" t="n">
        <v>45822</v>
      </c>
      <c r="D538" t="inlineStr">
        <is>
          <t>VÄRMLANDS LÄN</t>
        </is>
      </c>
      <c r="E538" t="inlineStr">
        <is>
          <t>TORSBY</t>
        </is>
      </c>
      <c r="G538" t="n">
        <v>0.7</v>
      </c>
      <c r="H538" t="n">
        <v>0</v>
      </c>
      <c r="I538" t="n">
        <v>0</v>
      </c>
      <c r="J538" t="n">
        <v>0</v>
      </c>
      <c r="K538" t="n">
        <v>0</v>
      </c>
      <c r="L538" t="n">
        <v>0</v>
      </c>
      <c r="M538" t="n">
        <v>0</v>
      </c>
      <c r="N538" t="n">
        <v>0</v>
      </c>
      <c r="O538" t="n">
        <v>0</v>
      </c>
      <c r="P538" t="n">
        <v>0</v>
      </c>
      <c r="Q538" t="n">
        <v>0</v>
      </c>
      <c r="R538" s="2" t="inlineStr"/>
    </row>
    <row r="539" ht="15" customHeight="1">
      <c r="A539" t="inlineStr">
        <is>
          <t>A 53557-2020</t>
        </is>
      </c>
      <c r="B539" s="1" t="n">
        <v>44104</v>
      </c>
      <c r="C539" s="1" t="n">
        <v>45822</v>
      </c>
      <c r="D539" t="inlineStr">
        <is>
          <t>VÄRMLANDS LÄN</t>
        </is>
      </c>
      <c r="E539" t="inlineStr">
        <is>
          <t>TORSBY</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50084-2020</t>
        </is>
      </c>
      <c r="B540" s="1" t="n">
        <v>44109</v>
      </c>
      <c r="C540" s="1" t="n">
        <v>45822</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50092-2020</t>
        </is>
      </c>
      <c r="B541" s="1" t="n">
        <v>44109</v>
      </c>
      <c r="C541" s="1" t="n">
        <v>45822</v>
      </c>
      <c r="D541" t="inlineStr">
        <is>
          <t>VÄRMLANDS LÄN</t>
        </is>
      </c>
      <c r="E541" t="inlineStr">
        <is>
          <t>TORSBY</t>
        </is>
      </c>
      <c r="G541" t="n">
        <v>0.7</v>
      </c>
      <c r="H541" t="n">
        <v>0</v>
      </c>
      <c r="I541" t="n">
        <v>0</v>
      </c>
      <c r="J541" t="n">
        <v>0</v>
      </c>
      <c r="K541" t="n">
        <v>0</v>
      </c>
      <c r="L541" t="n">
        <v>0</v>
      </c>
      <c r="M541" t="n">
        <v>0</v>
      </c>
      <c r="N541" t="n">
        <v>0</v>
      </c>
      <c r="O541" t="n">
        <v>0</v>
      </c>
      <c r="P541" t="n">
        <v>0</v>
      </c>
      <c r="Q541" t="n">
        <v>0</v>
      </c>
      <c r="R541" s="2" t="inlineStr"/>
    </row>
    <row r="542" ht="15" customHeight="1">
      <c r="A542" t="inlineStr">
        <is>
          <t>A 50103-2020</t>
        </is>
      </c>
      <c r="B542" s="1" t="n">
        <v>44109</v>
      </c>
      <c r="C542" s="1" t="n">
        <v>45822</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50096-2020</t>
        </is>
      </c>
      <c r="B543" s="1" t="n">
        <v>44109</v>
      </c>
      <c r="C543" s="1" t="n">
        <v>45822</v>
      </c>
      <c r="D543" t="inlineStr">
        <is>
          <t>VÄRMLANDS LÄN</t>
        </is>
      </c>
      <c r="E543" t="inlineStr">
        <is>
          <t>TORSBY</t>
        </is>
      </c>
      <c r="G543" t="n">
        <v>2.6</v>
      </c>
      <c r="H543" t="n">
        <v>0</v>
      </c>
      <c r="I543" t="n">
        <v>0</v>
      </c>
      <c r="J543" t="n">
        <v>0</v>
      </c>
      <c r="K543" t="n">
        <v>0</v>
      </c>
      <c r="L543" t="n">
        <v>0</v>
      </c>
      <c r="M543" t="n">
        <v>0</v>
      </c>
      <c r="N543" t="n">
        <v>0</v>
      </c>
      <c r="O543" t="n">
        <v>0</v>
      </c>
      <c r="P543" t="n">
        <v>0</v>
      </c>
      <c r="Q543" t="n">
        <v>0</v>
      </c>
      <c r="R543" s="2" t="inlineStr"/>
    </row>
    <row r="544" ht="15" customHeight="1">
      <c r="A544" t="inlineStr">
        <is>
          <t>A 50486-2020</t>
        </is>
      </c>
      <c r="B544" s="1" t="n">
        <v>44110</v>
      </c>
      <c r="C544" s="1" t="n">
        <v>45822</v>
      </c>
      <c r="D544" t="inlineStr">
        <is>
          <t>VÄRMLANDS LÄN</t>
        </is>
      </c>
      <c r="E544" t="inlineStr">
        <is>
          <t>TORSBY</t>
        </is>
      </c>
      <c r="G544" t="n">
        <v>2.2</v>
      </c>
      <c r="H544" t="n">
        <v>0</v>
      </c>
      <c r="I544" t="n">
        <v>0</v>
      </c>
      <c r="J544" t="n">
        <v>0</v>
      </c>
      <c r="K544" t="n">
        <v>0</v>
      </c>
      <c r="L544" t="n">
        <v>0</v>
      </c>
      <c r="M544" t="n">
        <v>0</v>
      </c>
      <c r="N544" t="n">
        <v>0</v>
      </c>
      <c r="O544" t="n">
        <v>0</v>
      </c>
      <c r="P544" t="n">
        <v>0</v>
      </c>
      <c r="Q544" t="n">
        <v>0</v>
      </c>
      <c r="R544" s="2" t="inlineStr"/>
    </row>
    <row r="545" ht="15" customHeight="1">
      <c r="A545" t="inlineStr">
        <is>
          <t>A 50943-2020</t>
        </is>
      </c>
      <c r="B545" s="1" t="n">
        <v>44111</v>
      </c>
      <c r="C545" s="1" t="n">
        <v>45822</v>
      </c>
      <c r="D545" t="inlineStr">
        <is>
          <t>VÄRMLANDS LÄN</t>
        </is>
      </c>
      <c r="E545" t="inlineStr">
        <is>
          <t>TORSBY</t>
        </is>
      </c>
      <c r="F545" t="inlineStr">
        <is>
          <t>Bergvik skog väst AB</t>
        </is>
      </c>
      <c r="G545" t="n">
        <v>18.4</v>
      </c>
      <c r="H545" t="n">
        <v>0</v>
      </c>
      <c r="I545" t="n">
        <v>0</v>
      </c>
      <c r="J545" t="n">
        <v>0</v>
      </c>
      <c r="K545" t="n">
        <v>0</v>
      </c>
      <c r="L545" t="n">
        <v>0</v>
      </c>
      <c r="M545" t="n">
        <v>0</v>
      </c>
      <c r="N545" t="n">
        <v>0</v>
      </c>
      <c r="O545" t="n">
        <v>0</v>
      </c>
      <c r="P545" t="n">
        <v>0</v>
      </c>
      <c r="Q545" t="n">
        <v>0</v>
      </c>
      <c r="R545" s="2" t="inlineStr"/>
    </row>
    <row r="546" ht="15" customHeight="1">
      <c r="A546" t="inlineStr">
        <is>
          <t>A 51380-2020</t>
        </is>
      </c>
      <c r="B546" s="1" t="n">
        <v>44113</v>
      </c>
      <c r="C546" s="1" t="n">
        <v>45822</v>
      </c>
      <c r="D546" t="inlineStr">
        <is>
          <t>VÄRMLANDS LÄN</t>
        </is>
      </c>
      <c r="E546" t="inlineStr">
        <is>
          <t>TORSBY</t>
        </is>
      </c>
      <c r="G546" t="n">
        <v>1.4</v>
      </c>
      <c r="H546" t="n">
        <v>0</v>
      </c>
      <c r="I546" t="n">
        <v>0</v>
      </c>
      <c r="J546" t="n">
        <v>0</v>
      </c>
      <c r="K546" t="n">
        <v>0</v>
      </c>
      <c r="L546" t="n">
        <v>0</v>
      </c>
      <c r="M546" t="n">
        <v>0</v>
      </c>
      <c r="N546" t="n">
        <v>0</v>
      </c>
      <c r="O546" t="n">
        <v>0</v>
      </c>
      <c r="P546" t="n">
        <v>0</v>
      </c>
      <c r="Q546" t="n">
        <v>0</v>
      </c>
      <c r="R546" s="2" t="inlineStr"/>
    </row>
    <row r="547" ht="15" customHeight="1">
      <c r="A547" t="inlineStr">
        <is>
          <t>A 51385-2020</t>
        </is>
      </c>
      <c r="B547" s="1" t="n">
        <v>44113</v>
      </c>
      <c r="C547" s="1" t="n">
        <v>45822</v>
      </c>
      <c r="D547" t="inlineStr">
        <is>
          <t>VÄRMLANDS LÄN</t>
        </is>
      </c>
      <c r="E547" t="inlineStr">
        <is>
          <t>TORSBY</t>
        </is>
      </c>
      <c r="G547" t="n">
        <v>6.8</v>
      </c>
      <c r="H547" t="n">
        <v>0</v>
      </c>
      <c r="I547" t="n">
        <v>0</v>
      </c>
      <c r="J547" t="n">
        <v>0</v>
      </c>
      <c r="K547" t="n">
        <v>0</v>
      </c>
      <c r="L547" t="n">
        <v>0</v>
      </c>
      <c r="M547" t="n">
        <v>0</v>
      </c>
      <c r="N547" t="n">
        <v>0</v>
      </c>
      <c r="O547" t="n">
        <v>0</v>
      </c>
      <c r="P547" t="n">
        <v>0</v>
      </c>
      <c r="Q547" t="n">
        <v>0</v>
      </c>
      <c r="R547" s="2" t="inlineStr"/>
    </row>
    <row r="548" ht="15" customHeight="1">
      <c r="A548" t="inlineStr">
        <is>
          <t>A 51389-2020</t>
        </is>
      </c>
      <c r="B548" s="1" t="n">
        <v>44113</v>
      </c>
      <c r="C548" s="1" t="n">
        <v>45822</v>
      </c>
      <c r="D548" t="inlineStr">
        <is>
          <t>VÄRMLANDS LÄN</t>
        </is>
      </c>
      <c r="E548" t="inlineStr">
        <is>
          <t>TORSBY</t>
        </is>
      </c>
      <c r="G548" t="n">
        <v>15.4</v>
      </c>
      <c r="H548" t="n">
        <v>0</v>
      </c>
      <c r="I548" t="n">
        <v>0</v>
      </c>
      <c r="J548" t="n">
        <v>0</v>
      </c>
      <c r="K548" t="n">
        <v>0</v>
      </c>
      <c r="L548" t="n">
        <v>0</v>
      </c>
      <c r="M548" t="n">
        <v>0</v>
      </c>
      <c r="N548" t="n">
        <v>0</v>
      </c>
      <c r="O548" t="n">
        <v>0</v>
      </c>
      <c r="P548" t="n">
        <v>0</v>
      </c>
      <c r="Q548" t="n">
        <v>0</v>
      </c>
      <c r="R548" s="2" t="inlineStr"/>
    </row>
    <row r="549" ht="15" customHeight="1">
      <c r="A549" t="inlineStr">
        <is>
          <t>A 51382-2020</t>
        </is>
      </c>
      <c r="B549" s="1" t="n">
        <v>44113</v>
      </c>
      <c r="C549" s="1" t="n">
        <v>45822</v>
      </c>
      <c r="D549" t="inlineStr">
        <is>
          <t>VÄRMLANDS LÄN</t>
        </is>
      </c>
      <c r="E549" t="inlineStr">
        <is>
          <t>TORSBY</t>
        </is>
      </c>
      <c r="G549" t="n">
        <v>0.5</v>
      </c>
      <c r="H549" t="n">
        <v>0</v>
      </c>
      <c r="I549" t="n">
        <v>0</v>
      </c>
      <c r="J549" t="n">
        <v>0</v>
      </c>
      <c r="K549" t="n">
        <v>0</v>
      </c>
      <c r="L549" t="n">
        <v>0</v>
      </c>
      <c r="M549" t="n">
        <v>0</v>
      </c>
      <c r="N549" t="n">
        <v>0</v>
      </c>
      <c r="O549" t="n">
        <v>0</v>
      </c>
      <c r="P549" t="n">
        <v>0</v>
      </c>
      <c r="Q549" t="n">
        <v>0</v>
      </c>
      <c r="R549" s="2" t="inlineStr"/>
    </row>
    <row r="550" ht="15" customHeight="1">
      <c r="A550" t="inlineStr">
        <is>
          <t>A 51381-2020</t>
        </is>
      </c>
      <c r="B550" s="1" t="n">
        <v>44113</v>
      </c>
      <c r="C550" s="1" t="n">
        <v>45822</v>
      </c>
      <c r="D550" t="inlineStr">
        <is>
          <t>VÄRMLANDS LÄN</t>
        </is>
      </c>
      <c r="E550" t="inlineStr">
        <is>
          <t>TORSBY</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51386-2020</t>
        </is>
      </c>
      <c r="B551" s="1" t="n">
        <v>44113</v>
      </c>
      <c r="C551" s="1" t="n">
        <v>45822</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51635-2020</t>
        </is>
      </c>
      <c r="B552" s="1" t="n">
        <v>44113</v>
      </c>
      <c r="C552" s="1" t="n">
        <v>45822</v>
      </c>
      <c r="D552" t="inlineStr">
        <is>
          <t>VÄRMLANDS LÄN</t>
        </is>
      </c>
      <c r="E552" t="inlineStr">
        <is>
          <t>TORSBY</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51383-2020</t>
        </is>
      </c>
      <c r="B553" s="1" t="n">
        <v>44113</v>
      </c>
      <c r="C553" s="1" t="n">
        <v>45822</v>
      </c>
      <c r="D553" t="inlineStr">
        <is>
          <t>VÄRMLANDS LÄN</t>
        </is>
      </c>
      <c r="E553" t="inlineStr">
        <is>
          <t>TORSBY</t>
        </is>
      </c>
      <c r="G553" t="n">
        <v>3.8</v>
      </c>
      <c r="H553" t="n">
        <v>0</v>
      </c>
      <c r="I553" t="n">
        <v>0</v>
      </c>
      <c r="J553" t="n">
        <v>0</v>
      </c>
      <c r="K553" t="n">
        <v>0</v>
      </c>
      <c r="L553" t="n">
        <v>0</v>
      </c>
      <c r="M553" t="n">
        <v>0</v>
      </c>
      <c r="N553" t="n">
        <v>0</v>
      </c>
      <c r="O553" t="n">
        <v>0</v>
      </c>
      <c r="P553" t="n">
        <v>0</v>
      </c>
      <c r="Q553" t="n">
        <v>0</v>
      </c>
      <c r="R553" s="2" t="inlineStr"/>
    </row>
    <row r="554" ht="15" customHeight="1">
      <c r="A554" t="inlineStr">
        <is>
          <t>A 51838-2020</t>
        </is>
      </c>
      <c r="B554" s="1" t="n">
        <v>44116</v>
      </c>
      <c r="C554" s="1" t="n">
        <v>45822</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52460-2020</t>
        </is>
      </c>
      <c r="B555" s="1" t="n">
        <v>44116</v>
      </c>
      <c r="C555" s="1" t="n">
        <v>45822</v>
      </c>
      <c r="D555" t="inlineStr">
        <is>
          <t>VÄRMLANDS LÄN</t>
        </is>
      </c>
      <c r="E555" t="inlineStr">
        <is>
          <t>TORSBY</t>
        </is>
      </c>
      <c r="G555" t="n">
        <v>1.4</v>
      </c>
      <c r="H555" t="n">
        <v>0</v>
      </c>
      <c r="I555" t="n">
        <v>0</v>
      </c>
      <c r="J555" t="n">
        <v>0</v>
      </c>
      <c r="K555" t="n">
        <v>0</v>
      </c>
      <c r="L555" t="n">
        <v>0</v>
      </c>
      <c r="M555" t="n">
        <v>0</v>
      </c>
      <c r="N555" t="n">
        <v>0</v>
      </c>
      <c r="O555" t="n">
        <v>0</v>
      </c>
      <c r="P555" t="n">
        <v>0</v>
      </c>
      <c r="Q555" t="n">
        <v>0</v>
      </c>
      <c r="R555" s="2" t="inlineStr"/>
    </row>
    <row r="556" ht="15" customHeight="1">
      <c r="A556" t="inlineStr">
        <is>
          <t>A 51837-2020</t>
        </is>
      </c>
      <c r="B556" s="1" t="n">
        <v>44116</v>
      </c>
      <c r="C556" s="1" t="n">
        <v>45822</v>
      </c>
      <c r="D556" t="inlineStr">
        <is>
          <t>VÄRMLANDS LÄN</t>
        </is>
      </c>
      <c r="E556" t="inlineStr">
        <is>
          <t>TORSBY</t>
        </is>
      </c>
      <c r="G556" t="n">
        <v>1.7</v>
      </c>
      <c r="H556" t="n">
        <v>0</v>
      </c>
      <c r="I556" t="n">
        <v>0</v>
      </c>
      <c r="J556" t="n">
        <v>0</v>
      </c>
      <c r="K556" t="n">
        <v>0</v>
      </c>
      <c r="L556" t="n">
        <v>0</v>
      </c>
      <c r="M556" t="n">
        <v>0</v>
      </c>
      <c r="N556" t="n">
        <v>0</v>
      </c>
      <c r="O556" t="n">
        <v>0</v>
      </c>
      <c r="P556" t="n">
        <v>0</v>
      </c>
      <c r="Q556" t="n">
        <v>0</v>
      </c>
      <c r="R556" s="2" t="inlineStr"/>
    </row>
    <row r="557" ht="15" customHeight="1">
      <c r="A557" t="inlineStr">
        <is>
          <t>A 52141-2020</t>
        </is>
      </c>
      <c r="B557" s="1" t="n">
        <v>44117</v>
      </c>
      <c r="C557" s="1" t="n">
        <v>45822</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52799-2020</t>
        </is>
      </c>
      <c r="B558" s="1" t="n">
        <v>44119</v>
      </c>
      <c r="C558" s="1" t="n">
        <v>45822</v>
      </c>
      <c r="D558" t="inlineStr">
        <is>
          <t>VÄRMLANDS LÄN</t>
        </is>
      </c>
      <c r="E558" t="inlineStr">
        <is>
          <t>TORSBY</t>
        </is>
      </c>
      <c r="G558" t="n">
        <v>6.2</v>
      </c>
      <c r="H558" t="n">
        <v>0</v>
      </c>
      <c r="I558" t="n">
        <v>0</v>
      </c>
      <c r="J558" t="n">
        <v>0</v>
      </c>
      <c r="K558" t="n">
        <v>0</v>
      </c>
      <c r="L558" t="n">
        <v>0</v>
      </c>
      <c r="M558" t="n">
        <v>0</v>
      </c>
      <c r="N558" t="n">
        <v>0</v>
      </c>
      <c r="O558" t="n">
        <v>0</v>
      </c>
      <c r="P558" t="n">
        <v>0</v>
      </c>
      <c r="Q558" t="n">
        <v>0</v>
      </c>
      <c r="R558" s="2" t="inlineStr"/>
    </row>
    <row r="559" ht="15" customHeight="1">
      <c r="A559" t="inlineStr">
        <is>
          <t>A 52979-2020</t>
        </is>
      </c>
      <c r="B559" s="1" t="n">
        <v>44120</v>
      </c>
      <c r="C559" s="1" t="n">
        <v>45822</v>
      </c>
      <c r="D559" t="inlineStr">
        <is>
          <t>VÄRMLANDS LÄN</t>
        </is>
      </c>
      <c r="E559" t="inlineStr">
        <is>
          <t>TORSBY</t>
        </is>
      </c>
      <c r="G559" t="n">
        <v>3.6</v>
      </c>
      <c r="H559" t="n">
        <v>0</v>
      </c>
      <c r="I559" t="n">
        <v>0</v>
      </c>
      <c r="J559" t="n">
        <v>0</v>
      </c>
      <c r="K559" t="n">
        <v>0</v>
      </c>
      <c r="L559" t="n">
        <v>0</v>
      </c>
      <c r="M559" t="n">
        <v>0</v>
      </c>
      <c r="N559" t="n">
        <v>0</v>
      </c>
      <c r="O559" t="n">
        <v>0</v>
      </c>
      <c r="P559" t="n">
        <v>0</v>
      </c>
      <c r="Q559" t="n">
        <v>0</v>
      </c>
      <c r="R559" s="2" t="inlineStr"/>
    </row>
    <row r="560" ht="15" customHeight="1">
      <c r="A560" t="inlineStr">
        <is>
          <t>A 53111-2020</t>
        </is>
      </c>
      <c r="B560" s="1" t="n">
        <v>44120</v>
      </c>
      <c r="C560" s="1" t="n">
        <v>45822</v>
      </c>
      <c r="D560" t="inlineStr">
        <is>
          <t>VÄRMLANDS LÄN</t>
        </is>
      </c>
      <c r="E560" t="inlineStr">
        <is>
          <t>TORSBY</t>
        </is>
      </c>
      <c r="F560" t="inlineStr">
        <is>
          <t>Bergvik skog väst AB</t>
        </is>
      </c>
      <c r="G560" t="n">
        <v>3.4</v>
      </c>
      <c r="H560" t="n">
        <v>0</v>
      </c>
      <c r="I560" t="n">
        <v>0</v>
      </c>
      <c r="J560" t="n">
        <v>0</v>
      </c>
      <c r="K560" t="n">
        <v>0</v>
      </c>
      <c r="L560" t="n">
        <v>0</v>
      </c>
      <c r="M560" t="n">
        <v>0</v>
      </c>
      <c r="N560" t="n">
        <v>0</v>
      </c>
      <c r="O560" t="n">
        <v>0</v>
      </c>
      <c r="P560" t="n">
        <v>0</v>
      </c>
      <c r="Q560" t="n">
        <v>0</v>
      </c>
      <c r="R560" s="2" t="inlineStr"/>
    </row>
    <row r="561" ht="15" customHeight="1">
      <c r="A561" t="inlineStr">
        <is>
          <t>A 53771-2020</t>
        </is>
      </c>
      <c r="B561" s="1" t="n">
        <v>44124</v>
      </c>
      <c r="C561" s="1" t="n">
        <v>45822</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53733-2020</t>
        </is>
      </c>
      <c r="B562" s="1" t="n">
        <v>44124</v>
      </c>
      <c r="C562" s="1" t="n">
        <v>45822</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54331-2020</t>
        </is>
      </c>
      <c r="B563" s="1" t="n">
        <v>44124</v>
      </c>
      <c r="C563" s="1" t="n">
        <v>45822</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54060-2020</t>
        </is>
      </c>
      <c r="B564" s="1" t="n">
        <v>44125</v>
      </c>
      <c r="C564" s="1" t="n">
        <v>45822</v>
      </c>
      <c r="D564" t="inlineStr">
        <is>
          <t>VÄRMLANDS LÄN</t>
        </is>
      </c>
      <c r="E564" t="inlineStr">
        <is>
          <t>TORSBY</t>
        </is>
      </c>
      <c r="G564" t="n">
        <v>3.2</v>
      </c>
      <c r="H564" t="n">
        <v>0</v>
      </c>
      <c r="I564" t="n">
        <v>0</v>
      </c>
      <c r="J564" t="n">
        <v>0</v>
      </c>
      <c r="K564" t="n">
        <v>0</v>
      </c>
      <c r="L564" t="n">
        <v>0</v>
      </c>
      <c r="M564" t="n">
        <v>0</v>
      </c>
      <c r="N564" t="n">
        <v>0</v>
      </c>
      <c r="O564" t="n">
        <v>0</v>
      </c>
      <c r="P564" t="n">
        <v>0</v>
      </c>
      <c r="Q564" t="n">
        <v>0</v>
      </c>
      <c r="R564" s="2" t="inlineStr"/>
    </row>
    <row r="565" ht="15" customHeight="1">
      <c r="A565" t="inlineStr">
        <is>
          <t>A 54072-2020</t>
        </is>
      </c>
      <c r="B565" s="1" t="n">
        <v>44125</v>
      </c>
      <c r="C565" s="1" t="n">
        <v>45822</v>
      </c>
      <c r="D565" t="inlineStr">
        <is>
          <t>VÄRMLANDS LÄN</t>
        </is>
      </c>
      <c r="E565" t="inlineStr">
        <is>
          <t>TORSBY</t>
        </is>
      </c>
      <c r="G565" t="n">
        <v>5</v>
      </c>
      <c r="H565" t="n">
        <v>0</v>
      </c>
      <c r="I565" t="n">
        <v>0</v>
      </c>
      <c r="J565" t="n">
        <v>0</v>
      </c>
      <c r="K565" t="n">
        <v>0</v>
      </c>
      <c r="L565" t="n">
        <v>0</v>
      </c>
      <c r="M565" t="n">
        <v>0</v>
      </c>
      <c r="N565" t="n">
        <v>0</v>
      </c>
      <c r="O565" t="n">
        <v>0</v>
      </c>
      <c r="P565" t="n">
        <v>0</v>
      </c>
      <c r="Q565" t="n">
        <v>0</v>
      </c>
      <c r="R565" s="2" t="inlineStr"/>
    </row>
    <row r="566" ht="15" customHeight="1">
      <c r="A566" t="inlineStr">
        <is>
          <t>A 54916-2020</t>
        </is>
      </c>
      <c r="B566" s="1" t="n">
        <v>44127</v>
      </c>
      <c r="C566" s="1" t="n">
        <v>45822</v>
      </c>
      <c r="D566" t="inlineStr">
        <is>
          <t>VÄRMLANDS LÄN</t>
        </is>
      </c>
      <c r="E566" t="inlineStr">
        <is>
          <t>TORSBY</t>
        </is>
      </c>
      <c r="F566" t="inlineStr">
        <is>
          <t>Kyrkan</t>
        </is>
      </c>
      <c r="G566" t="n">
        <v>0.7</v>
      </c>
      <c r="H566" t="n">
        <v>0</v>
      </c>
      <c r="I566" t="n">
        <v>0</v>
      </c>
      <c r="J566" t="n">
        <v>0</v>
      </c>
      <c r="K566" t="n">
        <v>0</v>
      </c>
      <c r="L566" t="n">
        <v>0</v>
      </c>
      <c r="M566" t="n">
        <v>0</v>
      </c>
      <c r="N566" t="n">
        <v>0</v>
      </c>
      <c r="O566" t="n">
        <v>0</v>
      </c>
      <c r="P566" t="n">
        <v>0</v>
      </c>
      <c r="Q566" t="n">
        <v>0</v>
      </c>
      <c r="R566" s="2" t="inlineStr"/>
    </row>
    <row r="567" ht="15" customHeight="1">
      <c r="A567" t="inlineStr">
        <is>
          <t>A 54924-2020</t>
        </is>
      </c>
      <c r="B567" s="1" t="n">
        <v>44127</v>
      </c>
      <c r="C567" s="1" t="n">
        <v>45822</v>
      </c>
      <c r="D567" t="inlineStr">
        <is>
          <t>VÄRMLANDS LÄN</t>
        </is>
      </c>
      <c r="E567" t="inlineStr">
        <is>
          <t>TORSBY</t>
        </is>
      </c>
      <c r="G567" t="n">
        <v>2.1</v>
      </c>
      <c r="H567" t="n">
        <v>0</v>
      </c>
      <c r="I567" t="n">
        <v>0</v>
      </c>
      <c r="J567" t="n">
        <v>0</v>
      </c>
      <c r="K567" t="n">
        <v>0</v>
      </c>
      <c r="L567" t="n">
        <v>0</v>
      </c>
      <c r="M567" t="n">
        <v>0</v>
      </c>
      <c r="N567" t="n">
        <v>0</v>
      </c>
      <c r="O567" t="n">
        <v>0</v>
      </c>
      <c r="P567" t="n">
        <v>0</v>
      </c>
      <c r="Q567" t="n">
        <v>0</v>
      </c>
      <c r="R567" s="2" t="inlineStr"/>
    </row>
    <row r="568" ht="15" customHeight="1">
      <c r="A568" t="inlineStr">
        <is>
          <t>A 55058-2020</t>
        </is>
      </c>
      <c r="B568" s="1" t="n">
        <v>44130</v>
      </c>
      <c r="C568" s="1" t="n">
        <v>45822</v>
      </c>
      <c r="D568" t="inlineStr">
        <is>
          <t>VÄRMLANDS LÄN</t>
        </is>
      </c>
      <c r="E568" t="inlineStr">
        <is>
          <t>TORSBY</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55217-2020</t>
        </is>
      </c>
      <c r="B569" s="1" t="n">
        <v>44130</v>
      </c>
      <c r="C569" s="1" t="n">
        <v>45822</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55401-2020</t>
        </is>
      </c>
      <c r="B570" s="1" t="n">
        <v>44131</v>
      </c>
      <c r="C570" s="1" t="n">
        <v>45822</v>
      </c>
      <c r="D570" t="inlineStr">
        <is>
          <t>VÄRMLANDS LÄN</t>
        </is>
      </c>
      <c r="E570" t="inlineStr">
        <is>
          <t>TORSBY</t>
        </is>
      </c>
      <c r="G570" t="n">
        <v>1.9</v>
      </c>
      <c r="H570" t="n">
        <v>0</v>
      </c>
      <c r="I570" t="n">
        <v>0</v>
      </c>
      <c r="J570" t="n">
        <v>0</v>
      </c>
      <c r="K570" t="n">
        <v>0</v>
      </c>
      <c r="L570" t="n">
        <v>0</v>
      </c>
      <c r="M570" t="n">
        <v>0</v>
      </c>
      <c r="N570" t="n">
        <v>0</v>
      </c>
      <c r="O570" t="n">
        <v>0</v>
      </c>
      <c r="P570" t="n">
        <v>0</v>
      </c>
      <c r="Q570" t="n">
        <v>0</v>
      </c>
      <c r="R570" s="2" t="inlineStr"/>
    </row>
    <row r="571" ht="15" customHeight="1">
      <c r="A571" t="inlineStr">
        <is>
          <t>A 56979-2020</t>
        </is>
      </c>
      <c r="B571" s="1" t="n">
        <v>44138</v>
      </c>
      <c r="C571" s="1" t="n">
        <v>45822</v>
      </c>
      <c r="D571" t="inlineStr">
        <is>
          <t>VÄRMLANDS LÄN</t>
        </is>
      </c>
      <c r="E571" t="inlineStr">
        <is>
          <t>TORSBY</t>
        </is>
      </c>
      <c r="G571" t="n">
        <v>3.2</v>
      </c>
      <c r="H571" t="n">
        <v>0</v>
      </c>
      <c r="I571" t="n">
        <v>0</v>
      </c>
      <c r="J571" t="n">
        <v>0</v>
      </c>
      <c r="K571" t="n">
        <v>0</v>
      </c>
      <c r="L571" t="n">
        <v>0</v>
      </c>
      <c r="M571" t="n">
        <v>0</v>
      </c>
      <c r="N571" t="n">
        <v>0</v>
      </c>
      <c r="O571" t="n">
        <v>0</v>
      </c>
      <c r="P571" t="n">
        <v>0</v>
      </c>
      <c r="Q571" t="n">
        <v>0</v>
      </c>
      <c r="R571" s="2" t="inlineStr"/>
    </row>
    <row r="572" ht="15" customHeight="1">
      <c r="A572" t="inlineStr">
        <is>
          <t>A 57119-2020</t>
        </is>
      </c>
      <c r="B572" s="1" t="n">
        <v>44139</v>
      </c>
      <c r="C572" s="1" t="n">
        <v>45822</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57896-2020</t>
        </is>
      </c>
      <c r="B573" s="1" t="n">
        <v>44141</v>
      </c>
      <c r="C573" s="1" t="n">
        <v>45822</v>
      </c>
      <c r="D573" t="inlineStr">
        <is>
          <t>VÄRMLANDS LÄN</t>
        </is>
      </c>
      <c r="E573" t="inlineStr">
        <is>
          <t>TORSBY</t>
        </is>
      </c>
      <c r="F573" t="inlineStr">
        <is>
          <t>Bergvik skog väst AB</t>
        </is>
      </c>
      <c r="G573" t="n">
        <v>5.2</v>
      </c>
      <c r="H573" t="n">
        <v>0</v>
      </c>
      <c r="I573" t="n">
        <v>0</v>
      </c>
      <c r="J573" t="n">
        <v>0</v>
      </c>
      <c r="K573" t="n">
        <v>0</v>
      </c>
      <c r="L573" t="n">
        <v>0</v>
      </c>
      <c r="M573" t="n">
        <v>0</v>
      </c>
      <c r="N573" t="n">
        <v>0</v>
      </c>
      <c r="O573" t="n">
        <v>0</v>
      </c>
      <c r="P573" t="n">
        <v>0</v>
      </c>
      <c r="Q573" t="n">
        <v>0</v>
      </c>
      <c r="R573" s="2" t="inlineStr"/>
    </row>
    <row r="574" ht="15" customHeight="1">
      <c r="A574" t="inlineStr">
        <is>
          <t>A 57980-2020</t>
        </is>
      </c>
      <c r="B574" s="1" t="n">
        <v>44143</v>
      </c>
      <c r="C574" s="1" t="n">
        <v>45822</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58078-2020</t>
        </is>
      </c>
      <c r="B575" s="1" t="n">
        <v>44144</v>
      </c>
      <c r="C575" s="1" t="n">
        <v>45822</v>
      </c>
      <c r="D575" t="inlineStr">
        <is>
          <t>VÄRMLANDS LÄN</t>
        </is>
      </c>
      <c r="E575" t="inlineStr">
        <is>
          <t>TORSBY</t>
        </is>
      </c>
      <c r="G575" t="n">
        <v>1.6</v>
      </c>
      <c r="H575" t="n">
        <v>0</v>
      </c>
      <c r="I575" t="n">
        <v>0</v>
      </c>
      <c r="J575" t="n">
        <v>0</v>
      </c>
      <c r="K575" t="n">
        <v>0</v>
      </c>
      <c r="L575" t="n">
        <v>0</v>
      </c>
      <c r="M575" t="n">
        <v>0</v>
      </c>
      <c r="N575" t="n">
        <v>0</v>
      </c>
      <c r="O575" t="n">
        <v>0</v>
      </c>
      <c r="P575" t="n">
        <v>0</v>
      </c>
      <c r="Q575" t="n">
        <v>0</v>
      </c>
      <c r="R575" s="2" t="inlineStr"/>
    </row>
    <row r="576" ht="15" customHeight="1">
      <c r="A576" t="inlineStr">
        <is>
          <t>A 58599-2020</t>
        </is>
      </c>
      <c r="B576" s="1" t="n">
        <v>44145</v>
      </c>
      <c r="C576" s="1" t="n">
        <v>45822</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58574-2020</t>
        </is>
      </c>
      <c r="B577" s="1" t="n">
        <v>44145</v>
      </c>
      <c r="C577" s="1" t="n">
        <v>45822</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58643-2020</t>
        </is>
      </c>
      <c r="B578" s="1" t="n">
        <v>44145</v>
      </c>
      <c r="C578" s="1" t="n">
        <v>45822</v>
      </c>
      <c r="D578" t="inlineStr">
        <is>
          <t>VÄRMLANDS LÄN</t>
        </is>
      </c>
      <c r="E578" t="inlineStr">
        <is>
          <t>TORSBY</t>
        </is>
      </c>
      <c r="G578" t="n">
        <v>2.4</v>
      </c>
      <c r="H578" t="n">
        <v>0</v>
      </c>
      <c r="I578" t="n">
        <v>0</v>
      </c>
      <c r="J578" t="n">
        <v>0</v>
      </c>
      <c r="K578" t="n">
        <v>0</v>
      </c>
      <c r="L578" t="n">
        <v>0</v>
      </c>
      <c r="M578" t="n">
        <v>0</v>
      </c>
      <c r="N578" t="n">
        <v>0</v>
      </c>
      <c r="O578" t="n">
        <v>0</v>
      </c>
      <c r="P578" t="n">
        <v>0</v>
      </c>
      <c r="Q578" t="n">
        <v>0</v>
      </c>
      <c r="R578" s="2" t="inlineStr"/>
    </row>
    <row r="579" ht="15" customHeight="1">
      <c r="A579" t="inlineStr">
        <is>
          <t>A 58680-2020</t>
        </is>
      </c>
      <c r="B579" s="1" t="n">
        <v>44146</v>
      </c>
      <c r="C579" s="1" t="n">
        <v>45822</v>
      </c>
      <c r="D579" t="inlineStr">
        <is>
          <t>VÄRMLANDS LÄN</t>
        </is>
      </c>
      <c r="E579" t="inlineStr">
        <is>
          <t>TORSBY</t>
        </is>
      </c>
      <c r="G579" t="n">
        <v>4.7</v>
      </c>
      <c r="H579" t="n">
        <v>0</v>
      </c>
      <c r="I579" t="n">
        <v>0</v>
      </c>
      <c r="J579" t="n">
        <v>0</v>
      </c>
      <c r="K579" t="n">
        <v>0</v>
      </c>
      <c r="L579" t="n">
        <v>0</v>
      </c>
      <c r="M579" t="n">
        <v>0</v>
      </c>
      <c r="N579" t="n">
        <v>0</v>
      </c>
      <c r="O579" t="n">
        <v>0</v>
      </c>
      <c r="P579" t="n">
        <v>0</v>
      </c>
      <c r="Q579" t="n">
        <v>0</v>
      </c>
      <c r="R579" s="2" t="inlineStr"/>
    </row>
    <row r="580" ht="15" customHeight="1">
      <c r="A580" t="inlineStr">
        <is>
          <t>A 58877-2020</t>
        </is>
      </c>
      <c r="B580" s="1" t="n">
        <v>44146</v>
      </c>
      <c r="C580" s="1" t="n">
        <v>45822</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58930-2020</t>
        </is>
      </c>
      <c r="B581" s="1" t="n">
        <v>44146</v>
      </c>
      <c r="C581" s="1" t="n">
        <v>45822</v>
      </c>
      <c r="D581" t="inlineStr">
        <is>
          <t>VÄRMLANDS LÄN</t>
        </is>
      </c>
      <c r="E581" t="inlineStr">
        <is>
          <t>TORSBY</t>
        </is>
      </c>
      <c r="G581" t="n">
        <v>0.6</v>
      </c>
      <c r="H581" t="n">
        <v>0</v>
      </c>
      <c r="I581" t="n">
        <v>0</v>
      </c>
      <c r="J581" t="n">
        <v>0</v>
      </c>
      <c r="K581" t="n">
        <v>0</v>
      </c>
      <c r="L581" t="n">
        <v>0</v>
      </c>
      <c r="M581" t="n">
        <v>0</v>
      </c>
      <c r="N581" t="n">
        <v>0</v>
      </c>
      <c r="O581" t="n">
        <v>0</v>
      </c>
      <c r="P581" t="n">
        <v>0</v>
      </c>
      <c r="Q581" t="n">
        <v>0</v>
      </c>
      <c r="R581" s="2" t="inlineStr"/>
    </row>
    <row r="582" ht="15" customHeight="1">
      <c r="A582" t="inlineStr">
        <is>
          <t>A 59800-2020</t>
        </is>
      </c>
      <c r="B582" s="1" t="n">
        <v>44151</v>
      </c>
      <c r="C582" s="1" t="n">
        <v>45822</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60167-2020</t>
        </is>
      </c>
      <c r="B583" s="1" t="n">
        <v>44152</v>
      </c>
      <c r="C583" s="1" t="n">
        <v>45822</v>
      </c>
      <c r="D583" t="inlineStr">
        <is>
          <t>VÄRMLANDS LÄN</t>
        </is>
      </c>
      <c r="E583" t="inlineStr">
        <is>
          <t>TORSBY</t>
        </is>
      </c>
      <c r="G583" t="n">
        <v>0.6</v>
      </c>
      <c r="H583" t="n">
        <v>0</v>
      </c>
      <c r="I583" t="n">
        <v>0</v>
      </c>
      <c r="J583" t="n">
        <v>0</v>
      </c>
      <c r="K583" t="n">
        <v>0</v>
      </c>
      <c r="L583" t="n">
        <v>0</v>
      </c>
      <c r="M583" t="n">
        <v>0</v>
      </c>
      <c r="N583" t="n">
        <v>0</v>
      </c>
      <c r="O583" t="n">
        <v>0</v>
      </c>
      <c r="P583" t="n">
        <v>0</v>
      </c>
      <c r="Q583" t="n">
        <v>0</v>
      </c>
      <c r="R583" s="2" t="inlineStr"/>
    </row>
    <row r="584" ht="15" customHeight="1">
      <c r="A584" t="inlineStr">
        <is>
          <t>A 60533-2020</t>
        </is>
      </c>
      <c r="B584" s="1" t="n">
        <v>44153</v>
      </c>
      <c r="C584" s="1" t="n">
        <v>45822</v>
      </c>
      <c r="D584" t="inlineStr">
        <is>
          <t>VÄRMLANDS LÄN</t>
        </is>
      </c>
      <c r="E584" t="inlineStr">
        <is>
          <t>TORSBY</t>
        </is>
      </c>
      <c r="G584" t="n">
        <v>1.6</v>
      </c>
      <c r="H584" t="n">
        <v>0</v>
      </c>
      <c r="I584" t="n">
        <v>0</v>
      </c>
      <c r="J584" t="n">
        <v>0</v>
      </c>
      <c r="K584" t="n">
        <v>0</v>
      </c>
      <c r="L584" t="n">
        <v>0</v>
      </c>
      <c r="M584" t="n">
        <v>0</v>
      </c>
      <c r="N584" t="n">
        <v>0</v>
      </c>
      <c r="O584" t="n">
        <v>0</v>
      </c>
      <c r="P584" t="n">
        <v>0</v>
      </c>
      <c r="Q584" t="n">
        <v>0</v>
      </c>
      <c r="R584" s="2" t="inlineStr"/>
    </row>
    <row r="585" ht="15" customHeight="1">
      <c r="A585" t="inlineStr">
        <is>
          <t>A 60719-2020</t>
        </is>
      </c>
      <c r="B585" s="1" t="n">
        <v>44153</v>
      </c>
      <c r="C585" s="1" t="n">
        <v>45822</v>
      </c>
      <c r="D585" t="inlineStr">
        <is>
          <t>VÄRMLANDS LÄN</t>
        </is>
      </c>
      <c r="E585" t="inlineStr">
        <is>
          <t>TORSBY</t>
        </is>
      </c>
      <c r="G585" t="n">
        <v>2.6</v>
      </c>
      <c r="H585" t="n">
        <v>0</v>
      </c>
      <c r="I585" t="n">
        <v>0</v>
      </c>
      <c r="J585" t="n">
        <v>0</v>
      </c>
      <c r="K585" t="n">
        <v>0</v>
      </c>
      <c r="L585" t="n">
        <v>0</v>
      </c>
      <c r="M585" t="n">
        <v>0</v>
      </c>
      <c r="N585" t="n">
        <v>0</v>
      </c>
      <c r="O585" t="n">
        <v>0</v>
      </c>
      <c r="P585" t="n">
        <v>0</v>
      </c>
      <c r="Q585" t="n">
        <v>0</v>
      </c>
      <c r="R585" s="2" t="inlineStr"/>
    </row>
    <row r="586" ht="15" customHeight="1">
      <c r="A586" t="inlineStr">
        <is>
          <t>A 60823-2020</t>
        </is>
      </c>
      <c r="B586" s="1" t="n">
        <v>44153</v>
      </c>
      <c r="C586" s="1" t="n">
        <v>45822</v>
      </c>
      <c r="D586" t="inlineStr">
        <is>
          <t>VÄRMLANDS LÄN</t>
        </is>
      </c>
      <c r="E586" t="inlineStr">
        <is>
          <t>TORSBY</t>
        </is>
      </c>
      <c r="F586" t="inlineStr">
        <is>
          <t>Kyrkan</t>
        </is>
      </c>
      <c r="G586" t="n">
        <v>0.7</v>
      </c>
      <c r="H586" t="n">
        <v>0</v>
      </c>
      <c r="I586" t="n">
        <v>0</v>
      </c>
      <c r="J586" t="n">
        <v>0</v>
      </c>
      <c r="K586" t="n">
        <v>0</v>
      </c>
      <c r="L586" t="n">
        <v>0</v>
      </c>
      <c r="M586" t="n">
        <v>0</v>
      </c>
      <c r="N586" t="n">
        <v>0</v>
      </c>
      <c r="O586" t="n">
        <v>0</v>
      </c>
      <c r="P586" t="n">
        <v>0</v>
      </c>
      <c r="Q586" t="n">
        <v>0</v>
      </c>
      <c r="R586" s="2" t="inlineStr"/>
    </row>
    <row r="587" ht="15" customHeight="1">
      <c r="A587" t="inlineStr">
        <is>
          <t>A 60941-2020</t>
        </is>
      </c>
      <c r="B587" s="1" t="n">
        <v>44154</v>
      </c>
      <c r="C587" s="1" t="n">
        <v>45822</v>
      </c>
      <c r="D587" t="inlineStr">
        <is>
          <t>VÄRMLANDS LÄN</t>
        </is>
      </c>
      <c r="E587" t="inlineStr">
        <is>
          <t>TORSBY</t>
        </is>
      </c>
      <c r="G587" t="n">
        <v>4.1</v>
      </c>
      <c r="H587" t="n">
        <v>0</v>
      </c>
      <c r="I587" t="n">
        <v>0</v>
      </c>
      <c r="J587" t="n">
        <v>0</v>
      </c>
      <c r="K587" t="n">
        <v>0</v>
      </c>
      <c r="L587" t="n">
        <v>0</v>
      </c>
      <c r="M587" t="n">
        <v>0</v>
      </c>
      <c r="N587" t="n">
        <v>0</v>
      </c>
      <c r="O587" t="n">
        <v>0</v>
      </c>
      <c r="P587" t="n">
        <v>0</v>
      </c>
      <c r="Q587" t="n">
        <v>0</v>
      </c>
      <c r="R587" s="2" t="inlineStr"/>
    </row>
    <row r="588" ht="15" customHeight="1">
      <c r="A588" t="inlineStr">
        <is>
          <t>A 61009-2020</t>
        </is>
      </c>
      <c r="B588" s="1" t="n">
        <v>44154</v>
      </c>
      <c r="C588" s="1" t="n">
        <v>45822</v>
      </c>
      <c r="D588" t="inlineStr">
        <is>
          <t>VÄRMLANDS LÄN</t>
        </is>
      </c>
      <c r="E588" t="inlineStr">
        <is>
          <t>TORSBY</t>
        </is>
      </c>
      <c r="G588" t="n">
        <v>2</v>
      </c>
      <c r="H588" t="n">
        <v>0</v>
      </c>
      <c r="I588" t="n">
        <v>0</v>
      </c>
      <c r="J588" t="n">
        <v>0</v>
      </c>
      <c r="K588" t="n">
        <v>0</v>
      </c>
      <c r="L588" t="n">
        <v>0</v>
      </c>
      <c r="M588" t="n">
        <v>0</v>
      </c>
      <c r="N588" t="n">
        <v>0</v>
      </c>
      <c r="O588" t="n">
        <v>0</v>
      </c>
      <c r="P588" t="n">
        <v>0</v>
      </c>
      <c r="Q588" t="n">
        <v>0</v>
      </c>
      <c r="R588" s="2" t="inlineStr"/>
    </row>
    <row r="589" ht="15" customHeight="1">
      <c r="A589" t="inlineStr">
        <is>
          <t>A 61594-2020</t>
        </is>
      </c>
      <c r="B589" s="1" t="n">
        <v>44154</v>
      </c>
      <c r="C589" s="1" t="n">
        <v>45822</v>
      </c>
      <c r="D589" t="inlineStr">
        <is>
          <t>VÄRMLANDS LÄN</t>
        </is>
      </c>
      <c r="E589" t="inlineStr">
        <is>
          <t>TORSBY</t>
        </is>
      </c>
      <c r="G589" t="n">
        <v>6</v>
      </c>
      <c r="H589" t="n">
        <v>0</v>
      </c>
      <c r="I589" t="n">
        <v>0</v>
      </c>
      <c r="J589" t="n">
        <v>0</v>
      </c>
      <c r="K589" t="n">
        <v>0</v>
      </c>
      <c r="L589" t="n">
        <v>0</v>
      </c>
      <c r="M589" t="n">
        <v>0</v>
      </c>
      <c r="N589" t="n">
        <v>0</v>
      </c>
      <c r="O589" t="n">
        <v>0</v>
      </c>
      <c r="P589" t="n">
        <v>0</v>
      </c>
      <c r="Q589" t="n">
        <v>0</v>
      </c>
      <c r="R589" s="2" t="inlineStr"/>
    </row>
    <row r="590" ht="15" customHeight="1">
      <c r="A590" t="inlineStr">
        <is>
          <t>A 61970-2020</t>
        </is>
      </c>
      <c r="B590" s="1" t="n">
        <v>44155</v>
      </c>
      <c r="C590" s="1" t="n">
        <v>45822</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61738-2020</t>
        </is>
      </c>
      <c r="B591" s="1" t="n">
        <v>44158</v>
      </c>
      <c r="C591" s="1" t="n">
        <v>45822</v>
      </c>
      <c r="D591" t="inlineStr">
        <is>
          <t>VÄRMLANDS LÄN</t>
        </is>
      </c>
      <c r="E591" t="inlineStr">
        <is>
          <t>TORSBY</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61753-2020</t>
        </is>
      </c>
      <c r="B592" s="1" t="n">
        <v>44158</v>
      </c>
      <c r="C592" s="1" t="n">
        <v>45822</v>
      </c>
      <c r="D592" t="inlineStr">
        <is>
          <t>VÄRMLANDS LÄN</t>
        </is>
      </c>
      <c r="E592" t="inlineStr">
        <is>
          <t>TORSBY</t>
        </is>
      </c>
      <c r="G592" t="n">
        <v>2.2</v>
      </c>
      <c r="H592" t="n">
        <v>0</v>
      </c>
      <c r="I592" t="n">
        <v>0</v>
      </c>
      <c r="J592" t="n">
        <v>0</v>
      </c>
      <c r="K592" t="n">
        <v>0</v>
      </c>
      <c r="L592" t="n">
        <v>0</v>
      </c>
      <c r="M592" t="n">
        <v>0</v>
      </c>
      <c r="N592" t="n">
        <v>0</v>
      </c>
      <c r="O592" t="n">
        <v>0</v>
      </c>
      <c r="P592" t="n">
        <v>0</v>
      </c>
      <c r="Q592" t="n">
        <v>0</v>
      </c>
      <c r="R592" s="2" t="inlineStr"/>
    </row>
    <row r="593" ht="15" customHeight="1">
      <c r="A593" t="inlineStr">
        <is>
          <t>A 61998-2020</t>
        </is>
      </c>
      <c r="B593" s="1" t="n">
        <v>44158</v>
      </c>
      <c r="C593" s="1" t="n">
        <v>45822</v>
      </c>
      <c r="D593" t="inlineStr">
        <is>
          <t>VÄRMLANDS LÄN</t>
        </is>
      </c>
      <c r="E593" t="inlineStr">
        <is>
          <t>TORSBY</t>
        </is>
      </c>
      <c r="G593" t="n">
        <v>2.7</v>
      </c>
      <c r="H593" t="n">
        <v>0</v>
      </c>
      <c r="I593" t="n">
        <v>0</v>
      </c>
      <c r="J593" t="n">
        <v>0</v>
      </c>
      <c r="K593" t="n">
        <v>0</v>
      </c>
      <c r="L593" t="n">
        <v>0</v>
      </c>
      <c r="M593" t="n">
        <v>0</v>
      </c>
      <c r="N593" t="n">
        <v>0</v>
      </c>
      <c r="O593" t="n">
        <v>0</v>
      </c>
      <c r="P593" t="n">
        <v>0</v>
      </c>
      <c r="Q593" t="n">
        <v>0</v>
      </c>
      <c r="R593" s="2" t="inlineStr"/>
    </row>
    <row r="594" ht="15" customHeight="1">
      <c r="A594" t="inlineStr">
        <is>
          <t>A 61910-2020</t>
        </is>
      </c>
      <c r="B594" s="1" t="n">
        <v>44159</v>
      </c>
      <c r="C594" s="1" t="n">
        <v>45822</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61956-2020</t>
        </is>
      </c>
      <c r="B595" s="1" t="n">
        <v>44159</v>
      </c>
      <c r="C595" s="1" t="n">
        <v>45822</v>
      </c>
      <c r="D595" t="inlineStr">
        <is>
          <t>VÄRMLANDS LÄN</t>
        </is>
      </c>
      <c r="E595" t="inlineStr">
        <is>
          <t>TORSBY</t>
        </is>
      </c>
      <c r="F595" t="inlineStr">
        <is>
          <t>Kommuner</t>
        </is>
      </c>
      <c r="G595" t="n">
        <v>7.5</v>
      </c>
      <c r="H595" t="n">
        <v>0</v>
      </c>
      <c r="I595" t="n">
        <v>0</v>
      </c>
      <c r="J595" t="n">
        <v>0</v>
      </c>
      <c r="K595" t="n">
        <v>0</v>
      </c>
      <c r="L595" t="n">
        <v>0</v>
      </c>
      <c r="M595" t="n">
        <v>0</v>
      </c>
      <c r="N595" t="n">
        <v>0</v>
      </c>
      <c r="O595" t="n">
        <v>0</v>
      </c>
      <c r="P595" t="n">
        <v>0</v>
      </c>
      <c r="Q595" t="n">
        <v>0</v>
      </c>
      <c r="R595" s="2" t="inlineStr"/>
    </row>
    <row r="596" ht="15" customHeight="1">
      <c r="A596" t="inlineStr">
        <is>
          <t>A 62209-2020</t>
        </is>
      </c>
      <c r="B596" s="1" t="n">
        <v>44159</v>
      </c>
      <c r="C596" s="1" t="n">
        <v>45822</v>
      </c>
      <c r="D596" t="inlineStr">
        <is>
          <t>VÄRMLANDS LÄN</t>
        </is>
      </c>
      <c r="E596" t="inlineStr">
        <is>
          <t>TORSBY</t>
        </is>
      </c>
      <c r="F596" t="inlineStr">
        <is>
          <t>Kommuner</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62211-2020</t>
        </is>
      </c>
      <c r="B597" s="1" t="n">
        <v>44159</v>
      </c>
      <c r="C597" s="1" t="n">
        <v>45822</v>
      </c>
      <c r="D597" t="inlineStr">
        <is>
          <t>VÄRMLANDS LÄN</t>
        </is>
      </c>
      <c r="E597" t="inlineStr">
        <is>
          <t>TORSBY</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62915-2020</t>
        </is>
      </c>
      <c r="B598" s="1" t="n">
        <v>44162</v>
      </c>
      <c r="C598" s="1" t="n">
        <v>45822</v>
      </c>
      <c r="D598" t="inlineStr">
        <is>
          <t>VÄRMLANDS LÄN</t>
        </is>
      </c>
      <c r="E598" t="inlineStr">
        <is>
          <t>TORSBY</t>
        </is>
      </c>
      <c r="G598" t="n">
        <v>4.6</v>
      </c>
      <c r="H598" t="n">
        <v>0</v>
      </c>
      <c r="I598" t="n">
        <v>0</v>
      </c>
      <c r="J598" t="n">
        <v>0</v>
      </c>
      <c r="K598" t="n">
        <v>0</v>
      </c>
      <c r="L598" t="n">
        <v>0</v>
      </c>
      <c r="M598" t="n">
        <v>0</v>
      </c>
      <c r="N598" t="n">
        <v>0</v>
      </c>
      <c r="O598" t="n">
        <v>0</v>
      </c>
      <c r="P598" t="n">
        <v>0</v>
      </c>
      <c r="Q598" t="n">
        <v>0</v>
      </c>
      <c r="R598" s="2" t="inlineStr"/>
    </row>
    <row r="599" ht="15" customHeight="1">
      <c r="A599" t="inlineStr">
        <is>
          <t>A 63565-2020</t>
        </is>
      </c>
      <c r="B599" s="1" t="n">
        <v>44165</v>
      </c>
      <c r="C599" s="1" t="n">
        <v>45822</v>
      </c>
      <c r="D599" t="inlineStr">
        <is>
          <t>VÄRMLANDS LÄN</t>
        </is>
      </c>
      <c r="E599" t="inlineStr">
        <is>
          <t>TORSBY</t>
        </is>
      </c>
      <c r="G599" t="n">
        <v>10.3</v>
      </c>
      <c r="H599" t="n">
        <v>0</v>
      </c>
      <c r="I599" t="n">
        <v>0</v>
      </c>
      <c r="J599" t="n">
        <v>0</v>
      </c>
      <c r="K599" t="n">
        <v>0</v>
      </c>
      <c r="L599" t="n">
        <v>0</v>
      </c>
      <c r="M599" t="n">
        <v>0</v>
      </c>
      <c r="N599" t="n">
        <v>0</v>
      </c>
      <c r="O599" t="n">
        <v>0</v>
      </c>
      <c r="P599" t="n">
        <v>0</v>
      </c>
      <c r="Q599" t="n">
        <v>0</v>
      </c>
      <c r="R599" s="2" t="inlineStr"/>
    </row>
    <row r="600" ht="15" customHeight="1">
      <c r="A600" t="inlineStr">
        <is>
          <t>A 64396-2020</t>
        </is>
      </c>
      <c r="B600" s="1" t="n">
        <v>44168</v>
      </c>
      <c r="C600" s="1" t="n">
        <v>45822</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64434-2020</t>
        </is>
      </c>
      <c r="B601" s="1" t="n">
        <v>44168</v>
      </c>
      <c r="C601" s="1" t="n">
        <v>45822</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65369-2020</t>
        </is>
      </c>
      <c r="B602" s="1" t="n">
        <v>44169</v>
      </c>
      <c r="C602" s="1" t="n">
        <v>45822</v>
      </c>
      <c r="D602" t="inlineStr">
        <is>
          <t>VÄRMLANDS LÄN</t>
        </is>
      </c>
      <c r="E602" t="inlineStr">
        <is>
          <t>TORSBY</t>
        </is>
      </c>
      <c r="G602" t="n">
        <v>32.5</v>
      </c>
      <c r="H602" t="n">
        <v>0</v>
      </c>
      <c r="I602" t="n">
        <v>0</v>
      </c>
      <c r="J602" t="n">
        <v>0</v>
      </c>
      <c r="K602" t="n">
        <v>0</v>
      </c>
      <c r="L602" t="n">
        <v>0</v>
      </c>
      <c r="M602" t="n">
        <v>0</v>
      </c>
      <c r="N602" t="n">
        <v>0</v>
      </c>
      <c r="O602" t="n">
        <v>0</v>
      </c>
      <c r="P602" t="n">
        <v>0</v>
      </c>
      <c r="Q602" t="n">
        <v>0</v>
      </c>
      <c r="R602" s="2" t="inlineStr"/>
    </row>
    <row r="603" ht="15" customHeight="1">
      <c r="A603" t="inlineStr">
        <is>
          <t>A 65482-2020</t>
        </is>
      </c>
      <c r="B603" s="1" t="n">
        <v>44169</v>
      </c>
      <c r="C603" s="1" t="n">
        <v>45822</v>
      </c>
      <c r="D603" t="inlineStr">
        <is>
          <t>VÄRMLANDS LÄN</t>
        </is>
      </c>
      <c r="E603" t="inlineStr">
        <is>
          <t>TORSBY</t>
        </is>
      </c>
      <c r="F603" t="inlineStr">
        <is>
          <t>Kyrkan</t>
        </is>
      </c>
      <c r="G603" t="n">
        <v>21.6</v>
      </c>
      <c r="H603" t="n">
        <v>0</v>
      </c>
      <c r="I603" t="n">
        <v>0</v>
      </c>
      <c r="J603" t="n">
        <v>0</v>
      </c>
      <c r="K603" t="n">
        <v>0</v>
      </c>
      <c r="L603" t="n">
        <v>0</v>
      </c>
      <c r="M603" t="n">
        <v>0</v>
      </c>
      <c r="N603" t="n">
        <v>0</v>
      </c>
      <c r="O603" t="n">
        <v>0</v>
      </c>
      <c r="P603" t="n">
        <v>0</v>
      </c>
      <c r="Q603" t="n">
        <v>0</v>
      </c>
      <c r="R603" s="2" t="inlineStr"/>
    </row>
    <row r="604" ht="15" customHeight="1">
      <c r="A604" t="inlineStr">
        <is>
          <t>A 65398-2020</t>
        </is>
      </c>
      <c r="B604" s="1" t="n">
        <v>44169</v>
      </c>
      <c r="C604" s="1" t="n">
        <v>45822</v>
      </c>
      <c r="D604" t="inlineStr">
        <is>
          <t>VÄRMLANDS LÄN</t>
        </is>
      </c>
      <c r="E604" t="inlineStr">
        <is>
          <t>TORSBY</t>
        </is>
      </c>
      <c r="G604" t="n">
        <v>3.6</v>
      </c>
      <c r="H604" t="n">
        <v>0</v>
      </c>
      <c r="I604" t="n">
        <v>0</v>
      </c>
      <c r="J604" t="n">
        <v>0</v>
      </c>
      <c r="K604" t="n">
        <v>0</v>
      </c>
      <c r="L604" t="n">
        <v>0</v>
      </c>
      <c r="M604" t="n">
        <v>0</v>
      </c>
      <c r="N604" t="n">
        <v>0</v>
      </c>
      <c r="O604" t="n">
        <v>0</v>
      </c>
      <c r="P604" t="n">
        <v>0</v>
      </c>
      <c r="Q604" t="n">
        <v>0</v>
      </c>
      <c r="R604" s="2" t="inlineStr"/>
    </row>
    <row r="605" ht="15" customHeight="1">
      <c r="A605" t="inlineStr">
        <is>
          <t>A 65678-2020</t>
        </is>
      </c>
      <c r="B605" s="1" t="n">
        <v>44172</v>
      </c>
      <c r="C605" s="1" t="n">
        <v>45822</v>
      </c>
      <c r="D605" t="inlineStr">
        <is>
          <t>VÄRMLANDS LÄN</t>
        </is>
      </c>
      <c r="E605" t="inlineStr">
        <is>
          <t>TORSBY</t>
        </is>
      </c>
      <c r="G605" t="n">
        <v>3.5</v>
      </c>
      <c r="H605" t="n">
        <v>0</v>
      </c>
      <c r="I605" t="n">
        <v>0</v>
      </c>
      <c r="J605" t="n">
        <v>0</v>
      </c>
      <c r="K605" t="n">
        <v>0</v>
      </c>
      <c r="L605" t="n">
        <v>0</v>
      </c>
      <c r="M605" t="n">
        <v>0</v>
      </c>
      <c r="N605" t="n">
        <v>0</v>
      </c>
      <c r="O605" t="n">
        <v>0</v>
      </c>
      <c r="P605" t="n">
        <v>0</v>
      </c>
      <c r="Q605" t="n">
        <v>0</v>
      </c>
      <c r="R605" s="2" t="inlineStr"/>
    </row>
    <row r="606" ht="15" customHeight="1">
      <c r="A606" t="inlineStr">
        <is>
          <t>A 65827-2020</t>
        </is>
      </c>
      <c r="B606" s="1" t="n">
        <v>44173</v>
      </c>
      <c r="C606" s="1" t="n">
        <v>45822</v>
      </c>
      <c r="D606" t="inlineStr">
        <is>
          <t>VÄRMLANDS LÄN</t>
        </is>
      </c>
      <c r="E606" t="inlineStr">
        <is>
          <t>TORSBY</t>
        </is>
      </c>
      <c r="G606" t="n">
        <v>6.7</v>
      </c>
      <c r="H606" t="n">
        <v>0</v>
      </c>
      <c r="I606" t="n">
        <v>0</v>
      </c>
      <c r="J606" t="n">
        <v>0</v>
      </c>
      <c r="K606" t="n">
        <v>0</v>
      </c>
      <c r="L606" t="n">
        <v>0</v>
      </c>
      <c r="M606" t="n">
        <v>0</v>
      </c>
      <c r="N606" t="n">
        <v>0</v>
      </c>
      <c r="O606" t="n">
        <v>0</v>
      </c>
      <c r="P606" t="n">
        <v>0</v>
      </c>
      <c r="Q606" t="n">
        <v>0</v>
      </c>
      <c r="R606" s="2" t="inlineStr"/>
    </row>
    <row r="607" ht="15" customHeight="1">
      <c r="A607" t="inlineStr">
        <is>
          <t>A 66703-2020</t>
        </is>
      </c>
      <c r="B607" s="1" t="n">
        <v>44174</v>
      </c>
      <c r="C607" s="1" t="n">
        <v>45822</v>
      </c>
      <c r="D607" t="inlineStr">
        <is>
          <t>VÄRMLANDS LÄN</t>
        </is>
      </c>
      <c r="E607" t="inlineStr">
        <is>
          <t>TORSBY</t>
        </is>
      </c>
      <c r="G607" t="n">
        <v>6.3</v>
      </c>
      <c r="H607" t="n">
        <v>0</v>
      </c>
      <c r="I607" t="n">
        <v>0</v>
      </c>
      <c r="J607" t="n">
        <v>0</v>
      </c>
      <c r="K607" t="n">
        <v>0</v>
      </c>
      <c r="L607" t="n">
        <v>0</v>
      </c>
      <c r="M607" t="n">
        <v>0</v>
      </c>
      <c r="N607" t="n">
        <v>0</v>
      </c>
      <c r="O607" t="n">
        <v>0</v>
      </c>
      <c r="P607" t="n">
        <v>0</v>
      </c>
      <c r="Q607" t="n">
        <v>0</v>
      </c>
      <c r="R607" s="2" t="inlineStr"/>
    </row>
    <row r="608" ht="15" customHeight="1">
      <c r="A608" t="inlineStr">
        <is>
          <t>A 66194-2020</t>
        </is>
      </c>
      <c r="B608" s="1" t="n">
        <v>44175</v>
      </c>
      <c r="C608" s="1" t="n">
        <v>45822</v>
      </c>
      <c r="D608" t="inlineStr">
        <is>
          <t>VÄRMLANDS LÄN</t>
        </is>
      </c>
      <c r="E608" t="inlineStr">
        <is>
          <t>TORSBY</t>
        </is>
      </c>
      <c r="F608" t="inlineStr">
        <is>
          <t>Bergvik skog väst AB</t>
        </is>
      </c>
      <c r="G608" t="n">
        <v>18.4</v>
      </c>
      <c r="H608" t="n">
        <v>0</v>
      </c>
      <c r="I608" t="n">
        <v>0</v>
      </c>
      <c r="J608" t="n">
        <v>0</v>
      </c>
      <c r="K608" t="n">
        <v>0</v>
      </c>
      <c r="L608" t="n">
        <v>0</v>
      </c>
      <c r="M608" t="n">
        <v>0</v>
      </c>
      <c r="N608" t="n">
        <v>0</v>
      </c>
      <c r="O608" t="n">
        <v>0</v>
      </c>
      <c r="P608" t="n">
        <v>0</v>
      </c>
      <c r="Q608" t="n">
        <v>0</v>
      </c>
      <c r="R608" s="2" t="inlineStr"/>
    </row>
    <row r="609" ht="15" customHeight="1">
      <c r="A609" t="inlineStr">
        <is>
          <t>A 66326-2020</t>
        </is>
      </c>
      <c r="B609" s="1" t="n">
        <v>44176</v>
      </c>
      <c r="C609" s="1" t="n">
        <v>45822</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67084-2020</t>
        </is>
      </c>
      <c r="B610" s="1" t="n">
        <v>44179</v>
      </c>
      <c r="C610" s="1" t="n">
        <v>45822</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67547-2020</t>
        </is>
      </c>
      <c r="B611" s="1" t="n">
        <v>44181</v>
      </c>
      <c r="C611" s="1" t="n">
        <v>45822</v>
      </c>
      <c r="D611" t="inlineStr">
        <is>
          <t>VÄRMLANDS LÄN</t>
        </is>
      </c>
      <c r="E611" t="inlineStr">
        <is>
          <t>TORSBY</t>
        </is>
      </c>
      <c r="G611" t="n">
        <v>3</v>
      </c>
      <c r="H611" t="n">
        <v>0</v>
      </c>
      <c r="I611" t="n">
        <v>0</v>
      </c>
      <c r="J611" t="n">
        <v>0</v>
      </c>
      <c r="K611" t="n">
        <v>0</v>
      </c>
      <c r="L611" t="n">
        <v>0</v>
      </c>
      <c r="M611" t="n">
        <v>0</v>
      </c>
      <c r="N611" t="n">
        <v>0</v>
      </c>
      <c r="O611" t="n">
        <v>0</v>
      </c>
      <c r="P611" t="n">
        <v>0</v>
      </c>
      <c r="Q611" t="n">
        <v>0</v>
      </c>
      <c r="R611" s="2" t="inlineStr"/>
    </row>
    <row r="612" ht="15" customHeight="1">
      <c r="A612" t="inlineStr">
        <is>
          <t>A 67464-2020</t>
        </is>
      </c>
      <c r="B612" s="1" t="n">
        <v>44181</v>
      </c>
      <c r="C612" s="1" t="n">
        <v>45822</v>
      </c>
      <c r="D612" t="inlineStr">
        <is>
          <t>VÄRMLANDS LÄN</t>
        </is>
      </c>
      <c r="E612" t="inlineStr">
        <is>
          <t>TORSBY</t>
        </is>
      </c>
      <c r="G612" t="n">
        <v>1.5</v>
      </c>
      <c r="H612" t="n">
        <v>0</v>
      </c>
      <c r="I612" t="n">
        <v>0</v>
      </c>
      <c r="J612" t="n">
        <v>0</v>
      </c>
      <c r="K612" t="n">
        <v>0</v>
      </c>
      <c r="L612" t="n">
        <v>0</v>
      </c>
      <c r="M612" t="n">
        <v>0</v>
      </c>
      <c r="N612" t="n">
        <v>0</v>
      </c>
      <c r="O612" t="n">
        <v>0</v>
      </c>
      <c r="P612" t="n">
        <v>0</v>
      </c>
      <c r="Q612" t="n">
        <v>0</v>
      </c>
      <c r="R612" s="2" t="inlineStr"/>
    </row>
    <row r="613" ht="15" customHeight="1">
      <c r="A613" t="inlineStr">
        <is>
          <t>A 67734-2020</t>
        </is>
      </c>
      <c r="B613" s="1" t="n">
        <v>44182</v>
      </c>
      <c r="C613" s="1" t="n">
        <v>45822</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68220-2020</t>
        </is>
      </c>
      <c r="B614" s="1" t="n">
        <v>44183</v>
      </c>
      <c r="C614" s="1" t="n">
        <v>45822</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68238-2020</t>
        </is>
      </c>
      <c r="B615" s="1" t="n">
        <v>44183</v>
      </c>
      <c r="C615" s="1" t="n">
        <v>45822</v>
      </c>
      <c r="D615" t="inlineStr">
        <is>
          <t>VÄRMLANDS LÄN</t>
        </is>
      </c>
      <c r="E615" t="inlineStr">
        <is>
          <t>TORSBY</t>
        </is>
      </c>
      <c r="F615" t="inlineStr">
        <is>
          <t>Bergvik skog väst AB</t>
        </is>
      </c>
      <c r="G615" t="n">
        <v>6.7</v>
      </c>
      <c r="H615" t="n">
        <v>0</v>
      </c>
      <c r="I615" t="n">
        <v>0</v>
      </c>
      <c r="J615" t="n">
        <v>0</v>
      </c>
      <c r="K615" t="n">
        <v>0</v>
      </c>
      <c r="L615" t="n">
        <v>0</v>
      </c>
      <c r="M615" t="n">
        <v>0</v>
      </c>
      <c r="N615" t="n">
        <v>0</v>
      </c>
      <c r="O615" t="n">
        <v>0</v>
      </c>
      <c r="P615" t="n">
        <v>0</v>
      </c>
      <c r="Q615" t="n">
        <v>0</v>
      </c>
      <c r="R615" s="2" t="inlineStr"/>
    </row>
    <row r="616" ht="15" customHeight="1">
      <c r="A616" t="inlineStr">
        <is>
          <t>A 68246-2020</t>
        </is>
      </c>
      <c r="B616" s="1" t="n">
        <v>44183</v>
      </c>
      <c r="C616" s="1" t="n">
        <v>45822</v>
      </c>
      <c r="D616" t="inlineStr">
        <is>
          <t>VÄRMLANDS LÄN</t>
        </is>
      </c>
      <c r="E616" t="inlineStr">
        <is>
          <t>TORSBY</t>
        </is>
      </c>
      <c r="G616" t="n">
        <v>2.5</v>
      </c>
      <c r="H616" t="n">
        <v>0</v>
      </c>
      <c r="I616" t="n">
        <v>0</v>
      </c>
      <c r="J616" t="n">
        <v>0</v>
      </c>
      <c r="K616" t="n">
        <v>0</v>
      </c>
      <c r="L616" t="n">
        <v>0</v>
      </c>
      <c r="M616" t="n">
        <v>0</v>
      </c>
      <c r="N616" t="n">
        <v>0</v>
      </c>
      <c r="O616" t="n">
        <v>0</v>
      </c>
      <c r="P616" t="n">
        <v>0</v>
      </c>
      <c r="Q616" t="n">
        <v>0</v>
      </c>
      <c r="R616" s="2" t="inlineStr"/>
    </row>
    <row r="617" ht="15" customHeight="1">
      <c r="A617" t="inlineStr">
        <is>
          <t>A 68603-2020</t>
        </is>
      </c>
      <c r="B617" s="1" t="n">
        <v>44186</v>
      </c>
      <c r="C617" s="1" t="n">
        <v>45822</v>
      </c>
      <c r="D617" t="inlineStr">
        <is>
          <t>VÄRMLANDS LÄN</t>
        </is>
      </c>
      <c r="E617" t="inlineStr">
        <is>
          <t>TORSBY</t>
        </is>
      </c>
      <c r="G617" t="n">
        <v>11.2</v>
      </c>
      <c r="H617" t="n">
        <v>0</v>
      </c>
      <c r="I617" t="n">
        <v>0</v>
      </c>
      <c r="J617" t="n">
        <v>0</v>
      </c>
      <c r="K617" t="n">
        <v>0</v>
      </c>
      <c r="L617" t="n">
        <v>0</v>
      </c>
      <c r="M617" t="n">
        <v>0</v>
      </c>
      <c r="N617" t="n">
        <v>0</v>
      </c>
      <c r="O617" t="n">
        <v>0</v>
      </c>
      <c r="P617" t="n">
        <v>0</v>
      </c>
      <c r="Q617" t="n">
        <v>0</v>
      </c>
      <c r="R617" s="2" t="inlineStr"/>
    </row>
    <row r="618" ht="15" customHeight="1">
      <c r="A618" t="inlineStr">
        <is>
          <t>A 69245-2020</t>
        </is>
      </c>
      <c r="B618" s="1" t="n">
        <v>44192</v>
      </c>
      <c r="C618" s="1" t="n">
        <v>45822</v>
      </c>
      <c r="D618" t="inlineStr">
        <is>
          <t>VÄRMLANDS LÄN</t>
        </is>
      </c>
      <c r="E618" t="inlineStr">
        <is>
          <t>TORSBY</t>
        </is>
      </c>
      <c r="G618" t="n">
        <v>0.2</v>
      </c>
      <c r="H618" t="n">
        <v>0</v>
      </c>
      <c r="I618" t="n">
        <v>0</v>
      </c>
      <c r="J618" t="n">
        <v>0</v>
      </c>
      <c r="K618" t="n">
        <v>0</v>
      </c>
      <c r="L618" t="n">
        <v>0</v>
      </c>
      <c r="M618" t="n">
        <v>0</v>
      </c>
      <c r="N618" t="n">
        <v>0</v>
      </c>
      <c r="O618" t="n">
        <v>0</v>
      </c>
      <c r="P618" t="n">
        <v>0</v>
      </c>
      <c r="Q618" t="n">
        <v>0</v>
      </c>
      <c r="R618" s="2" t="inlineStr"/>
    </row>
    <row r="619" ht="15" customHeight="1">
      <c r="A619" t="inlineStr">
        <is>
          <t>A 69250-2020</t>
        </is>
      </c>
      <c r="B619" s="1" t="n">
        <v>44192</v>
      </c>
      <c r="C619" s="1" t="n">
        <v>45822</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69242-2020</t>
        </is>
      </c>
      <c r="B620" s="1" t="n">
        <v>44192</v>
      </c>
      <c r="C620" s="1" t="n">
        <v>45822</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69247-2020</t>
        </is>
      </c>
      <c r="B621" s="1" t="n">
        <v>44192</v>
      </c>
      <c r="C621" s="1" t="n">
        <v>45822</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69244-2020</t>
        </is>
      </c>
      <c r="B622" s="1" t="n">
        <v>44192</v>
      </c>
      <c r="C622" s="1" t="n">
        <v>45822</v>
      </c>
      <c r="D622" t="inlineStr">
        <is>
          <t>VÄRMLANDS LÄN</t>
        </is>
      </c>
      <c r="E622" t="inlineStr">
        <is>
          <t>TORSBY</t>
        </is>
      </c>
      <c r="G622" t="n">
        <v>2.6</v>
      </c>
      <c r="H622" t="n">
        <v>0</v>
      </c>
      <c r="I622" t="n">
        <v>0</v>
      </c>
      <c r="J622" t="n">
        <v>0</v>
      </c>
      <c r="K622" t="n">
        <v>0</v>
      </c>
      <c r="L622" t="n">
        <v>0</v>
      </c>
      <c r="M622" t="n">
        <v>0</v>
      </c>
      <c r="N622" t="n">
        <v>0</v>
      </c>
      <c r="O622" t="n">
        <v>0</v>
      </c>
      <c r="P622" t="n">
        <v>0</v>
      </c>
      <c r="Q622" t="n">
        <v>0</v>
      </c>
      <c r="R622" s="2" t="inlineStr"/>
    </row>
    <row r="623" ht="15" customHeight="1">
      <c r="A623" t="inlineStr">
        <is>
          <t>A 69248-2020</t>
        </is>
      </c>
      <c r="B623" s="1" t="n">
        <v>44192</v>
      </c>
      <c r="C623" s="1" t="n">
        <v>45822</v>
      </c>
      <c r="D623" t="inlineStr">
        <is>
          <t>VÄRMLANDS LÄN</t>
        </is>
      </c>
      <c r="E623" t="inlineStr">
        <is>
          <t>TORSBY</t>
        </is>
      </c>
      <c r="G623" t="n">
        <v>0.4</v>
      </c>
      <c r="H623" t="n">
        <v>0</v>
      </c>
      <c r="I623" t="n">
        <v>0</v>
      </c>
      <c r="J623" t="n">
        <v>0</v>
      </c>
      <c r="K623" t="n">
        <v>0</v>
      </c>
      <c r="L623" t="n">
        <v>0</v>
      </c>
      <c r="M623" t="n">
        <v>0</v>
      </c>
      <c r="N623" t="n">
        <v>0</v>
      </c>
      <c r="O623" t="n">
        <v>0</v>
      </c>
      <c r="P623" t="n">
        <v>0</v>
      </c>
      <c r="Q623" t="n">
        <v>0</v>
      </c>
      <c r="R623" s="2" t="inlineStr"/>
    </row>
    <row r="624" ht="15" customHeight="1">
      <c r="A624" t="inlineStr">
        <is>
          <t>A 69241-2020</t>
        </is>
      </c>
      <c r="B624" s="1" t="n">
        <v>44192</v>
      </c>
      <c r="C624" s="1" t="n">
        <v>45822</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69246-2020</t>
        </is>
      </c>
      <c r="B625" s="1" t="n">
        <v>44192</v>
      </c>
      <c r="C625" s="1" t="n">
        <v>45822</v>
      </c>
      <c r="D625" t="inlineStr">
        <is>
          <t>VÄRMLANDS LÄN</t>
        </is>
      </c>
      <c r="E625" t="inlineStr">
        <is>
          <t>TORSBY</t>
        </is>
      </c>
      <c r="G625" t="n">
        <v>0.7</v>
      </c>
      <c r="H625" t="n">
        <v>0</v>
      </c>
      <c r="I625" t="n">
        <v>0</v>
      </c>
      <c r="J625" t="n">
        <v>0</v>
      </c>
      <c r="K625" t="n">
        <v>0</v>
      </c>
      <c r="L625" t="n">
        <v>0</v>
      </c>
      <c r="M625" t="n">
        <v>0</v>
      </c>
      <c r="N625" t="n">
        <v>0</v>
      </c>
      <c r="O625" t="n">
        <v>0</v>
      </c>
      <c r="P625" t="n">
        <v>0</v>
      </c>
      <c r="Q625" t="n">
        <v>0</v>
      </c>
      <c r="R625" s="2" t="inlineStr"/>
    </row>
    <row r="626" ht="15" customHeight="1">
      <c r="A626" t="inlineStr">
        <is>
          <t>A 69434-2020</t>
        </is>
      </c>
      <c r="B626" s="1" t="n">
        <v>44194</v>
      </c>
      <c r="C626" s="1" t="n">
        <v>45822</v>
      </c>
      <c r="D626" t="inlineStr">
        <is>
          <t>VÄRMLANDS LÄN</t>
        </is>
      </c>
      <c r="E626" t="inlineStr">
        <is>
          <t>TORSBY</t>
        </is>
      </c>
      <c r="G626" t="n">
        <v>6.3</v>
      </c>
      <c r="H626" t="n">
        <v>0</v>
      </c>
      <c r="I626" t="n">
        <v>0</v>
      </c>
      <c r="J626" t="n">
        <v>0</v>
      </c>
      <c r="K626" t="n">
        <v>0</v>
      </c>
      <c r="L626" t="n">
        <v>0</v>
      </c>
      <c r="M626" t="n">
        <v>0</v>
      </c>
      <c r="N626" t="n">
        <v>0</v>
      </c>
      <c r="O626" t="n">
        <v>0</v>
      </c>
      <c r="P626" t="n">
        <v>0</v>
      </c>
      <c r="Q626" t="n">
        <v>0</v>
      </c>
      <c r="R626" s="2" t="inlineStr"/>
    </row>
    <row r="627" ht="15" customHeight="1">
      <c r="A627" t="inlineStr">
        <is>
          <t>A 69448-2020</t>
        </is>
      </c>
      <c r="B627" s="1" t="n">
        <v>44194</v>
      </c>
      <c r="C627" s="1" t="n">
        <v>45822</v>
      </c>
      <c r="D627" t="inlineStr">
        <is>
          <t>VÄRMLANDS LÄN</t>
        </is>
      </c>
      <c r="E627" t="inlineStr">
        <is>
          <t>TORSBY</t>
        </is>
      </c>
      <c r="G627" t="n">
        <v>4.8</v>
      </c>
      <c r="H627" t="n">
        <v>0</v>
      </c>
      <c r="I627" t="n">
        <v>0</v>
      </c>
      <c r="J627" t="n">
        <v>0</v>
      </c>
      <c r="K627" t="n">
        <v>0</v>
      </c>
      <c r="L627" t="n">
        <v>0</v>
      </c>
      <c r="M627" t="n">
        <v>0</v>
      </c>
      <c r="N627" t="n">
        <v>0</v>
      </c>
      <c r="O627" t="n">
        <v>0</v>
      </c>
      <c r="P627" t="n">
        <v>0</v>
      </c>
      <c r="Q627" t="n">
        <v>0</v>
      </c>
      <c r="R627" s="2" t="inlineStr"/>
    </row>
    <row r="628" ht="15" customHeight="1">
      <c r="A628" t="inlineStr">
        <is>
          <t>A 69628-2020</t>
        </is>
      </c>
      <c r="B628" s="1" t="n">
        <v>44195</v>
      </c>
      <c r="C628" s="1" t="n">
        <v>45822</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339-2021</t>
        </is>
      </c>
      <c r="B629" s="1" t="n">
        <v>44201</v>
      </c>
      <c r="C629" s="1" t="n">
        <v>45822</v>
      </c>
      <c r="D629" t="inlineStr">
        <is>
          <t>VÄRMLANDS LÄN</t>
        </is>
      </c>
      <c r="E629" t="inlineStr">
        <is>
          <t>TORSBY</t>
        </is>
      </c>
      <c r="G629" t="n">
        <v>1.9</v>
      </c>
      <c r="H629" t="n">
        <v>0</v>
      </c>
      <c r="I629" t="n">
        <v>0</v>
      </c>
      <c r="J629" t="n">
        <v>0</v>
      </c>
      <c r="K629" t="n">
        <v>0</v>
      </c>
      <c r="L629" t="n">
        <v>0</v>
      </c>
      <c r="M629" t="n">
        <v>0</v>
      </c>
      <c r="N629" t="n">
        <v>0</v>
      </c>
      <c r="O629" t="n">
        <v>0</v>
      </c>
      <c r="P629" t="n">
        <v>0</v>
      </c>
      <c r="Q629" t="n">
        <v>0</v>
      </c>
      <c r="R629" s="2" t="inlineStr"/>
    </row>
    <row r="630" ht="15" customHeight="1">
      <c r="A630" t="inlineStr">
        <is>
          <t>A 1516-2021</t>
        </is>
      </c>
      <c r="B630" s="1" t="n">
        <v>44209</v>
      </c>
      <c r="C630" s="1" t="n">
        <v>45822</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1526-2021</t>
        </is>
      </c>
      <c r="B631" s="1" t="n">
        <v>44209</v>
      </c>
      <c r="C631" s="1" t="n">
        <v>45822</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1535-2021</t>
        </is>
      </c>
      <c r="B632" s="1" t="n">
        <v>44209</v>
      </c>
      <c r="C632" s="1" t="n">
        <v>45822</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1544-2021</t>
        </is>
      </c>
      <c r="B633" s="1" t="n">
        <v>44209</v>
      </c>
      <c r="C633" s="1" t="n">
        <v>45822</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2321-2021</t>
        </is>
      </c>
      <c r="B634" s="1" t="n">
        <v>44214</v>
      </c>
      <c r="C634" s="1" t="n">
        <v>45822</v>
      </c>
      <c r="D634" t="inlineStr">
        <is>
          <t>VÄRMLANDS LÄN</t>
        </is>
      </c>
      <c r="E634" t="inlineStr">
        <is>
          <t>TORSBY</t>
        </is>
      </c>
      <c r="G634" t="n">
        <v>4.8</v>
      </c>
      <c r="H634" t="n">
        <v>0</v>
      </c>
      <c r="I634" t="n">
        <v>0</v>
      </c>
      <c r="J634" t="n">
        <v>0</v>
      </c>
      <c r="K634" t="n">
        <v>0</v>
      </c>
      <c r="L634" t="n">
        <v>0</v>
      </c>
      <c r="M634" t="n">
        <v>0</v>
      </c>
      <c r="N634" t="n">
        <v>0</v>
      </c>
      <c r="O634" t="n">
        <v>0</v>
      </c>
      <c r="P634" t="n">
        <v>0</v>
      </c>
      <c r="Q634" t="n">
        <v>0</v>
      </c>
      <c r="R634" s="2" t="inlineStr"/>
    </row>
    <row r="635" ht="15" customHeight="1">
      <c r="A635" t="inlineStr">
        <is>
          <t>A 2576-2021</t>
        </is>
      </c>
      <c r="B635" s="1" t="n">
        <v>44214</v>
      </c>
      <c r="C635" s="1" t="n">
        <v>45822</v>
      </c>
      <c r="D635" t="inlineStr">
        <is>
          <t>VÄRMLANDS LÄN</t>
        </is>
      </c>
      <c r="E635" t="inlineStr">
        <is>
          <t>TORSBY</t>
        </is>
      </c>
      <c r="F635" t="inlineStr">
        <is>
          <t>Kommuner</t>
        </is>
      </c>
      <c r="G635" t="n">
        <v>0.6</v>
      </c>
      <c r="H635" t="n">
        <v>0</v>
      </c>
      <c r="I635" t="n">
        <v>0</v>
      </c>
      <c r="J635" t="n">
        <v>0</v>
      </c>
      <c r="K635" t="n">
        <v>0</v>
      </c>
      <c r="L635" t="n">
        <v>0</v>
      </c>
      <c r="M635" t="n">
        <v>0</v>
      </c>
      <c r="N635" t="n">
        <v>0</v>
      </c>
      <c r="O635" t="n">
        <v>0</v>
      </c>
      <c r="P635" t="n">
        <v>0</v>
      </c>
      <c r="Q635" t="n">
        <v>0</v>
      </c>
      <c r="R635" s="2" t="inlineStr"/>
    </row>
    <row r="636" ht="15" customHeight="1">
      <c r="A636" t="inlineStr">
        <is>
          <t>A 2758-2021</t>
        </is>
      </c>
      <c r="B636" s="1" t="n">
        <v>44215</v>
      </c>
      <c r="C636" s="1" t="n">
        <v>45822</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3160-2021</t>
        </is>
      </c>
      <c r="B637" s="1" t="n">
        <v>44217</v>
      </c>
      <c r="C637" s="1" t="n">
        <v>45822</v>
      </c>
      <c r="D637" t="inlineStr">
        <is>
          <t>VÄRMLANDS LÄN</t>
        </is>
      </c>
      <c r="E637" t="inlineStr">
        <is>
          <t>TORSBY</t>
        </is>
      </c>
      <c r="G637" t="n">
        <v>4.4</v>
      </c>
      <c r="H637" t="n">
        <v>0</v>
      </c>
      <c r="I637" t="n">
        <v>0</v>
      </c>
      <c r="J637" t="n">
        <v>0</v>
      </c>
      <c r="K637" t="n">
        <v>0</v>
      </c>
      <c r="L637" t="n">
        <v>0</v>
      </c>
      <c r="M637" t="n">
        <v>0</v>
      </c>
      <c r="N637" t="n">
        <v>0</v>
      </c>
      <c r="O637" t="n">
        <v>0</v>
      </c>
      <c r="P637" t="n">
        <v>0</v>
      </c>
      <c r="Q637" t="n">
        <v>0</v>
      </c>
      <c r="R637" s="2" t="inlineStr"/>
    </row>
    <row r="638" ht="15" customHeight="1">
      <c r="A638" t="inlineStr">
        <is>
          <t>A 3336-2021</t>
        </is>
      </c>
      <c r="B638" s="1" t="n">
        <v>44217</v>
      </c>
      <c r="C638" s="1" t="n">
        <v>45822</v>
      </c>
      <c r="D638" t="inlineStr">
        <is>
          <t>VÄRMLANDS LÄN</t>
        </is>
      </c>
      <c r="E638" t="inlineStr">
        <is>
          <t>TORSBY</t>
        </is>
      </c>
      <c r="G638" t="n">
        <v>3.7</v>
      </c>
      <c r="H638" t="n">
        <v>0</v>
      </c>
      <c r="I638" t="n">
        <v>0</v>
      </c>
      <c r="J638" t="n">
        <v>0</v>
      </c>
      <c r="K638" t="n">
        <v>0</v>
      </c>
      <c r="L638" t="n">
        <v>0</v>
      </c>
      <c r="M638" t="n">
        <v>0</v>
      </c>
      <c r="N638" t="n">
        <v>0</v>
      </c>
      <c r="O638" t="n">
        <v>0</v>
      </c>
      <c r="P638" t="n">
        <v>0</v>
      </c>
      <c r="Q638" t="n">
        <v>0</v>
      </c>
      <c r="R638" s="2" t="inlineStr"/>
    </row>
    <row r="639" ht="15" customHeight="1">
      <c r="A639" t="inlineStr">
        <is>
          <t>A 4392-2021</t>
        </is>
      </c>
      <c r="B639" s="1" t="n">
        <v>44223</v>
      </c>
      <c r="C639" s="1" t="n">
        <v>45822</v>
      </c>
      <c r="D639" t="inlineStr">
        <is>
          <t>VÄRMLANDS LÄN</t>
        </is>
      </c>
      <c r="E639" t="inlineStr">
        <is>
          <t>TORSBY</t>
        </is>
      </c>
      <c r="G639" t="n">
        <v>3.8</v>
      </c>
      <c r="H639" t="n">
        <v>0</v>
      </c>
      <c r="I639" t="n">
        <v>0</v>
      </c>
      <c r="J639" t="n">
        <v>0</v>
      </c>
      <c r="K639" t="n">
        <v>0</v>
      </c>
      <c r="L639" t="n">
        <v>0</v>
      </c>
      <c r="M639" t="n">
        <v>0</v>
      </c>
      <c r="N639" t="n">
        <v>0</v>
      </c>
      <c r="O639" t="n">
        <v>0</v>
      </c>
      <c r="P639" t="n">
        <v>0</v>
      </c>
      <c r="Q639" t="n">
        <v>0</v>
      </c>
      <c r="R639" s="2" t="inlineStr"/>
    </row>
    <row r="640" ht="15" customHeight="1">
      <c r="A640" t="inlineStr">
        <is>
          <t>A 4558-2021</t>
        </is>
      </c>
      <c r="B640" s="1" t="n">
        <v>44223</v>
      </c>
      <c r="C640" s="1" t="n">
        <v>45822</v>
      </c>
      <c r="D640" t="inlineStr">
        <is>
          <t>VÄRMLANDS LÄN</t>
        </is>
      </c>
      <c r="E640" t="inlineStr">
        <is>
          <t>TORSBY</t>
        </is>
      </c>
      <c r="G640" t="n">
        <v>0.9</v>
      </c>
      <c r="H640" t="n">
        <v>0</v>
      </c>
      <c r="I640" t="n">
        <v>0</v>
      </c>
      <c r="J640" t="n">
        <v>0</v>
      </c>
      <c r="K640" t="n">
        <v>0</v>
      </c>
      <c r="L640" t="n">
        <v>0</v>
      </c>
      <c r="M640" t="n">
        <v>0</v>
      </c>
      <c r="N640" t="n">
        <v>0</v>
      </c>
      <c r="O640" t="n">
        <v>0</v>
      </c>
      <c r="P640" t="n">
        <v>0</v>
      </c>
      <c r="Q640" t="n">
        <v>0</v>
      </c>
      <c r="R640" s="2" t="inlineStr"/>
    </row>
    <row r="641" ht="15" customHeight="1">
      <c r="A641" t="inlineStr">
        <is>
          <t>A 4393-2021</t>
        </is>
      </c>
      <c r="B641" s="1" t="n">
        <v>44223</v>
      </c>
      <c r="C641" s="1" t="n">
        <v>45822</v>
      </c>
      <c r="D641" t="inlineStr">
        <is>
          <t>VÄRMLANDS LÄN</t>
        </is>
      </c>
      <c r="E641" t="inlineStr">
        <is>
          <t>TORSBY</t>
        </is>
      </c>
      <c r="G641" t="n">
        <v>2.8</v>
      </c>
      <c r="H641" t="n">
        <v>0</v>
      </c>
      <c r="I641" t="n">
        <v>0</v>
      </c>
      <c r="J641" t="n">
        <v>0</v>
      </c>
      <c r="K641" t="n">
        <v>0</v>
      </c>
      <c r="L641" t="n">
        <v>0</v>
      </c>
      <c r="M641" t="n">
        <v>0</v>
      </c>
      <c r="N641" t="n">
        <v>0</v>
      </c>
      <c r="O641" t="n">
        <v>0</v>
      </c>
      <c r="P641" t="n">
        <v>0</v>
      </c>
      <c r="Q641" t="n">
        <v>0</v>
      </c>
      <c r="R641" s="2" t="inlineStr"/>
    </row>
    <row r="642" ht="15" customHeight="1">
      <c r="A642" t="inlineStr">
        <is>
          <t>A 4564-2021</t>
        </is>
      </c>
      <c r="B642" s="1" t="n">
        <v>44223</v>
      </c>
      <c r="C642" s="1" t="n">
        <v>45822</v>
      </c>
      <c r="D642" t="inlineStr">
        <is>
          <t>VÄRMLANDS LÄN</t>
        </is>
      </c>
      <c r="E642" t="inlineStr">
        <is>
          <t>TORSBY</t>
        </is>
      </c>
      <c r="G642" t="n">
        <v>1</v>
      </c>
      <c r="H642" t="n">
        <v>0</v>
      </c>
      <c r="I642" t="n">
        <v>0</v>
      </c>
      <c r="J642" t="n">
        <v>0</v>
      </c>
      <c r="K642" t="n">
        <v>0</v>
      </c>
      <c r="L642" t="n">
        <v>0</v>
      </c>
      <c r="M642" t="n">
        <v>0</v>
      </c>
      <c r="N642" t="n">
        <v>0</v>
      </c>
      <c r="O642" t="n">
        <v>0</v>
      </c>
      <c r="P642" t="n">
        <v>0</v>
      </c>
      <c r="Q642" t="n">
        <v>0</v>
      </c>
      <c r="R642" s="2" t="inlineStr"/>
    </row>
    <row r="643" ht="15" customHeight="1">
      <c r="A643" t="inlineStr">
        <is>
          <t>A 4479-2021</t>
        </is>
      </c>
      <c r="B643" s="1" t="n">
        <v>44224</v>
      </c>
      <c r="C643" s="1" t="n">
        <v>45822</v>
      </c>
      <c r="D643" t="inlineStr">
        <is>
          <t>VÄRMLANDS LÄN</t>
        </is>
      </c>
      <c r="E643" t="inlineStr">
        <is>
          <t>TORSBY</t>
        </is>
      </c>
      <c r="G643" t="n">
        <v>2.1</v>
      </c>
      <c r="H643" t="n">
        <v>0</v>
      </c>
      <c r="I643" t="n">
        <v>0</v>
      </c>
      <c r="J643" t="n">
        <v>0</v>
      </c>
      <c r="K643" t="n">
        <v>0</v>
      </c>
      <c r="L643" t="n">
        <v>0</v>
      </c>
      <c r="M643" t="n">
        <v>0</v>
      </c>
      <c r="N643" t="n">
        <v>0</v>
      </c>
      <c r="O643" t="n">
        <v>0</v>
      </c>
      <c r="P643" t="n">
        <v>0</v>
      </c>
      <c r="Q643" t="n">
        <v>0</v>
      </c>
      <c r="R643" s="2" t="inlineStr"/>
    </row>
    <row r="644" ht="15" customHeight="1">
      <c r="A644" t="inlineStr">
        <is>
          <t>A 4711-2021</t>
        </is>
      </c>
      <c r="B644" s="1" t="n">
        <v>44225</v>
      </c>
      <c r="C644" s="1" t="n">
        <v>45822</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5050-2021</t>
        </is>
      </c>
      <c r="B645" s="1" t="n">
        <v>44228</v>
      </c>
      <c r="C645" s="1" t="n">
        <v>45822</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5105-2021</t>
        </is>
      </c>
      <c r="B646" s="1" t="n">
        <v>44228</v>
      </c>
      <c r="C646" s="1" t="n">
        <v>45822</v>
      </c>
      <c r="D646" t="inlineStr">
        <is>
          <t>VÄRMLANDS LÄN</t>
        </is>
      </c>
      <c r="E646" t="inlineStr">
        <is>
          <t>TORSBY</t>
        </is>
      </c>
      <c r="G646" t="n">
        <v>5.6</v>
      </c>
      <c r="H646" t="n">
        <v>0</v>
      </c>
      <c r="I646" t="n">
        <v>0</v>
      </c>
      <c r="J646" t="n">
        <v>0</v>
      </c>
      <c r="K646" t="n">
        <v>0</v>
      </c>
      <c r="L646" t="n">
        <v>0</v>
      </c>
      <c r="M646" t="n">
        <v>0</v>
      </c>
      <c r="N646" t="n">
        <v>0</v>
      </c>
      <c r="O646" t="n">
        <v>0</v>
      </c>
      <c r="P646" t="n">
        <v>0</v>
      </c>
      <c r="Q646" t="n">
        <v>0</v>
      </c>
      <c r="R646" s="2" t="inlineStr"/>
    </row>
    <row r="647" ht="15" customHeight="1">
      <c r="A647" t="inlineStr">
        <is>
          <t>A 5365-2021</t>
        </is>
      </c>
      <c r="B647" s="1" t="n">
        <v>44229</v>
      </c>
      <c r="C647" s="1" t="n">
        <v>45822</v>
      </c>
      <c r="D647" t="inlineStr">
        <is>
          <t>VÄRMLANDS LÄN</t>
        </is>
      </c>
      <c r="E647" t="inlineStr">
        <is>
          <t>TORSBY</t>
        </is>
      </c>
      <c r="G647" t="n">
        <v>8.1</v>
      </c>
      <c r="H647" t="n">
        <v>0</v>
      </c>
      <c r="I647" t="n">
        <v>0</v>
      </c>
      <c r="J647" t="n">
        <v>0</v>
      </c>
      <c r="K647" t="n">
        <v>0</v>
      </c>
      <c r="L647" t="n">
        <v>0</v>
      </c>
      <c r="M647" t="n">
        <v>0</v>
      </c>
      <c r="N647" t="n">
        <v>0</v>
      </c>
      <c r="O647" t="n">
        <v>0</v>
      </c>
      <c r="P647" t="n">
        <v>0</v>
      </c>
      <c r="Q647" t="n">
        <v>0</v>
      </c>
      <c r="R647" s="2" t="inlineStr"/>
    </row>
    <row r="648" ht="15" customHeight="1">
      <c r="A648" t="inlineStr">
        <is>
          <t>A 5572-2021</t>
        </is>
      </c>
      <c r="B648" s="1" t="n">
        <v>44230</v>
      </c>
      <c r="C648" s="1" t="n">
        <v>45822</v>
      </c>
      <c r="D648" t="inlineStr">
        <is>
          <t>VÄRMLANDS LÄN</t>
        </is>
      </c>
      <c r="E648" t="inlineStr">
        <is>
          <t>TORSBY</t>
        </is>
      </c>
      <c r="G648" t="n">
        <v>2</v>
      </c>
      <c r="H648" t="n">
        <v>0</v>
      </c>
      <c r="I648" t="n">
        <v>0</v>
      </c>
      <c r="J648" t="n">
        <v>0</v>
      </c>
      <c r="K648" t="n">
        <v>0</v>
      </c>
      <c r="L648" t="n">
        <v>0</v>
      </c>
      <c r="M648" t="n">
        <v>0</v>
      </c>
      <c r="N648" t="n">
        <v>0</v>
      </c>
      <c r="O648" t="n">
        <v>0</v>
      </c>
      <c r="P648" t="n">
        <v>0</v>
      </c>
      <c r="Q648" t="n">
        <v>0</v>
      </c>
      <c r="R648" s="2" t="inlineStr"/>
    </row>
    <row r="649" ht="15" customHeight="1">
      <c r="A649" t="inlineStr">
        <is>
          <t>A 5839-2021</t>
        </is>
      </c>
      <c r="B649" s="1" t="n">
        <v>44231</v>
      </c>
      <c r="C649" s="1" t="n">
        <v>45822</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6063-2021</t>
        </is>
      </c>
      <c r="B650" s="1" t="n">
        <v>44232</v>
      </c>
      <c r="C650" s="1" t="n">
        <v>45822</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6111-2021</t>
        </is>
      </c>
      <c r="B651" s="1" t="n">
        <v>44232</v>
      </c>
      <c r="C651" s="1" t="n">
        <v>45822</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6121-2021</t>
        </is>
      </c>
      <c r="B652" s="1" t="n">
        <v>44232</v>
      </c>
      <c r="C652" s="1" t="n">
        <v>45822</v>
      </c>
      <c r="D652" t="inlineStr">
        <is>
          <t>VÄRMLANDS LÄN</t>
        </is>
      </c>
      <c r="E652" t="inlineStr">
        <is>
          <t>TORSBY</t>
        </is>
      </c>
      <c r="G652" t="n">
        <v>2.9</v>
      </c>
      <c r="H652" t="n">
        <v>0</v>
      </c>
      <c r="I652" t="n">
        <v>0</v>
      </c>
      <c r="J652" t="n">
        <v>0</v>
      </c>
      <c r="K652" t="n">
        <v>0</v>
      </c>
      <c r="L652" t="n">
        <v>0</v>
      </c>
      <c r="M652" t="n">
        <v>0</v>
      </c>
      <c r="N652" t="n">
        <v>0</v>
      </c>
      <c r="O652" t="n">
        <v>0</v>
      </c>
      <c r="P652" t="n">
        <v>0</v>
      </c>
      <c r="Q652" t="n">
        <v>0</v>
      </c>
      <c r="R652" s="2" t="inlineStr"/>
    </row>
    <row r="653" ht="15" customHeight="1">
      <c r="A653" t="inlineStr">
        <is>
          <t>A 6068-2021</t>
        </is>
      </c>
      <c r="B653" s="1" t="n">
        <v>44232</v>
      </c>
      <c r="C653" s="1" t="n">
        <v>45822</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6102-2021</t>
        </is>
      </c>
      <c r="B654" s="1" t="n">
        <v>44232</v>
      </c>
      <c r="C654" s="1" t="n">
        <v>45822</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6656-2021</t>
        </is>
      </c>
      <c r="B655" s="1" t="n">
        <v>44236</v>
      </c>
      <c r="C655" s="1" t="n">
        <v>45822</v>
      </c>
      <c r="D655" t="inlineStr">
        <is>
          <t>VÄRMLANDS LÄN</t>
        </is>
      </c>
      <c r="E655" t="inlineStr">
        <is>
          <t>TORSBY</t>
        </is>
      </c>
      <c r="G655" t="n">
        <v>2.4</v>
      </c>
      <c r="H655" t="n">
        <v>0</v>
      </c>
      <c r="I655" t="n">
        <v>0</v>
      </c>
      <c r="J655" t="n">
        <v>0</v>
      </c>
      <c r="K655" t="n">
        <v>0</v>
      </c>
      <c r="L655" t="n">
        <v>0</v>
      </c>
      <c r="M655" t="n">
        <v>0</v>
      </c>
      <c r="N655" t="n">
        <v>0</v>
      </c>
      <c r="O655" t="n">
        <v>0</v>
      </c>
      <c r="P655" t="n">
        <v>0</v>
      </c>
      <c r="Q655" t="n">
        <v>0</v>
      </c>
      <c r="R655" s="2" t="inlineStr"/>
    </row>
    <row r="656" ht="15" customHeight="1">
      <c r="A656" t="inlineStr">
        <is>
          <t>A 7661-2021</t>
        </is>
      </c>
      <c r="B656" s="1" t="n">
        <v>44242</v>
      </c>
      <c r="C656" s="1" t="n">
        <v>45822</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8034-2021</t>
        </is>
      </c>
      <c r="B657" s="1" t="n">
        <v>44243</v>
      </c>
      <c r="C657" s="1" t="n">
        <v>45822</v>
      </c>
      <c r="D657" t="inlineStr">
        <is>
          <t>VÄRMLANDS LÄN</t>
        </is>
      </c>
      <c r="E657" t="inlineStr">
        <is>
          <t>TORSBY</t>
        </is>
      </c>
      <c r="G657" t="n">
        <v>15.4</v>
      </c>
      <c r="H657" t="n">
        <v>0</v>
      </c>
      <c r="I657" t="n">
        <v>0</v>
      </c>
      <c r="J657" t="n">
        <v>0</v>
      </c>
      <c r="K657" t="n">
        <v>0</v>
      </c>
      <c r="L657" t="n">
        <v>0</v>
      </c>
      <c r="M657" t="n">
        <v>0</v>
      </c>
      <c r="N657" t="n">
        <v>0</v>
      </c>
      <c r="O657" t="n">
        <v>0</v>
      </c>
      <c r="P657" t="n">
        <v>0</v>
      </c>
      <c r="Q657" t="n">
        <v>0</v>
      </c>
      <c r="R657" s="2" t="inlineStr"/>
    </row>
    <row r="658" ht="15" customHeight="1">
      <c r="A658" t="inlineStr">
        <is>
          <t>A 7898-2021</t>
        </is>
      </c>
      <c r="B658" s="1" t="n">
        <v>44243</v>
      </c>
      <c r="C658" s="1" t="n">
        <v>45822</v>
      </c>
      <c r="D658" t="inlineStr">
        <is>
          <t>VÄRMLANDS LÄN</t>
        </is>
      </c>
      <c r="E658" t="inlineStr">
        <is>
          <t>TORSBY</t>
        </is>
      </c>
      <c r="G658" t="n">
        <v>1.7</v>
      </c>
      <c r="H658" t="n">
        <v>0</v>
      </c>
      <c r="I658" t="n">
        <v>0</v>
      </c>
      <c r="J658" t="n">
        <v>0</v>
      </c>
      <c r="K658" t="n">
        <v>0</v>
      </c>
      <c r="L658" t="n">
        <v>0</v>
      </c>
      <c r="M658" t="n">
        <v>0</v>
      </c>
      <c r="N658" t="n">
        <v>0</v>
      </c>
      <c r="O658" t="n">
        <v>0</v>
      </c>
      <c r="P658" t="n">
        <v>0</v>
      </c>
      <c r="Q658" t="n">
        <v>0</v>
      </c>
      <c r="R658" s="2" t="inlineStr"/>
    </row>
    <row r="659" ht="15" customHeight="1">
      <c r="A659" t="inlineStr">
        <is>
          <t>A 8910-2021</t>
        </is>
      </c>
      <c r="B659" s="1" t="n">
        <v>44246</v>
      </c>
      <c r="C659" s="1" t="n">
        <v>45822</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9775-2021</t>
        </is>
      </c>
      <c r="B660" s="1" t="n">
        <v>44252</v>
      </c>
      <c r="C660" s="1" t="n">
        <v>45822</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10133-2021</t>
        </is>
      </c>
      <c r="B661" s="1" t="n">
        <v>44256</v>
      </c>
      <c r="C661" s="1" t="n">
        <v>45822</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10118-2021</t>
        </is>
      </c>
      <c r="B662" s="1" t="n">
        <v>44256</v>
      </c>
      <c r="C662" s="1" t="n">
        <v>45822</v>
      </c>
      <c r="D662" t="inlineStr">
        <is>
          <t>VÄRMLANDS LÄN</t>
        </is>
      </c>
      <c r="E662" t="inlineStr">
        <is>
          <t>TORSBY</t>
        </is>
      </c>
      <c r="G662" t="n">
        <v>12.5</v>
      </c>
      <c r="H662" t="n">
        <v>0</v>
      </c>
      <c r="I662" t="n">
        <v>0</v>
      </c>
      <c r="J662" t="n">
        <v>0</v>
      </c>
      <c r="K662" t="n">
        <v>0</v>
      </c>
      <c r="L662" t="n">
        <v>0</v>
      </c>
      <c r="M662" t="n">
        <v>0</v>
      </c>
      <c r="N662" t="n">
        <v>0</v>
      </c>
      <c r="O662" t="n">
        <v>0</v>
      </c>
      <c r="P662" t="n">
        <v>0</v>
      </c>
      <c r="Q662" t="n">
        <v>0</v>
      </c>
      <c r="R662" s="2" t="inlineStr"/>
    </row>
    <row r="663" ht="15" customHeight="1">
      <c r="A663" t="inlineStr">
        <is>
          <t>A 10579-2021</t>
        </is>
      </c>
      <c r="B663" s="1" t="n">
        <v>44257</v>
      </c>
      <c r="C663" s="1" t="n">
        <v>45822</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10778-2021</t>
        </is>
      </c>
      <c r="B664" s="1" t="n">
        <v>44259</v>
      </c>
      <c r="C664" s="1" t="n">
        <v>45822</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11695-2021</t>
        </is>
      </c>
      <c r="B665" s="1" t="n">
        <v>44264</v>
      </c>
      <c r="C665" s="1" t="n">
        <v>45822</v>
      </c>
      <c r="D665" t="inlineStr">
        <is>
          <t>VÄRMLANDS LÄN</t>
        </is>
      </c>
      <c r="E665" t="inlineStr">
        <is>
          <t>TORSBY</t>
        </is>
      </c>
      <c r="G665" t="n">
        <v>3</v>
      </c>
      <c r="H665" t="n">
        <v>0</v>
      </c>
      <c r="I665" t="n">
        <v>0</v>
      </c>
      <c r="J665" t="n">
        <v>0</v>
      </c>
      <c r="K665" t="n">
        <v>0</v>
      </c>
      <c r="L665" t="n">
        <v>0</v>
      </c>
      <c r="M665" t="n">
        <v>0</v>
      </c>
      <c r="N665" t="n">
        <v>0</v>
      </c>
      <c r="O665" t="n">
        <v>0</v>
      </c>
      <c r="P665" t="n">
        <v>0</v>
      </c>
      <c r="Q665" t="n">
        <v>0</v>
      </c>
      <c r="R665" s="2" t="inlineStr"/>
    </row>
    <row r="666" ht="15" customHeight="1">
      <c r="A666" t="inlineStr">
        <is>
          <t>A 11947-2021</t>
        </is>
      </c>
      <c r="B666" s="1" t="n">
        <v>44265</v>
      </c>
      <c r="C666" s="1" t="n">
        <v>45822</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13013-2021</t>
        </is>
      </c>
      <c r="B667" s="1" t="n">
        <v>44271</v>
      </c>
      <c r="C667" s="1" t="n">
        <v>45822</v>
      </c>
      <c r="D667" t="inlineStr">
        <is>
          <t>VÄRMLANDS LÄN</t>
        </is>
      </c>
      <c r="E667" t="inlineStr">
        <is>
          <t>TORSBY</t>
        </is>
      </c>
      <c r="G667" t="n">
        <v>7.7</v>
      </c>
      <c r="H667" t="n">
        <v>0</v>
      </c>
      <c r="I667" t="n">
        <v>0</v>
      </c>
      <c r="J667" t="n">
        <v>0</v>
      </c>
      <c r="K667" t="n">
        <v>0</v>
      </c>
      <c r="L667" t="n">
        <v>0</v>
      </c>
      <c r="M667" t="n">
        <v>0</v>
      </c>
      <c r="N667" t="n">
        <v>0</v>
      </c>
      <c r="O667" t="n">
        <v>0</v>
      </c>
      <c r="P667" t="n">
        <v>0</v>
      </c>
      <c r="Q667" t="n">
        <v>0</v>
      </c>
      <c r="R667" s="2" t="inlineStr"/>
    </row>
    <row r="668" ht="15" customHeight="1">
      <c r="A668" t="inlineStr">
        <is>
          <t>A 14942-2021</t>
        </is>
      </c>
      <c r="B668" s="1" t="n">
        <v>44281</v>
      </c>
      <c r="C668" s="1" t="n">
        <v>45822</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15279-2021</t>
        </is>
      </c>
      <c r="B669" s="1" t="n">
        <v>44284</v>
      </c>
      <c r="C669" s="1" t="n">
        <v>45822</v>
      </c>
      <c r="D669" t="inlineStr">
        <is>
          <t>VÄRMLANDS LÄN</t>
        </is>
      </c>
      <c r="E669" t="inlineStr">
        <is>
          <t>TORSBY</t>
        </is>
      </c>
      <c r="G669" t="n">
        <v>3.9</v>
      </c>
      <c r="H669" t="n">
        <v>0</v>
      </c>
      <c r="I669" t="n">
        <v>0</v>
      </c>
      <c r="J669" t="n">
        <v>0</v>
      </c>
      <c r="K669" t="n">
        <v>0</v>
      </c>
      <c r="L669" t="n">
        <v>0</v>
      </c>
      <c r="M669" t="n">
        <v>0</v>
      </c>
      <c r="N669" t="n">
        <v>0</v>
      </c>
      <c r="O669" t="n">
        <v>0</v>
      </c>
      <c r="P669" t="n">
        <v>0</v>
      </c>
      <c r="Q669" t="n">
        <v>0</v>
      </c>
      <c r="R669" s="2" t="inlineStr"/>
    </row>
    <row r="670" ht="15" customHeight="1">
      <c r="A670" t="inlineStr">
        <is>
          <t>A 16191-2021</t>
        </is>
      </c>
      <c r="B670" s="1" t="n">
        <v>44285</v>
      </c>
      <c r="C670" s="1" t="n">
        <v>45822</v>
      </c>
      <c r="D670" t="inlineStr">
        <is>
          <t>VÄRMLANDS LÄN</t>
        </is>
      </c>
      <c r="E670" t="inlineStr">
        <is>
          <t>TORSBY</t>
        </is>
      </c>
      <c r="G670" t="n">
        <v>3.7</v>
      </c>
      <c r="H670" t="n">
        <v>0</v>
      </c>
      <c r="I670" t="n">
        <v>0</v>
      </c>
      <c r="J670" t="n">
        <v>0</v>
      </c>
      <c r="K670" t="n">
        <v>0</v>
      </c>
      <c r="L670" t="n">
        <v>0</v>
      </c>
      <c r="M670" t="n">
        <v>0</v>
      </c>
      <c r="N670" t="n">
        <v>0</v>
      </c>
      <c r="O670" t="n">
        <v>0</v>
      </c>
      <c r="P670" t="n">
        <v>0</v>
      </c>
      <c r="Q670" t="n">
        <v>0</v>
      </c>
      <c r="R670" s="2" t="inlineStr"/>
    </row>
    <row r="671" ht="15" customHeight="1">
      <c r="A671" t="inlineStr">
        <is>
          <t>A 15854-2021</t>
        </is>
      </c>
      <c r="B671" s="1" t="n">
        <v>44286</v>
      </c>
      <c r="C671" s="1" t="n">
        <v>45822</v>
      </c>
      <c r="D671" t="inlineStr">
        <is>
          <t>VÄRMLANDS LÄN</t>
        </is>
      </c>
      <c r="E671" t="inlineStr">
        <is>
          <t>TORSBY</t>
        </is>
      </c>
      <c r="G671" t="n">
        <v>1.1</v>
      </c>
      <c r="H671" t="n">
        <v>0</v>
      </c>
      <c r="I671" t="n">
        <v>0</v>
      </c>
      <c r="J671" t="n">
        <v>0</v>
      </c>
      <c r="K671" t="n">
        <v>0</v>
      </c>
      <c r="L671" t="n">
        <v>0</v>
      </c>
      <c r="M671" t="n">
        <v>0</v>
      </c>
      <c r="N671" t="n">
        <v>0</v>
      </c>
      <c r="O671" t="n">
        <v>0</v>
      </c>
      <c r="P671" t="n">
        <v>0</v>
      </c>
      <c r="Q671" t="n">
        <v>0</v>
      </c>
      <c r="R671" s="2" t="inlineStr"/>
    </row>
    <row r="672" ht="15" customHeight="1">
      <c r="A672" t="inlineStr">
        <is>
          <t>A 15853-2021</t>
        </is>
      </c>
      <c r="B672" s="1" t="n">
        <v>44286</v>
      </c>
      <c r="C672" s="1" t="n">
        <v>45822</v>
      </c>
      <c r="D672" t="inlineStr">
        <is>
          <t>VÄRMLANDS LÄN</t>
        </is>
      </c>
      <c r="E672" t="inlineStr">
        <is>
          <t>TORSBY</t>
        </is>
      </c>
      <c r="G672" t="n">
        <v>0.6</v>
      </c>
      <c r="H672" t="n">
        <v>0</v>
      </c>
      <c r="I672" t="n">
        <v>0</v>
      </c>
      <c r="J672" t="n">
        <v>0</v>
      </c>
      <c r="K672" t="n">
        <v>0</v>
      </c>
      <c r="L672" t="n">
        <v>0</v>
      </c>
      <c r="M672" t="n">
        <v>0</v>
      </c>
      <c r="N672" t="n">
        <v>0</v>
      </c>
      <c r="O672" t="n">
        <v>0</v>
      </c>
      <c r="P672" t="n">
        <v>0</v>
      </c>
      <c r="Q672" t="n">
        <v>0</v>
      </c>
      <c r="R672" s="2" t="inlineStr"/>
    </row>
    <row r="673" ht="15" customHeight="1">
      <c r="A673" t="inlineStr">
        <is>
          <t>A 15945-2021</t>
        </is>
      </c>
      <c r="B673" s="1" t="n">
        <v>44287</v>
      </c>
      <c r="C673" s="1" t="n">
        <v>45822</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15939-2021</t>
        </is>
      </c>
      <c r="B674" s="1" t="n">
        <v>44287</v>
      </c>
      <c r="C674" s="1" t="n">
        <v>45822</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16303-2021</t>
        </is>
      </c>
      <c r="B675" s="1" t="n">
        <v>44292</v>
      </c>
      <c r="C675" s="1" t="n">
        <v>45822</v>
      </c>
      <c r="D675" t="inlineStr">
        <is>
          <t>VÄRMLANDS LÄN</t>
        </is>
      </c>
      <c r="E675" t="inlineStr">
        <is>
          <t>TORSBY</t>
        </is>
      </c>
      <c r="G675" t="n">
        <v>3.5</v>
      </c>
      <c r="H675" t="n">
        <v>0</v>
      </c>
      <c r="I675" t="n">
        <v>0</v>
      </c>
      <c r="J675" t="n">
        <v>0</v>
      </c>
      <c r="K675" t="n">
        <v>0</v>
      </c>
      <c r="L675" t="n">
        <v>0</v>
      </c>
      <c r="M675" t="n">
        <v>0</v>
      </c>
      <c r="N675" t="n">
        <v>0</v>
      </c>
      <c r="O675" t="n">
        <v>0</v>
      </c>
      <c r="P675" t="n">
        <v>0</v>
      </c>
      <c r="Q675" t="n">
        <v>0</v>
      </c>
      <c r="R675" s="2" t="inlineStr"/>
    </row>
    <row r="676" ht="15" customHeight="1">
      <c r="A676" t="inlineStr">
        <is>
          <t>A 16299-2021</t>
        </is>
      </c>
      <c r="B676" s="1" t="n">
        <v>44292</v>
      </c>
      <c r="C676" s="1" t="n">
        <v>45822</v>
      </c>
      <c r="D676" t="inlineStr">
        <is>
          <t>VÄRMLANDS LÄN</t>
        </is>
      </c>
      <c r="E676" t="inlineStr">
        <is>
          <t>TORSBY</t>
        </is>
      </c>
      <c r="G676" t="n">
        <v>3.4</v>
      </c>
      <c r="H676" t="n">
        <v>0</v>
      </c>
      <c r="I676" t="n">
        <v>0</v>
      </c>
      <c r="J676" t="n">
        <v>0</v>
      </c>
      <c r="K676" t="n">
        <v>0</v>
      </c>
      <c r="L676" t="n">
        <v>0</v>
      </c>
      <c r="M676" t="n">
        <v>0</v>
      </c>
      <c r="N676" t="n">
        <v>0</v>
      </c>
      <c r="O676" t="n">
        <v>0</v>
      </c>
      <c r="P676" t="n">
        <v>0</v>
      </c>
      <c r="Q676" t="n">
        <v>0</v>
      </c>
      <c r="R676" s="2" t="inlineStr"/>
    </row>
    <row r="677" ht="15" customHeight="1">
      <c r="A677" t="inlineStr">
        <is>
          <t>A 16375-2021</t>
        </is>
      </c>
      <c r="B677" s="1" t="n">
        <v>44292</v>
      </c>
      <c r="C677" s="1" t="n">
        <v>45822</v>
      </c>
      <c r="D677" t="inlineStr">
        <is>
          <t>VÄRMLANDS LÄN</t>
        </is>
      </c>
      <c r="E677" t="inlineStr">
        <is>
          <t>TORSBY</t>
        </is>
      </c>
      <c r="G677" t="n">
        <v>2.3</v>
      </c>
      <c r="H677" t="n">
        <v>0</v>
      </c>
      <c r="I677" t="n">
        <v>0</v>
      </c>
      <c r="J677" t="n">
        <v>0</v>
      </c>
      <c r="K677" t="n">
        <v>0</v>
      </c>
      <c r="L677" t="n">
        <v>0</v>
      </c>
      <c r="M677" t="n">
        <v>0</v>
      </c>
      <c r="N677" t="n">
        <v>0</v>
      </c>
      <c r="O677" t="n">
        <v>0</v>
      </c>
      <c r="P677" t="n">
        <v>0</v>
      </c>
      <c r="Q677" t="n">
        <v>0</v>
      </c>
      <c r="R677" s="2" t="inlineStr"/>
    </row>
    <row r="678" ht="15" customHeight="1">
      <c r="A678" t="inlineStr">
        <is>
          <t>A 17249-2021</t>
        </is>
      </c>
      <c r="B678" s="1" t="n">
        <v>44298</v>
      </c>
      <c r="C678" s="1" t="n">
        <v>45822</v>
      </c>
      <c r="D678" t="inlineStr">
        <is>
          <t>VÄRMLANDS LÄN</t>
        </is>
      </c>
      <c r="E678" t="inlineStr">
        <is>
          <t>TORSBY</t>
        </is>
      </c>
      <c r="G678" t="n">
        <v>2.7</v>
      </c>
      <c r="H678" t="n">
        <v>0</v>
      </c>
      <c r="I678" t="n">
        <v>0</v>
      </c>
      <c r="J678" t="n">
        <v>0</v>
      </c>
      <c r="K678" t="n">
        <v>0</v>
      </c>
      <c r="L678" t="n">
        <v>0</v>
      </c>
      <c r="M678" t="n">
        <v>0</v>
      </c>
      <c r="N678" t="n">
        <v>0</v>
      </c>
      <c r="O678" t="n">
        <v>0</v>
      </c>
      <c r="P678" t="n">
        <v>0</v>
      </c>
      <c r="Q678" t="n">
        <v>0</v>
      </c>
      <c r="R678" s="2" t="inlineStr"/>
    </row>
    <row r="679" ht="15" customHeight="1">
      <c r="A679" t="inlineStr">
        <is>
          <t>A 17941-2021</t>
        </is>
      </c>
      <c r="B679" s="1" t="n">
        <v>44301</v>
      </c>
      <c r="C679" s="1" t="n">
        <v>45822</v>
      </c>
      <c r="D679" t="inlineStr">
        <is>
          <t>VÄRMLANDS LÄN</t>
        </is>
      </c>
      <c r="E679" t="inlineStr">
        <is>
          <t>TORSBY</t>
        </is>
      </c>
      <c r="F679" t="inlineStr">
        <is>
          <t>Kommuner</t>
        </is>
      </c>
      <c r="G679" t="n">
        <v>8</v>
      </c>
      <c r="H679" t="n">
        <v>0</v>
      </c>
      <c r="I679" t="n">
        <v>0</v>
      </c>
      <c r="J679" t="n">
        <v>0</v>
      </c>
      <c r="K679" t="n">
        <v>0</v>
      </c>
      <c r="L679" t="n">
        <v>0</v>
      </c>
      <c r="M679" t="n">
        <v>0</v>
      </c>
      <c r="N679" t="n">
        <v>0</v>
      </c>
      <c r="O679" t="n">
        <v>0</v>
      </c>
      <c r="P679" t="n">
        <v>0</v>
      </c>
      <c r="Q679" t="n">
        <v>0</v>
      </c>
      <c r="R679" s="2" t="inlineStr"/>
    </row>
    <row r="680" ht="15" customHeight="1">
      <c r="A680" t="inlineStr">
        <is>
          <t>A 17962-2021</t>
        </is>
      </c>
      <c r="B680" s="1" t="n">
        <v>44301</v>
      </c>
      <c r="C680" s="1" t="n">
        <v>45822</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17944-2021</t>
        </is>
      </c>
      <c r="B681" s="1" t="n">
        <v>44301</v>
      </c>
      <c r="C681" s="1" t="n">
        <v>45822</v>
      </c>
      <c r="D681" t="inlineStr">
        <is>
          <t>VÄRMLANDS LÄN</t>
        </is>
      </c>
      <c r="E681" t="inlineStr">
        <is>
          <t>TORSBY</t>
        </is>
      </c>
      <c r="F681" t="inlineStr">
        <is>
          <t>Kommuner</t>
        </is>
      </c>
      <c r="G681" t="n">
        <v>0.9</v>
      </c>
      <c r="H681" t="n">
        <v>0</v>
      </c>
      <c r="I681" t="n">
        <v>0</v>
      </c>
      <c r="J681" t="n">
        <v>0</v>
      </c>
      <c r="K681" t="n">
        <v>0</v>
      </c>
      <c r="L681" t="n">
        <v>0</v>
      </c>
      <c r="M681" t="n">
        <v>0</v>
      </c>
      <c r="N681" t="n">
        <v>0</v>
      </c>
      <c r="O681" t="n">
        <v>0</v>
      </c>
      <c r="P681" t="n">
        <v>0</v>
      </c>
      <c r="Q681" t="n">
        <v>0</v>
      </c>
      <c r="R681" s="2" t="inlineStr"/>
    </row>
    <row r="682" ht="15" customHeight="1">
      <c r="A682" t="inlineStr">
        <is>
          <t>A 23524-2021</t>
        </is>
      </c>
      <c r="B682" s="1" t="n">
        <v>44301</v>
      </c>
      <c r="C682" s="1" t="n">
        <v>45822</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18174-2021</t>
        </is>
      </c>
      <c r="B683" s="1" t="n">
        <v>44302</v>
      </c>
      <c r="C683" s="1" t="n">
        <v>45822</v>
      </c>
      <c r="D683" t="inlineStr">
        <is>
          <t>VÄRMLANDS LÄN</t>
        </is>
      </c>
      <c r="E683" t="inlineStr">
        <is>
          <t>TORSBY</t>
        </is>
      </c>
      <c r="G683" t="n">
        <v>4.5</v>
      </c>
      <c r="H683" t="n">
        <v>0</v>
      </c>
      <c r="I683" t="n">
        <v>0</v>
      </c>
      <c r="J683" t="n">
        <v>0</v>
      </c>
      <c r="K683" t="n">
        <v>0</v>
      </c>
      <c r="L683" t="n">
        <v>0</v>
      </c>
      <c r="M683" t="n">
        <v>0</v>
      </c>
      <c r="N683" t="n">
        <v>0</v>
      </c>
      <c r="O683" t="n">
        <v>0</v>
      </c>
      <c r="P683" t="n">
        <v>0</v>
      </c>
      <c r="Q683" t="n">
        <v>0</v>
      </c>
      <c r="R683" s="2" t="inlineStr"/>
    </row>
    <row r="684" ht="15" customHeight="1">
      <c r="A684" t="inlineStr">
        <is>
          <t>A 18033-2021</t>
        </is>
      </c>
      <c r="B684" s="1" t="n">
        <v>44302</v>
      </c>
      <c r="C684" s="1" t="n">
        <v>45822</v>
      </c>
      <c r="D684" t="inlineStr">
        <is>
          <t>VÄRMLANDS LÄN</t>
        </is>
      </c>
      <c r="E684" t="inlineStr">
        <is>
          <t>TORSBY</t>
        </is>
      </c>
      <c r="G684" t="n">
        <v>0.8</v>
      </c>
      <c r="H684" t="n">
        <v>0</v>
      </c>
      <c r="I684" t="n">
        <v>0</v>
      </c>
      <c r="J684" t="n">
        <v>0</v>
      </c>
      <c r="K684" t="n">
        <v>0</v>
      </c>
      <c r="L684" t="n">
        <v>0</v>
      </c>
      <c r="M684" t="n">
        <v>0</v>
      </c>
      <c r="N684" t="n">
        <v>0</v>
      </c>
      <c r="O684" t="n">
        <v>0</v>
      </c>
      <c r="P684" t="n">
        <v>0</v>
      </c>
      <c r="Q684" t="n">
        <v>0</v>
      </c>
      <c r="R684" s="2" t="inlineStr"/>
    </row>
    <row r="685" ht="15" customHeight="1">
      <c r="A685" t="inlineStr">
        <is>
          <t>A 18354-2021</t>
        </is>
      </c>
      <c r="B685" s="1" t="n">
        <v>44305</v>
      </c>
      <c r="C685" s="1" t="n">
        <v>45822</v>
      </c>
      <c r="D685" t="inlineStr">
        <is>
          <t>VÄRMLANDS LÄN</t>
        </is>
      </c>
      <c r="E685" t="inlineStr">
        <is>
          <t>TORSBY</t>
        </is>
      </c>
      <c r="F685" t="inlineStr">
        <is>
          <t>Kommuner</t>
        </is>
      </c>
      <c r="G685" t="n">
        <v>2.4</v>
      </c>
      <c r="H685" t="n">
        <v>0</v>
      </c>
      <c r="I685" t="n">
        <v>0</v>
      </c>
      <c r="J685" t="n">
        <v>0</v>
      </c>
      <c r="K685" t="n">
        <v>0</v>
      </c>
      <c r="L685" t="n">
        <v>0</v>
      </c>
      <c r="M685" t="n">
        <v>0</v>
      </c>
      <c r="N685" t="n">
        <v>0</v>
      </c>
      <c r="O685" t="n">
        <v>0</v>
      </c>
      <c r="P685" t="n">
        <v>0</v>
      </c>
      <c r="Q685" t="n">
        <v>0</v>
      </c>
      <c r="R685" s="2" t="inlineStr"/>
    </row>
    <row r="686" ht="15" customHeight="1">
      <c r="A686" t="inlineStr">
        <is>
          <t>A 18344-2021</t>
        </is>
      </c>
      <c r="B686" s="1" t="n">
        <v>44305</v>
      </c>
      <c r="C686" s="1" t="n">
        <v>45822</v>
      </c>
      <c r="D686" t="inlineStr">
        <is>
          <t>VÄRMLANDS LÄN</t>
        </is>
      </c>
      <c r="E686" t="inlineStr">
        <is>
          <t>TORSBY</t>
        </is>
      </c>
      <c r="F686" t="inlineStr">
        <is>
          <t>Kommuner</t>
        </is>
      </c>
      <c r="G686" t="n">
        <v>4.3</v>
      </c>
      <c r="H686" t="n">
        <v>0</v>
      </c>
      <c r="I686" t="n">
        <v>0</v>
      </c>
      <c r="J686" t="n">
        <v>0</v>
      </c>
      <c r="K686" t="n">
        <v>0</v>
      </c>
      <c r="L686" t="n">
        <v>0</v>
      </c>
      <c r="M686" t="n">
        <v>0</v>
      </c>
      <c r="N686" t="n">
        <v>0</v>
      </c>
      <c r="O686" t="n">
        <v>0</v>
      </c>
      <c r="P686" t="n">
        <v>0</v>
      </c>
      <c r="Q686" t="n">
        <v>0</v>
      </c>
      <c r="R686" s="2" t="inlineStr"/>
    </row>
    <row r="687" ht="15" customHeight="1">
      <c r="A687" t="inlineStr">
        <is>
          <t>A 18349-2021</t>
        </is>
      </c>
      <c r="B687" s="1" t="n">
        <v>44305</v>
      </c>
      <c r="C687" s="1" t="n">
        <v>45822</v>
      </c>
      <c r="D687" t="inlineStr">
        <is>
          <t>VÄRMLANDS LÄN</t>
        </is>
      </c>
      <c r="E687" t="inlineStr">
        <is>
          <t>TORSBY</t>
        </is>
      </c>
      <c r="G687" t="n">
        <v>3</v>
      </c>
      <c r="H687" t="n">
        <v>0</v>
      </c>
      <c r="I687" t="n">
        <v>0</v>
      </c>
      <c r="J687" t="n">
        <v>0</v>
      </c>
      <c r="K687" t="n">
        <v>0</v>
      </c>
      <c r="L687" t="n">
        <v>0</v>
      </c>
      <c r="M687" t="n">
        <v>0</v>
      </c>
      <c r="N687" t="n">
        <v>0</v>
      </c>
      <c r="O687" t="n">
        <v>0</v>
      </c>
      <c r="P687" t="n">
        <v>0</v>
      </c>
      <c r="Q687" t="n">
        <v>0</v>
      </c>
      <c r="R687" s="2" t="inlineStr"/>
    </row>
    <row r="688" ht="15" customHeight="1">
      <c r="A688" t="inlineStr">
        <is>
          <t>A 18560-2021</t>
        </is>
      </c>
      <c r="B688" s="1" t="n">
        <v>44306</v>
      </c>
      <c r="C688" s="1" t="n">
        <v>45822</v>
      </c>
      <c r="D688" t="inlineStr">
        <is>
          <t>VÄRMLANDS LÄN</t>
        </is>
      </c>
      <c r="E688" t="inlineStr">
        <is>
          <t>TORSBY</t>
        </is>
      </c>
      <c r="F688" t="inlineStr">
        <is>
          <t>Kommuner</t>
        </is>
      </c>
      <c r="G688" t="n">
        <v>1</v>
      </c>
      <c r="H688" t="n">
        <v>0</v>
      </c>
      <c r="I688" t="n">
        <v>0</v>
      </c>
      <c r="J688" t="n">
        <v>0</v>
      </c>
      <c r="K688" t="n">
        <v>0</v>
      </c>
      <c r="L688" t="n">
        <v>0</v>
      </c>
      <c r="M688" t="n">
        <v>0</v>
      </c>
      <c r="N688" t="n">
        <v>0</v>
      </c>
      <c r="O688" t="n">
        <v>0</v>
      </c>
      <c r="P688" t="n">
        <v>0</v>
      </c>
      <c r="Q688" t="n">
        <v>0</v>
      </c>
      <c r="R688" s="2" t="inlineStr"/>
    </row>
    <row r="689" ht="15" customHeight="1">
      <c r="A689" t="inlineStr">
        <is>
          <t>A 19031-2021</t>
        </is>
      </c>
      <c r="B689" s="1" t="n">
        <v>44308</v>
      </c>
      <c r="C689" s="1" t="n">
        <v>45822</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19338-2021</t>
        </is>
      </c>
      <c r="B690" s="1" t="n">
        <v>44309</v>
      </c>
      <c r="C690" s="1" t="n">
        <v>45822</v>
      </c>
      <c r="D690" t="inlineStr">
        <is>
          <t>VÄRMLANDS LÄN</t>
        </is>
      </c>
      <c r="E690" t="inlineStr">
        <is>
          <t>TORSBY</t>
        </is>
      </c>
      <c r="F690" t="inlineStr">
        <is>
          <t>Bergvik skog väst AB</t>
        </is>
      </c>
      <c r="G690" t="n">
        <v>3.7</v>
      </c>
      <c r="H690" t="n">
        <v>0</v>
      </c>
      <c r="I690" t="n">
        <v>0</v>
      </c>
      <c r="J690" t="n">
        <v>0</v>
      </c>
      <c r="K690" t="n">
        <v>0</v>
      </c>
      <c r="L690" t="n">
        <v>0</v>
      </c>
      <c r="M690" t="n">
        <v>0</v>
      </c>
      <c r="N690" t="n">
        <v>0</v>
      </c>
      <c r="O690" t="n">
        <v>0</v>
      </c>
      <c r="P690" t="n">
        <v>0</v>
      </c>
      <c r="Q690" t="n">
        <v>0</v>
      </c>
      <c r="R690" s="2" t="inlineStr"/>
    </row>
    <row r="691" ht="15" customHeight="1">
      <c r="A691" t="inlineStr">
        <is>
          <t>A 19375-2021</t>
        </is>
      </c>
      <c r="B691" s="1" t="n">
        <v>44309</v>
      </c>
      <c r="C691" s="1" t="n">
        <v>45822</v>
      </c>
      <c r="D691" t="inlineStr">
        <is>
          <t>VÄRMLANDS LÄN</t>
        </is>
      </c>
      <c r="E691" t="inlineStr">
        <is>
          <t>TORSBY</t>
        </is>
      </c>
      <c r="G691" t="n">
        <v>2</v>
      </c>
      <c r="H691" t="n">
        <v>0</v>
      </c>
      <c r="I691" t="n">
        <v>0</v>
      </c>
      <c r="J691" t="n">
        <v>0</v>
      </c>
      <c r="K691" t="n">
        <v>0</v>
      </c>
      <c r="L691" t="n">
        <v>0</v>
      </c>
      <c r="M691" t="n">
        <v>0</v>
      </c>
      <c r="N691" t="n">
        <v>0</v>
      </c>
      <c r="O691" t="n">
        <v>0</v>
      </c>
      <c r="P691" t="n">
        <v>0</v>
      </c>
      <c r="Q691" t="n">
        <v>0</v>
      </c>
      <c r="R691" s="2" t="inlineStr"/>
    </row>
    <row r="692" ht="15" customHeight="1">
      <c r="A692" t="inlineStr">
        <is>
          <t>A 20182-2021</t>
        </is>
      </c>
      <c r="B692" s="1" t="n">
        <v>44312</v>
      </c>
      <c r="C692" s="1" t="n">
        <v>45822</v>
      </c>
      <c r="D692" t="inlineStr">
        <is>
          <t>VÄRMLANDS LÄN</t>
        </is>
      </c>
      <c r="E692" t="inlineStr">
        <is>
          <t>TORSBY</t>
        </is>
      </c>
      <c r="G692" t="n">
        <v>14.4</v>
      </c>
      <c r="H692" t="n">
        <v>0</v>
      </c>
      <c r="I692" t="n">
        <v>0</v>
      </c>
      <c r="J692" t="n">
        <v>0</v>
      </c>
      <c r="K692" t="n">
        <v>0</v>
      </c>
      <c r="L692" t="n">
        <v>0</v>
      </c>
      <c r="M692" t="n">
        <v>0</v>
      </c>
      <c r="N692" t="n">
        <v>0</v>
      </c>
      <c r="O692" t="n">
        <v>0</v>
      </c>
      <c r="P692" t="n">
        <v>0</v>
      </c>
      <c r="Q692" t="n">
        <v>0</v>
      </c>
      <c r="R692" s="2" t="inlineStr"/>
    </row>
    <row r="693" ht="15" customHeight="1">
      <c r="A693" t="inlineStr">
        <is>
          <t>A 20199-2021</t>
        </is>
      </c>
      <c r="B693" s="1" t="n">
        <v>44312</v>
      </c>
      <c r="C693" s="1" t="n">
        <v>45822</v>
      </c>
      <c r="D693" t="inlineStr">
        <is>
          <t>VÄRMLANDS LÄN</t>
        </is>
      </c>
      <c r="E693" t="inlineStr">
        <is>
          <t>TORSBY</t>
        </is>
      </c>
      <c r="G693" t="n">
        <v>11.4</v>
      </c>
      <c r="H693" t="n">
        <v>0</v>
      </c>
      <c r="I693" t="n">
        <v>0</v>
      </c>
      <c r="J693" t="n">
        <v>0</v>
      </c>
      <c r="K693" t="n">
        <v>0</v>
      </c>
      <c r="L693" t="n">
        <v>0</v>
      </c>
      <c r="M693" t="n">
        <v>0</v>
      </c>
      <c r="N693" t="n">
        <v>0</v>
      </c>
      <c r="O693" t="n">
        <v>0</v>
      </c>
      <c r="P693" t="n">
        <v>0</v>
      </c>
      <c r="Q693" t="n">
        <v>0</v>
      </c>
      <c r="R693" s="2" t="inlineStr"/>
    </row>
    <row r="694" ht="15" customHeight="1">
      <c r="A694" t="inlineStr">
        <is>
          <t>A 20170-2021</t>
        </is>
      </c>
      <c r="B694" s="1" t="n">
        <v>44312</v>
      </c>
      <c r="C694" s="1" t="n">
        <v>45822</v>
      </c>
      <c r="D694" t="inlineStr">
        <is>
          <t>VÄRMLANDS LÄN</t>
        </is>
      </c>
      <c r="E694" t="inlineStr">
        <is>
          <t>TORSBY</t>
        </is>
      </c>
      <c r="G694" t="n">
        <v>1.6</v>
      </c>
      <c r="H694" t="n">
        <v>0</v>
      </c>
      <c r="I694" t="n">
        <v>0</v>
      </c>
      <c r="J694" t="n">
        <v>0</v>
      </c>
      <c r="K694" t="n">
        <v>0</v>
      </c>
      <c r="L694" t="n">
        <v>0</v>
      </c>
      <c r="M694" t="n">
        <v>0</v>
      </c>
      <c r="N694" t="n">
        <v>0</v>
      </c>
      <c r="O694" t="n">
        <v>0</v>
      </c>
      <c r="P694" t="n">
        <v>0</v>
      </c>
      <c r="Q694" t="n">
        <v>0</v>
      </c>
      <c r="R694" s="2" t="inlineStr"/>
    </row>
    <row r="695" ht="15" customHeight="1">
      <c r="A695" t="inlineStr">
        <is>
          <t>A 19877-2021</t>
        </is>
      </c>
      <c r="B695" s="1" t="n">
        <v>44313</v>
      </c>
      <c r="C695" s="1" t="n">
        <v>45822</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19974-2021</t>
        </is>
      </c>
      <c r="B696" s="1" t="n">
        <v>44313</v>
      </c>
      <c r="C696" s="1" t="n">
        <v>45822</v>
      </c>
      <c r="D696" t="inlineStr">
        <is>
          <t>VÄRMLANDS LÄN</t>
        </is>
      </c>
      <c r="E696" t="inlineStr">
        <is>
          <t>TORSBY</t>
        </is>
      </c>
      <c r="G696" t="n">
        <v>0.4</v>
      </c>
      <c r="H696" t="n">
        <v>0</v>
      </c>
      <c r="I696" t="n">
        <v>0</v>
      </c>
      <c r="J696" t="n">
        <v>0</v>
      </c>
      <c r="K696" t="n">
        <v>0</v>
      </c>
      <c r="L696" t="n">
        <v>0</v>
      </c>
      <c r="M696" t="n">
        <v>0</v>
      </c>
      <c r="N696" t="n">
        <v>0</v>
      </c>
      <c r="O696" t="n">
        <v>0</v>
      </c>
      <c r="P696" t="n">
        <v>0</v>
      </c>
      <c r="Q696" t="n">
        <v>0</v>
      </c>
      <c r="R696" s="2" t="inlineStr"/>
    </row>
    <row r="697" ht="15" customHeight="1">
      <c r="A697" t="inlineStr">
        <is>
          <t>A 20122-2021</t>
        </is>
      </c>
      <c r="B697" s="1" t="n">
        <v>44314</v>
      </c>
      <c r="C697" s="1" t="n">
        <v>45822</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21031-2021</t>
        </is>
      </c>
      <c r="B698" s="1" t="n">
        <v>44319</v>
      </c>
      <c r="C698" s="1" t="n">
        <v>45822</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21206-2021</t>
        </is>
      </c>
      <c r="B699" s="1" t="n">
        <v>44320</v>
      </c>
      <c r="C699" s="1" t="n">
        <v>45822</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22038-2021</t>
        </is>
      </c>
      <c r="B700" s="1" t="n">
        <v>44323</v>
      </c>
      <c r="C700" s="1" t="n">
        <v>45822</v>
      </c>
      <c r="D700" t="inlineStr">
        <is>
          <t>VÄRMLANDS LÄN</t>
        </is>
      </c>
      <c r="E700" t="inlineStr">
        <is>
          <t>TORSBY</t>
        </is>
      </c>
      <c r="G700" t="n">
        <v>4</v>
      </c>
      <c r="H700" t="n">
        <v>0</v>
      </c>
      <c r="I700" t="n">
        <v>0</v>
      </c>
      <c r="J700" t="n">
        <v>0</v>
      </c>
      <c r="K700" t="n">
        <v>0</v>
      </c>
      <c r="L700" t="n">
        <v>0</v>
      </c>
      <c r="M700" t="n">
        <v>0</v>
      </c>
      <c r="N700" t="n">
        <v>0</v>
      </c>
      <c r="O700" t="n">
        <v>0</v>
      </c>
      <c r="P700" t="n">
        <v>0</v>
      </c>
      <c r="Q700" t="n">
        <v>0</v>
      </c>
      <c r="R700" s="2" t="inlineStr"/>
    </row>
    <row r="701" ht="15" customHeight="1">
      <c r="A701" t="inlineStr">
        <is>
          <t>A 22113-2021</t>
        </is>
      </c>
      <c r="B701" s="1" t="n">
        <v>44323</v>
      </c>
      <c r="C701" s="1" t="n">
        <v>45822</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22464-2021</t>
        </is>
      </c>
      <c r="B702" s="1" t="n">
        <v>44326</v>
      </c>
      <c r="C702" s="1" t="n">
        <v>45822</v>
      </c>
      <c r="D702" t="inlineStr">
        <is>
          <t>VÄRMLANDS LÄN</t>
        </is>
      </c>
      <c r="E702" t="inlineStr">
        <is>
          <t>TORSBY</t>
        </is>
      </c>
      <c r="G702" t="n">
        <v>6</v>
      </c>
      <c r="H702" t="n">
        <v>0</v>
      </c>
      <c r="I702" t="n">
        <v>0</v>
      </c>
      <c r="J702" t="n">
        <v>0</v>
      </c>
      <c r="K702" t="n">
        <v>0</v>
      </c>
      <c r="L702" t="n">
        <v>0</v>
      </c>
      <c r="M702" t="n">
        <v>0</v>
      </c>
      <c r="N702" t="n">
        <v>0</v>
      </c>
      <c r="O702" t="n">
        <v>0</v>
      </c>
      <c r="P702" t="n">
        <v>0</v>
      </c>
      <c r="Q702" t="n">
        <v>0</v>
      </c>
      <c r="R702" s="2" t="inlineStr"/>
    </row>
    <row r="703" ht="15" customHeight="1">
      <c r="A703" t="inlineStr">
        <is>
          <t>A 22463-2021</t>
        </is>
      </c>
      <c r="B703" s="1" t="n">
        <v>44326</v>
      </c>
      <c r="C703" s="1" t="n">
        <v>45822</v>
      </c>
      <c r="D703" t="inlineStr">
        <is>
          <t>VÄRMLANDS LÄN</t>
        </is>
      </c>
      <c r="E703" t="inlineStr">
        <is>
          <t>TORSBY</t>
        </is>
      </c>
      <c r="G703" t="n">
        <v>0.9</v>
      </c>
      <c r="H703" t="n">
        <v>0</v>
      </c>
      <c r="I703" t="n">
        <v>0</v>
      </c>
      <c r="J703" t="n">
        <v>0</v>
      </c>
      <c r="K703" t="n">
        <v>0</v>
      </c>
      <c r="L703" t="n">
        <v>0</v>
      </c>
      <c r="M703" t="n">
        <v>0</v>
      </c>
      <c r="N703" t="n">
        <v>0</v>
      </c>
      <c r="O703" t="n">
        <v>0</v>
      </c>
      <c r="P703" t="n">
        <v>0</v>
      </c>
      <c r="Q703" t="n">
        <v>0</v>
      </c>
      <c r="R703" s="2" t="inlineStr"/>
    </row>
    <row r="704" ht="15" customHeight="1">
      <c r="A704" t="inlineStr">
        <is>
          <t>A 22671-2021</t>
        </is>
      </c>
      <c r="B704" s="1" t="n">
        <v>44327</v>
      </c>
      <c r="C704" s="1" t="n">
        <v>45822</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22638-2021</t>
        </is>
      </c>
      <c r="B705" s="1" t="n">
        <v>44327</v>
      </c>
      <c r="C705" s="1" t="n">
        <v>45822</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23191-2021</t>
        </is>
      </c>
      <c r="B706" s="1" t="n">
        <v>44328</v>
      </c>
      <c r="C706" s="1" t="n">
        <v>45822</v>
      </c>
      <c r="D706" t="inlineStr">
        <is>
          <t>VÄRMLANDS LÄN</t>
        </is>
      </c>
      <c r="E706" t="inlineStr">
        <is>
          <t>TORSBY</t>
        </is>
      </c>
      <c r="G706" t="n">
        <v>2</v>
      </c>
      <c r="H706" t="n">
        <v>0</v>
      </c>
      <c r="I706" t="n">
        <v>0</v>
      </c>
      <c r="J706" t="n">
        <v>0</v>
      </c>
      <c r="K706" t="n">
        <v>0</v>
      </c>
      <c r="L706" t="n">
        <v>0</v>
      </c>
      <c r="M706" t="n">
        <v>0</v>
      </c>
      <c r="N706" t="n">
        <v>0</v>
      </c>
      <c r="O706" t="n">
        <v>0</v>
      </c>
      <c r="P706" t="n">
        <v>0</v>
      </c>
      <c r="Q706" t="n">
        <v>0</v>
      </c>
      <c r="R706" s="2" t="inlineStr"/>
    </row>
    <row r="707" ht="15" customHeight="1">
      <c r="A707" t="inlineStr">
        <is>
          <t>A 23194-2021</t>
        </is>
      </c>
      <c r="B707" s="1" t="n">
        <v>44328</v>
      </c>
      <c r="C707" s="1" t="n">
        <v>45822</v>
      </c>
      <c r="D707" t="inlineStr">
        <is>
          <t>VÄRMLANDS LÄN</t>
        </is>
      </c>
      <c r="E707" t="inlineStr">
        <is>
          <t>TORSBY</t>
        </is>
      </c>
      <c r="G707" t="n">
        <v>4.3</v>
      </c>
      <c r="H707" t="n">
        <v>0</v>
      </c>
      <c r="I707" t="n">
        <v>0</v>
      </c>
      <c r="J707" t="n">
        <v>0</v>
      </c>
      <c r="K707" t="n">
        <v>0</v>
      </c>
      <c r="L707" t="n">
        <v>0</v>
      </c>
      <c r="M707" t="n">
        <v>0</v>
      </c>
      <c r="N707" t="n">
        <v>0</v>
      </c>
      <c r="O707" t="n">
        <v>0</v>
      </c>
      <c r="P707" t="n">
        <v>0</v>
      </c>
      <c r="Q707" t="n">
        <v>0</v>
      </c>
      <c r="R707" s="2" t="inlineStr"/>
    </row>
    <row r="708" ht="15" customHeight="1">
      <c r="A708" t="inlineStr">
        <is>
          <t>A 23435-2021</t>
        </is>
      </c>
      <c r="B708" s="1" t="n">
        <v>44333</v>
      </c>
      <c r="C708" s="1" t="n">
        <v>45822</v>
      </c>
      <c r="D708" t="inlineStr">
        <is>
          <t>VÄRMLANDS LÄN</t>
        </is>
      </c>
      <c r="E708" t="inlineStr">
        <is>
          <t>TORSBY</t>
        </is>
      </c>
      <c r="G708" t="n">
        <v>4.9</v>
      </c>
      <c r="H708" t="n">
        <v>0</v>
      </c>
      <c r="I708" t="n">
        <v>0</v>
      </c>
      <c r="J708" t="n">
        <v>0</v>
      </c>
      <c r="K708" t="n">
        <v>0</v>
      </c>
      <c r="L708" t="n">
        <v>0</v>
      </c>
      <c r="M708" t="n">
        <v>0</v>
      </c>
      <c r="N708" t="n">
        <v>0</v>
      </c>
      <c r="O708" t="n">
        <v>0</v>
      </c>
      <c r="P708" t="n">
        <v>0</v>
      </c>
      <c r="Q708" t="n">
        <v>0</v>
      </c>
      <c r="R708" s="2" t="inlineStr"/>
    </row>
    <row r="709" ht="15" customHeight="1">
      <c r="A709" t="inlineStr">
        <is>
          <t>A 23548-2021</t>
        </is>
      </c>
      <c r="B709" s="1" t="n">
        <v>44333</v>
      </c>
      <c r="C709" s="1" t="n">
        <v>45822</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23842-2021</t>
        </is>
      </c>
      <c r="B710" s="1" t="n">
        <v>44335</v>
      </c>
      <c r="C710" s="1" t="n">
        <v>45822</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23823-2021</t>
        </is>
      </c>
      <c r="B711" s="1" t="n">
        <v>44335</v>
      </c>
      <c r="C711" s="1" t="n">
        <v>45822</v>
      </c>
      <c r="D711" t="inlineStr">
        <is>
          <t>VÄRMLANDS LÄN</t>
        </is>
      </c>
      <c r="E711" t="inlineStr">
        <is>
          <t>TORSBY</t>
        </is>
      </c>
      <c r="G711" t="n">
        <v>3.1</v>
      </c>
      <c r="H711" t="n">
        <v>0</v>
      </c>
      <c r="I711" t="n">
        <v>0</v>
      </c>
      <c r="J711" t="n">
        <v>0</v>
      </c>
      <c r="K711" t="n">
        <v>0</v>
      </c>
      <c r="L711" t="n">
        <v>0</v>
      </c>
      <c r="M711" t="n">
        <v>0</v>
      </c>
      <c r="N711" t="n">
        <v>0</v>
      </c>
      <c r="O711" t="n">
        <v>0</v>
      </c>
      <c r="P711" t="n">
        <v>0</v>
      </c>
      <c r="Q711" t="n">
        <v>0</v>
      </c>
      <c r="R711" s="2" t="inlineStr"/>
    </row>
    <row r="712" ht="15" customHeight="1">
      <c r="A712" t="inlineStr">
        <is>
          <t>A 24054-2021</t>
        </is>
      </c>
      <c r="B712" s="1" t="n">
        <v>44336</v>
      </c>
      <c r="C712" s="1" t="n">
        <v>45822</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24150-2021</t>
        </is>
      </c>
      <c r="B713" s="1" t="n">
        <v>44336</v>
      </c>
      <c r="C713" s="1" t="n">
        <v>45822</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24165-2021</t>
        </is>
      </c>
      <c r="B714" s="1" t="n">
        <v>44336</v>
      </c>
      <c r="C714" s="1" t="n">
        <v>45822</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25096-2021</t>
        </is>
      </c>
      <c r="B715" s="1" t="n">
        <v>44341</v>
      </c>
      <c r="C715" s="1" t="n">
        <v>45822</v>
      </c>
      <c r="D715" t="inlineStr">
        <is>
          <t>VÄRMLANDS LÄN</t>
        </is>
      </c>
      <c r="E715" t="inlineStr">
        <is>
          <t>TORSBY</t>
        </is>
      </c>
      <c r="F715" t="inlineStr">
        <is>
          <t>Bergvik skog väst AB</t>
        </is>
      </c>
      <c r="G715" t="n">
        <v>14.7</v>
      </c>
      <c r="H715" t="n">
        <v>0</v>
      </c>
      <c r="I715" t="n">
        <v>0</v>
      </c>
      <c r="J715" t="n">
        <v>0</v>
      </c>
      <c r="K715" t="n">
        <v>0</v>
      </c>
      <c r="L715" t="n">
        <v>0</v>
      </c>
      <c r="M715" t="n">
        <v>0</v>
      </c>
      <c r="N715" t="n">
        <v>0</v>
      </c>
      <c r="O715" t="n">
        <v>0</v>
      </c>
      <c r="P715" t="n">
        <v>0</v>
      </c>
      <c r="Q715" t="n">
        <v>0</v>
      </c>
      <c r="R715" s="2" t="inlineStr"/>
    </row>
    <row r="716" ht="15" customHeight="1">
      <c r="A716" t="inlineStr">
        <is>
          <t>A 25247-2021</t>
        </is>
      </c>
      <c r="B716" s="1" t="n">
        <v>44342</v>
      </c>
      <c r="C716" s="1" t="n">
        <v>45822</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25920-2021</t>
        </is>
      </c>
      <c r="B717" s="1" t="n">
        <v>44344</v>
      </c>
      <c r="C717" s="1" t="n">
        <v>45822</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26082-2021</t>
        </is>
      </c>
      <c r="B718" s="1" t="n">
        <v>44344</v>
      </c>
      <c r="C718" s="1" t="n">
        <v>45822</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26223-2021</t>
        </is>
      </c>
      <c r="B719" s="1" t="n">
        <v>44347</v>
      </c>
      <c r="C719" s="1" t="n">
        <v>45822</v>
      </c>
      <c r="D719" t="inlineStr">
        <is>
          <t>VÄRMLANDS LÄN</t>
        </is>
      </c>
      <c r="E719" t="inlineStr">
        <is>
          <t>TORSBY</t>
        </is>
      </c>
      <c r="G719" t="n">
        <v>1.4</v>
      </c>
      <c r="H719" t="n">
        <v>0</v>
      </c>
      <c r="I719" t="n">
        <v>0</v>
      </c>
      <c r="J719" t="n">
        <v>0</v>
      </c>
      <c r="K719" t="n">
        <v>0</v>
      </c>
      <c r="L719" t="n">
        <v>0</v>
      </c>
      <c r="M719" t="n">
        <v>0</v>
      </c>
      <c r="N719" t="n">
        <v>0</v>
      </c>
      <c r="O719" t="n">
        <v>0</v>
      </c>
      <c r="P719" t="n">
        <v>0</v>
      </c>
      <c r="Q719" t="n">
        <v>0</v>
      </c>
      <c r="R719" s="2" t="inlineStr"/>
    </row>
    <row r="720" ht="15" customHeight="1">
      <c r="A720" t="inlineStr">
        <is>
          <t>A 26558-2021</t>
        </is>
      </c>
      <c r="B720" s="1" t="n">
        <v>44348</v>
      </c>
      <c r="C720" s="1" t="n">
        <v>45822</v>
      </c>
      <c r="D720" t="inlineStr">
        <is>
          <t>VÄRMLANDS LÄN</t>
        </is>
      </c>
      <c r="E720" t="inlineStr">
        <is>
          <t>TORSBY</t>
        </is>
      </c>
      <c r="G720" t="n">
        <v>19.7</v>
      </c>
      <c r="H720" t="n">
        <v>0</v>
      </c>
      <c r="I720" t="n">
        <v>0</v>
      </c>
      <c r="J720" t="n">
        <v>0</v>
      </c>
      <c r="K720" t="n">
        <v>0</v>
      </c>
      <c r="L720" t="n">
        <v>0</v>
      </c>
      <c r="M720" t="n">
        <v>0</v>
      </c>
      <c r="N720" t="n">
        <v>0</v>
      </c>
      <c r="O720" t="n">
        <v>0</v>
      </c>
      <c r="P720" t="n">
        <v>0</v>
      </c>
      <c r="Q720" t="n">
        <v>0</v>
      </c>
      <c r="R720" s="2" t="inlineStr"/>
    </row>
    <row r="721" ht="15" customHeight="1">
      <c r="A721" t="inlineStr">
        <is>
          <t>A 27446-2021</t>
        </is>
      </c>
      <c r="B721" s="1" t="n">
        <v>44351</v>
      </c>
      <c r="C721" s="1" t="n">
        <v>45822</v>
      </c>
      <c r="D721" t="inlineStr">
        <is>
          <t>VÄRMLANDS LÄN</t>
        </is>
      </c>
      <c r="E721" t="inlineStr">
        <is>
          <t>TORSBY</t>
        </is>
      </c>
      <c r="G721" t="n">
        <v>7.6</v>
      </c>
      <c r="H721" t="n">
        <v>0</v>
      </c>
      <c r="I721" t="n">
        <v>0</v>
      </c>
      <c r="J721" t="n">
        <v>0</v>
      </c>
      <c r="K721" t="n">
        <v>0</v>
      </c>
      <c r="L721" t="n">
        <v>0</v>
      </c>
      <c r="M721" t="n">
        <v>0</v>
      </c>
      <c r="N721" t="n">
        <v>0</v>
      </c>
      <c r="O721" t="n">
        <v>0</v>
      </c>
      <c r="P721" t="n">
        <v>0</v>
      </c>
      <c r="Q721" t="n">
        <v>0</v>
      </c>
      <c r="R721" s="2" t="inlineStr"/>
    </row>
    <row r="722" ht="15" customHeight="1">
      <c r="A722" t="inlineStr">
        <is>
          <t>A 27411-2021</t>
        </is>
      </c>
      <c r="B722" s="1" t="n">
        <v>44351</v>
      </c>
      <c r="C722" s="1" t="n">
        <v>45822</v>
      </c>
      <c r="D722" t="inlineStr">
        <is>
          <t>VÄRMLANDS LÄN</t>
        </is>
      </c>
      <c r="E722" t="inlineStr">
        <is>
          <t>TORSBY</t>
        </is>
      </c>
      <c r="G722" t="n">
        <v>2.5</v>
      </c>
      <c r="H722" t="n">
        <v>0</v>
      </c>
      <c r="I722" t="n">
        <v>0</v>
      </c>
      <c r="J722" t="n">
        <v>0</v>
      </c>
      <c r="K722" t="n">
        <v>0</v>
      </c>
      <c r="L722" t="n">
        <v>0</v>
      </c>
      <c r="M722" t="n">
        <v>0</v>
      </c>
      <c r="N722" t="n">
        <v>0</v>
      </c>
      <c r="O722" t="n">
        <v>0</v>
      </c>
      <c r="P722" t="n">
        <v>0</v>
      </c>
      <c r="Q722" t="n">
        <v>0</v>
      </c>
      <c r="R722" s="2" t="inlineStr"/>
    </row>
    <row r="723" ht="15" customHeight="1">
      <c r="A723" t="inlineStr">
        <is>
          <t>A 27362-2021</t>
        </is>
      </c>
      <c r="B723" s="1" t="n">
        <v>44351</v>
      </c>
      <c r="C723" s="1" t="n">
        <v>45822</v>
      </c>
      <c r="D723" t="inlineStr">
        <is>
          <t>VÄRMLANDS LÄN</t>
        </is>
      </c>
      <c r="E723" t="inlineStr">
        <is>
          <t>TORSBY</t>
        </is>
      </c>
      <c r="G723" t="n">
        <v>2.9</v>
      </c>
      <c r="H723" t="n">
        <v>0</v>
      </c>
      <c r="I723" t="n">
        <v>0</v>
      </c>
      <c r="J723" t="n">
        <v>0</v>
      </c>
      <c r="K723" t="n">
        <v>0</v>
      </c>
      <c r="L723" t="n">
        <v>0</v>
      </c>
      <c r="M723" t="n">
        <v>0</v>
      </c>
      <c r="N723" t="n">
        <v>0</v>
      </c>
      <c r="O723" t="n">
        <v>0</v>
      </c>
      <c r="P723" t="n">
        <v>0</v>
      </c>
      <c r="Q723" t="n">
        <v>0</v>
      </c>
      <c r="R723" s="2" t="inlineStr"/>
    </row>
    <row r="724" ht="15" customHeight="1">
      <c r="A724" t="inlineStr">
        <is>
          <t>A 27932-2021</t>
        </is>
      </c>
      <c r="B724" s="1" t="n">
        <v>44354</v>
      </c>
      <c r="C724" s="1" t="n">
        <v>45822</v>
      </c>
      <c r="D724" t="inlineStr">
        <is>
          <t>VÄRMLANDS LÄN</t>
        </is>
      </c>
      <c r="E724" t="inlineStr">
        <is>
          <t>TORSBY</t>
        </is>
      </c>
      <c r="F724" t="inlineStr">
        <is>
          <t>Bergvik skog väst AB</t>
        </is>
      </c>
      <c r="G724" t="n">
        <v>0.8</v>
      </c>
      <c r="H724" t="n">
        <v>0</v>
      </c>
      <c r="I724" t="n">
        <v>0</v>
      </c>
      <c r="J724" t="n">
        <v>0</v>
      </c>
      <c r="K724" t="n">
        <v>0</v>
      </c>
      <c r="L724" t="n">
        <v>0</v>
      </c>
      <c r="M724" t="n">
        <v>0</v>
      </c>
      <c r="N724" t="n">
        <v>0</v>
      </c>
      <c r="O724" t="n">
        <v>0</v>
      </c>
      <c r="P724" t="n">
        <v>0</v>
      </c>
      <c r="Q724" t="n">
        <v>0</v>
      </c>
      <c r="R724" s="2" t="inlineStr"/>
    </row>
    <row r="725" ht="15" customHeight="1">
      <c r="A725" t="inlineStr">
        <is>
          <t>A 28559-2021</t>
        </is>
      </c>
      <c r="B725" s="1" t="n">
        <v>44356</v>
      </c>
      <c r="C725" s="1" t="n">
        <v>45822</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28562-2021</t>
        </is>
      </c>
      <c r="B726" s="1" t="n">
        <v>44356</v>
      </c>
      <c r="C726" s="1" t="n">
        <v>45822</v>
      </c>
      <c r="D726" t="inlineStr">
        <is>
          <t>VÄRMLANDS LÄN</t>
        </is>
      </c>
      <c r="E726" t="inlineStr">
        <is>
          <t>TORSBY</t>
        </is>
      </c>
      <c r="G726" t="n">
        <v>4.4</v>
      </c>
      <c r="H726" t="n">
        <v>0</v>
      </c>
      <c r="I726" t="n">
        <v>0</v>
      </c>
      <c r="J726" t="n">
        <v>0</v>
      </c>
      <c r="K726" t="n">
        <v>0</v>
      </c>
      <c r="L726" t="n">
        <v>0</v>
      </c>
      <c r="M726" t="n">
        <v>0</v>
      </c>
      <c r="N726" t="n">
        <v>0</v>
      </c>
      <c r="O726" t="n">
        <v>0</v>
      </c>
      <c r="P726" t="n">
        <v>0</v>
      </c>
      <c r="Q726" t="n">
        <v>0</v>
      </c>
      <c r="R726" s="2" t="inlineStr"/>
    </row>
    <row r="727" ht="15" customHeight="1">
      <c r="A727" t="inlineStr">
        <is>
          <t>A 28940-2021</t>
        </is>
      </c>
      <c r="B727" s="1" t="n">
        <v>44358</v>
      </c>
      <c r="C727" s="1" t="n">
        <v>45822</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29495-2021</t>
        </is>
      </c>
      <c r="B728" s="1" t="n">
        <v>44361</v>
      </c>
      <c r="C728" s="1" t="n">
        <v>45822</v>
      </c>
      <c r="D728" t="inlineStr">
        <is>
          <t>VÄRMLANDS LÄN</t>
        </is>
      </c>
      <c r="E728" t="inlineStr">
        <is>
          <t>TORSBY</t>
        </is>
      </c>
      <c r="F728" t="inlineStr">
        <is>
          <t>Övriga Aktiebolag</t>
        </is>
      </c>
      <c r="G728" t="n">
        <v>38.2</v>
      </c>
      <c r="H728" t="n">
        <v>0</v>
      </c>
      <c r="I728" t="n">
        <v>0</v>
      </c>
      <c r="J728" t="n">
        <v>0</v>
      </c>
      <c r="K728" t="n">
        <v>0</v>
      </c>
      <c r="L728" t="n">
        <v>0</v>
      </c>
      <c r="M728" t="n">
        <v>0</v>
      </c>
      <c r="N728" t="n">
        <v>0</v>
      </c>
      <c r="O728" t="n">
        <v>0</v>
      </c>
      <c r="P728" t="n">
        <v>0</v>
      </c>
      <c r="Q728" t="n">
        <v>0</v>
      </c>
      <c r="R728" s="2" t="inlineStr"/>
    </row>
    <row r="729" ht="15" customHeight="1">
      <c r="A729" t="inlineStr">
        <is>
          <t>A 29457-2021</t>
        </is>
      </c>
      <c r="B729" s="1" t="n">
        <v>44361</v>
      </c>
      <c r="C729" s="1" t="n">
        <v>45822</v>
      </c>
      <c r="D729" t="inlineStr">
        <is>
          <t>VÄRMLANDS LÄN</t>
        </is>
      </c>
      <c r="E729" t="inlineStr">
        <is>
          <t>TORSBY</t>
        </is>
      </c>
      <c r="G729" t="n">
        <v>7.6</v>
      </c>
      <c r="H729" t="n">
        <v>0</v>
      </c>
      <c r="I729" t="n">
        <v>0</v>
      </c>
      <c r="J729" t="n">
        <v>0</v>
      </c>
      <c r="K729" t="n">
        <v>0</v>
      </c>
      <c r="L729" t="n">
        <v>0</v>
      </c>
      <c r="M729" t="n">
        <v>0</v>
      </c>
      <c r="N729" t="n">
        <v>0</v>
      </c>
      <c r="O729" t="n">
        <v>0</v>
      </c>
      <c r="P729" t="n">
        <v>0</v>
      </c>
      <c r="Q729" t="n">
        <v>0</v>
      </c>
      <c r="R729" s="2" t="inlineStr"/>
    </row>
    <row r="730" ht="15" customHeight="1">
      <c r="A730" t="inlineStr">
        <is>
          <t>A 29518-2021</t>
        </is>
      </c>
      <c r="B730" s="1" t="n">
        <v>44361</v>
      </c>
      <c r="C730" s="1" t="n">
        <v>45822</v>
      </c>
      <c r="D730" t="inlineStr">
        <is>
          <t>VÄRMLANDS LÄN</t>
        </is>
      </c>
      <c r="E730" t="inlineStr">
        <is>
          <t>TORSBY</t>
        </is>
      </c>
      <c r="F730" t="inlineStr">
        <is>
          <t>Bergvik skog väst AB</t>
        </is>
      </c>
      <c r="G730" t="n">
        <v>16.7</v>
      </c>
      <c r="H730" t="n">
        <v>0</v>
      </c>
      <c r="I730" t="n">
        <v>0</v>
      </c>
      <c r="J730" t="n">
        <v>0</v>
      </c>
      <c r="K730" t="n">
        <v>0</v>
      </c>
      <c r="L730" t="n">
        <v>0</v>
      </c>
      <c r="M730" t="n">
        <v>0</v>
      </c>
      <c r="N730" t="n">
        <v>0</v>
      </c>
      <c r="O730" t="n">
        <v>0</v>
      </c>
      <c r="P730" t="n">
        <v>0</v>
      </c>
      <c r="Q730" t="n">
        <v>0</v>
      </c>
      <c r="R730" s="2" t="inlineStr"/>
    </row>
    <row r="731" ht="15" customHeight="1">
      <c r="A731" t="inlineStr">
        <is>
          <t>A 29746-2021</t>
        </is>
      </c>
      <c r="B731" s="1" t="n">
        <v>44362</v>
      </c>
      <c r="C731" s="1" t="n">
        <v>45822</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30162-2021</t>
        </is>
      </c>
      <c r="B732" s="1" t="n">
        <v>44363</v>
      </c>
      <c r="C732" s="1" t="n">
        <v>45822</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30384-2021</t>
        </is>
      </c>
      <c r="B733" s="1" t="n">
        <v>44364</v>
      </c>
      <c r="C733" s="1" t="n">
        <v>45822</v>
      </c>
      <c r="D733" t="inlineStr">
        <is>
          <t>VÄRMLANDS LÄN</t>
        </is>
      </c>
      <c r="E733" t="inlineStr">
        <is>
          <t>TORSBY</t>
        </is>
      </c>
      <c r="G733" t="n">
        <v>2.8</v>
      </c>
      <c r="H733" t="n">
        <v>0</v>
      </c>
      <c r="I733" t="n">
        <v>0</v>
      </c>
      <c r="J733" t="n">
        <v>0</v>
      </c>
      <c r="K733" t="n">
        <v>0</v>
      </c>
      <c r="L733" t="n">
        <v>0</v>
      </c>
      <c r="M733" t="n">
        <v>0</v>
      </c>
      <c r="N733" t="n">
        <v>0</v>
      </c>
      <c r="O733" t="n">
        <v>0</v>
      </c>
      <c r="P733" t="n">
        <v>0</v>
      </c>
      <c r="Q733" t="n">
        <v>0</v>
      </c>
      <c r="R733" s="2" t="inlineStr"/>
    </row>
    <row r="734" ht="15" customHeight="1">
      <c r="A734" t="inlineStr">
        <is>
          <t>A 30802-2021</t>
        </is>
      </c>
      <c r="B734" s="1" t="n">
        <v>44365</v>
      </c>
      <c r="C734" s="1" t="n">
        <v>45822</v>
      </c>
      <c r="D734" t="inlineStr">
        <is>
          <t>VÄRMLANDS LÄN</t>
        </is>
      </c>
      <c r="E734" t="inlineStr">
        <is>
          <t>TORSBY</t>
        </is>
      </c>
      <c r="G734" t="n">
        <v>0.6</v>
      </c>
      <c r="H734" t="n">
        <v>0</v>
      </c>
      <c r="I734" t="n">
        <v>0</v>
      </c>
      <c r="J734" t="n">
        <v>0</v>
      </c>
      <c r="K734" t="n">
        <v>0</v>
      </c>
      <c r="L734" t="n">
        <v>0</v>
      </c>
      <c r="M734" t="n">
        <v>0</v>
      </c>
      <c r="N734" t="n">
        <v>0</v>
      </c>
      <c r="O734" t="n">
        <v>0</v>
      </c>
      <c r="P734" t="n">
        <v>0</v>
      </c>
      <c r="Q734" t="n">
        <v>0</v>
      </c>
      <c r="R734" s="2" t="inlineStr"/>
    </row>
    <row r="735" ht="15" customHeight="1">
      <c r="A735" t="inlineStr">
        <is>
          <t>A 31494-2021</t>
        </is>
      </c>
      <c r="B735" s="1" t="n">
        <v>44369</v>
      </c>
      <c r="C735" s="1" t="n">
        <v>45822</v>
      </c>
      <c r="D735" t="inlineStr">
        <is>
          <t>VÄRMLANDS LÄN</t>
        </is>
      </c>
      <c r="E735" t="inlineStr">
        <is>
          <t>TORSBY</t>
        </is>
      </c>
      <c r="G735" t="n">
        <v>3.5</v>
      </c>
      <c r="H735" t="n">
        <v>0</v>
      </c>
      <c r="I735" t="n">
        <v>0</v>
      </c>
      <c r="J735" t="n">
        <v>0</v>
      </c>
      <c r="K735" t="n">
        <v>0</v>
      </c>
      <c r="L735" t="n">
        <v>0</v>
      </c>
      <c r="M735" t="n">
        <v>0</v>
      </c>
      <c r="N735" t="n">
        <v>0</v>
      </c>
      <c r="O735" t="n">
        <v>0</v>
      </c>
      <c r="P735" t="n">
        <v>0</v>
      </c>
      <c r="Q735" t="n">
        <v>0</v>
      </c>
      <c r="R735" s="2" t="inlineStr"/>
    </row>
    <row r="736" ht="15" customHeight="1">
      <c r="A736" t="inlineStr">
        <is>
          <t>A 31493-2021</t>
        </is>
      </c>
      <c r="B736" s="1" t="n">
        <v>44369</v>
      </c>
      <c r="C736" s="1" t="n">
        <v>45822</v>
      </c>
      <c r="D736" t="inlineStr">
        <is>
          <t>VÄRMLANDS LÄN</t>
        </is>
      </c>
      <c r="E736" t="inlineStr">
        <is>
          <t>TORSBY</t>
        </is>
      </c>
      <c r="G736" t="n">
        <v>2.6</v>
      </c>
      <c r="H736" t="n">
        <v>0</v>
      </c>
      <c r="I736" t="n">
        <v>0</v>
      </c>
      <c r="J736" t="n">
        <v>0</v>
      </c>
      <c r="K736" t="n">
        <v>0</v>
      </c>
      <c r="L736" t="n">
        <v>0</v>
      </c>
      <c r="M736" t="n">
        <v>0</v>
      </c>
      <c r="N736" t="n">
        <v>0</v>
      </c>
      <c r="O736" t="n">
        <v>0</v>
      </c>
      <c r="P736" t="n">
        <v>0</v>
      </c>
      <c r="Q736" t="n">
        <v>0</v>
      </c>
      <c r="R736" s="2" t="inlineStr"/>
    </row>
    <row r="737" ht="15" customHeight="1">
      <c r="A737" t="inlineStr">
        <is>
          <t>A 31511-2021</t>
        </is>
      </c>
      <c r="B737" s="1" t="n">
        <v>44369</v>
      </c>
      <c r="C737" s="1" t="n">
        <v>45822</v>
      </c>
      <c r="D737" t="inlineStr">
        <is>
          <t>VÄRMLANDS LÄN</t>
        </is>
      </c>
      <c r="E737" t="inlineStr">
        <is>
          <t>TORSBY</t>
        </is>
      </c>
      <c r="G737" t="n">
        <v>1.1</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v>
      </c>
      <c r="C738" s="1" t="n">
        <v>45822</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31911-2021</t>
        </is>
      </c>
      <c r="B739" s="1" t="n">
        <v>44370</v>
      </c>
      <c r="C739" s="1" t="n">
        <v>45822</v>
      </c>
      <c r="D739" t="inlineStr">
        <is>
          <t>VÄRMLANDS LÄN</t>
        </is>
      </c>
      <c r="E739" t="inlineStr">
        <is>
          <t>TORSBY</t>
        </is>
      </c>
      <c r="G739" t="n">
        <v>2.6</v>
      </c>
      <c r="H739" t="n">
        <v>0</v>
      </c>
      <c r="I739" t="n">
        <v>0</v>
      </c>
      <c r="J739" t="n">
        <v>0</v>
      </c>
      <c r="K739" t="n">
        <v>0</v>
      </c>
      <c r="L739" t="n">
        <v>0</v>
      </c>
      <c r="M739" t="n">
        <v>0</v>
      </c>
      <c r="N739" t="n">
        <v>0</v>
      </c>
      <c r="O739" t="n">
        <v>0</v>
      </c>
      <c r="P739" t="n">
        <v>0</v>
      </c>
      <c r="Q739" t="n">
        <v>0</v>
      </c>
      <c r="R739" s="2" t="inlineStr"/>
    </row>
    <row r="740" ht="15" customHeight="1">
      <c r="A740" t="inlineStr">
        <is>
          <t>A 32696-2021</t>
        </is>
      </c>
      <c r="B740" s="1" t="n">
        <v>44375</v>
      </c>
      <c r="C740" s="1" t="n">
        <v>45822</v>
      </c>
      <c r="D740" t="inlineStr">
        <is>
          <t>VÄRMLANDS LÄN</t>
        </is>
      </c>
      <c r="E740" t="inlineStr">
        <is>
          <t>TORSBY</t>
        </is>
      </c>
      <c r="F740" t="inlineStr">
        <is>
          <t>Bergvik skog väst AB</t>
        </is>
      </c>
      <c r="G740" t="n">
        <v>14.8</v>
      </c>
      <c r="H740" t="n">
        <v>0</v>
      </c>
      <c r="I740" t="n">
        <v>0</v>
      </c>
      <c r="J740" t="n">
        <v>0</v>
      </c>
      <c r="K740" t="n">
        <v>0</v>
      </c>
      <c r="L740" t="n">
        <v>0</v>
      </c>
      <c r="M740" t="n">
        <v>0</v>
      </c>
      <c r="N740" t="n">
        <v>0</v>
      </c>
      <c r="O740" t="n">
        <v>0</v>
      </c>
      <c r="P740" t="n">
        <v>0</v>
      </c>
      <c r="Q740" t="n">
        <v>0</v>
      </c>
      <c r="R740" s="2" t="inlineStr"/>
    </row>
    <row r="741" ht="15" customHeight="1">
      <c r="A741" t="inlineStr">
        <is>
          <t>A 32821-2021</t>
        </is>
      </c>
      <c r="B741" s="1" t="n">
        <v>44375</v>
      </c>
      <c r="C741" s="1" t="n">
        <v>45822</v>
      </c>
      <c r="D741" t="inlineStr">
        <is>
          <t>VÄRMLANDS LÄN</t>
        </is>
      </c>
      <c r="E741" t="inlineStr">
        <is>
          <t>TORSBY</t>
        </is>
      </c>
      <c r="G741" t="n">
        <v>3.9</v>
      </c>
      <c r="H741" t="n">
        <v>0</v>
      </c>
      <c r="I741" t="n">
        <v>0</v>
      </c>
      <c r="J741" t="n">
        <v>0</v>
      </c>
      <c r="K741" t="n">
        <v>0</v>
      </c>
      <c r="L741" t="n">
        <v>0</v>
      </c>
      <c r="M741" t="n">
        <v>0</v>
      </c>
      <c r="N741" t="n">
        <v>0</v>
      </c>
      <c r="O741" t="n">
        <v>0</v>
      </c>
      <c r="P741" t="n">
        <v>0</v>
      </c>
      <c r="Q741" t="n">
        <v>0</v>
      </c>
      <c r="R741" s="2" t="inlineStr"/>
    </row>
    <row r="742" ht="15" customHeight="1">
      <c r="A742" t="inlineStr">
        <is>
          <t>A 32747-2021</t>
        </is>
      </c>
      <c r="B742" s="1" t="n">
        <v>44375</v>
      </c>
      <c r="C742" s="1" t="n">
        <v>45822</v>
      </c>
      <c r="D742" t="inlineStr">
        <is>
          <t>VÄRMLANDS LÄN</t>
        </is>
      </c>
      <c r="E742" t="inlineStr">
        <is>
          <t>TORSBY</t>
        </is>
      </c>
      <c r="G742" t="n">
        <v>6.3</v>
      </c>
      <c r="H742" t="n">
        <v>0</v>
      </c>
      <c r="I742" t="n">
        <v>0</v>
      </c>
      <c r="J742" t="n">
        <v>0</v>
      </c>
      <c r="K742" t="n">
        <v>0</v>
      </c>
      <c r="L742" t="n">
        <v>0</v>
      </c>
      <c r="M742" t="n">
        <v>0</v>
      </c>
      <c r="N742" t="n">
        <v>0</v>
      </c>
      <c r="O742" t="n">
        <v>0</v>
      </c>
      <c r="P742" t="n">
        <v>0</v>
      </c>
      <c r="Q742" t="n">
        <v>0</v>
      </c>
      <c r="R742" s="2" t="inlineStr"/>
    </row>
    <row r="743" ht="15" customHeight="1">
      <c r="A743" t="inlineStr">
        <is>
          <t>A 33146-2021</t>
        </is>
      </c>
      <c r="B743" s="1" t="n">
        <v>44376</v>
      </c>
      <c r="C743" s="1" t="n">
        <v>45822</v>
      </c>
      <c r="D743" t="inlineStr">
        <is>
          <t>VÄRMLANDS LÄN</t>
        </is>
      </c>
      <c r="E743" t="inlineStr">
        <is>
          <t>TORSBY</t>
        </is>
      </c>
      <c r="F743" t="inlineStr">
        <is>
          <t>Bergvik skog väst AB</t>
        </is>
      </c>
      <c r="G743" t="n">
        <v>44.5</v>
      </c>
      <c r="H743" t="n">
        <v>0</v>
      </c>
      <c r="I743" t="n">
        <v>0</v>
      </c>
      <c r="J743" t="n">
        <v>0</v>
      </c>
      <c r="K743" t="n">
        <v>0</v>
      </c>
      <c r="L743" t="n">
        <v>0</v>
      </c>
      <c r="M743" t="n">
        <v>0</v>
      </c>
      <c r="N743" t="n">
        <v>0</v>
      </c>
      <c r="O743" t="n">
        <v>0</v>
      </c>
      <c r="P743" t="n">
        <v>0</v>
      </c>
      <c r="Q743" t="n">
        <v>0</v>
      </c>
      <c r="R743" s="2" t="inlineStr"/>
    </row>
    <row r="744" ht="15" customHeight="1">
      <c r="A744" t="inlineStr">
        <is>
          <t>A 33182-2021</t>
        </is>
      </c>
      <c r="B744" s="1" t="n">
        <v>44376</v>
      </c>
      <c r="C744" s="1" t="n">
        <v>45822</v>
      </c>
      <c r="D744" t="inlineStr">
        <is>
          <t>VÄRMLANDS LÄN</t>
        </is>
      </c>
      <c r="E744" t="inlineStr">
        <is>
          <t>TORSBY</t>
        </is>
      </c>
      <c r="G744" t="n">
        <v>1.5</v>
      </c>
      <c r="H744" t="n">
        <v>0</v>
      </c>
      <c r="I744" t="n">
        <v>0</v>
      </c>
      <c r="J744" t="n">
        <v>0</v>
      </c>
      <c r="K744" t="n">
        <v>0</v>
      </c>
      <c r="L744" t="n">
        <v>0</v>
      </c>
      <c r="M744" t="n">
        <v>0</v>
      </c>
      <c r="N744" t="n">
        <v>0</v>
      </c>
      <c r="O744" t="n">
        <v>0</v>
      </c>
      <c r="P744" t="n">
        <v>0</v>
      </c>
      <c r="Q744" t="n">
        <v>0</v>
      </c>
      <c r="R744" s="2" t="inlineStr"/>
    </row>
    <row r="745" ht="15" customHeight="1">
      <c r="A745" t="inlineStr">
        <is>
          <t>A 33145-2021</t>
        </is>
      </c>
      <c r="B745" s="1" t="n">
        <v>44376</v>
      </c>
      <c r="C745" s="1" t="n">
        <v>45822</v>
      </c>
      <c r="D745" t="inlineStr">
        <is>
          <t>VÄRMLANDS LÄN</t>
        </is>
      </c>
      <c r="E745" t="inlineStr">
        <is>
          <t>TORSBY</t>
        </is>
      </c>
      <c r="G745" t="n">
        <v>1.3</v>
      </c>
      <c r="H745" t="n">
        <v>0</v>
      </c>
      <c r="I745" t="n">
        <v>0</v>
      </c>
      <c r="J745" t="n">
        <v>0</v>
      </c>
      <c r="K745" t="n">
        <v>0</v>
      </c>
      <c r="L745" t="n">
        <v>0</v>
      </c>
      <c r="M745" t="n">
        <v>0</v>
      </c>
      <c r="N745" t="n">
        <v>0</v>
      </c>
      <c r="O745" t="n">
        <v>0</v>
      </c>
      <c r="P745" t="n">
        <v>0</v>
      </c>
      <c r="Q745" t="n">
        <v>0</v>
      </c>
      <c r="R745" s="2" t="inlineStr"/>
    </row>
    <row r="746" ht="15" customHeight="1">
      <c r="A746" t="inlineStr">
        <is>
          <t>A 33149-2021</t>
        </is>
      </c>
      <c r="B746" s="1" t="n">
        <v>44376</v>
      </c>
      <c r="C746" s="1" t="n">
        <v>45822</v>
      </c>
      <c r="D746" t="inlineStr">
        <is>
          <t>VÄRMLANDS LÄN</t>
        </is>
      </c>
      <c r="E746" t="inlineStr">
        <is>
          <t>TORSBY</t>
        </is>
      </c>
      <c r="G746" t="n">
        <v>1.2</v>
      </c>
      <c r="H746" t="n">
        <v>0</v>
      </c>
      <c r="I746" t="n">
        <v>0</v>
      </c>
      <c r="J746" t="n">
        <v>0</v>
      </c>
      <c r="K746" t="n">
        <v>0</v>
      </c>
      <c r="L746" t="n">
        <v>0</v>
      </c>
      <c r="M746" t="n">
        <v>0</v>
      </c>
      <c r="N746" t="n">
        <v>0</v>
      </c>
      <c r="O746" t="n">
        <v>0</v>
      </c>
      <c r="P746" t="n">
        <v>0</v>
      </c>
      <c r="Q746" t="n">
        <v>0</v>
      </c>
      <c r="R746" s="2" t="inlineStr"/>
    </row>
    <row r="747" ht="15" customHeight="1">
      <c r="A747" t="inlineStr">
        <is>
          <t>A 33183-2021</t>
        </is>
      </c>
      <c r="B747" s="1" t="n">
        <v>44376</v>
      </c>
      <c r="C747" s="1" t="n">
        <v>45822</v>
      </c>
      <c r="D747" t="inlineStr">
        <is>
          <t>VÄRMLANDS LÄN</t>
        </is>
      </c>
      <c r="E747" t="inlineStr">
        <is>
          <t>TORSBY</t>
        </is>
      </c>
      <c r="G747" t="n">
        <v>2.3</v>
      </c>
      <c r="H747" t="n">
        <v>0</v>
      </c>
      <c r="I747" t="n">
        <v>0</v>
      </c>
      <c r="J747" t="n">
        <v>0</v>
      </c>
      <c r="K747" t="n">
        <v>0</v>
      </c>
      <c r="L747" t="n">
        <v>0</v>
      </c>
      <c r="M747" t="n">
        <v>0</v>
      </c>
      <c r="N747" t="n">
        <v>0</v>
      </c>
      <c r="O747" t="n">
        <v>0</v>
      </c>
      <c r="P747" t="n">
        <v>0</v>
      </c>
      <c r="Q747" t="n">
        <v>0</v>
      </c>
      <c r="R747" s="2" t="inlineStr"/>
    </row>
    <row r="748" ht="15" customHeight="1">
      <c r="A748" t="inlineStr">
        <is>
          <t>A 33517-2021</t>
        </is>
      </c>
      <c r="B748" s="1" t="n">
        <v>44377</v>
      </c>
      <c r="C748" s="1" t="n">
        <v>45822</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33515-2021</t>
        </is>
      </c>
      <c r="B749" s="1" t="n">
        <v>44377</v>
      </c>
      <c r="C749" s="1" t="n">
        <v>45822</v>
      </c>
      <c r="D749" t="inlineStr">
        <is>
          <t>VÄRMLANDS LÄN</t>
        </is>
      </c>
      <c r="E749" t="inlineStr">
        <is>
          <t>TORSBY</t>
        </is>
      </c>
      <c r="G749" t="n">
        <v>3.5</v>
      </c>
      <c r="H749" t="n">
        <v>0</v>
      </c>
      <c r="I749" t="n">
        <v>0</v>
      </c>
      <c r="J749" t="n">
        <v>0</v>
      </c>
      <c r="K749" t="n">
        <v>0</v>
      </c>
      <c r="L749" t="n">
        <v>0</v>
      </c>
      <c r="M749" t="n">
        <v>0</v>
      </c>
      <c r="N749" t="n">
        <v>0</v>
      </c>
      <c r="O749" t="n">
        <v>0</v>
      </c>
      <c r="P749" t="n">
        <v>0</v>
      </c>
      <c r="Q749" t="n">
        <v>0</v>
      </c>
      <c r="R749" s="2" t="inlineStr"/>
    </row>
    <row r="750" ht="15" customHeight="1">
      <c r="A750" t="inlineStr">
        <is>
          <t>A 33839-2021</t>
        </is>
      </c>
      <c r="B750" s="1" t="n">
        <v>44378</v>
      </c>
      <c r="C750" s="1" t="n">
        <v>45822</v>
      </c>
      <c r="D750" t="inlineStr">
        <is>
          <t>VÄRMLANDS LÄN</t>
        </is>
      </c>
      <c r="E750" t="inlineStr">
        <is>
          <t>TORSBY</t>
        </is>
      </c>
      <c r="F750" t="inlineStr">
        <is>
          <t>Bergvik skog väst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33853-2021</t>
        </is>
      </c>
      <c r="B751" s="1" t="n">
        <v>44378</v>
      </c>
      <c r="C751" s="1" t="n">
        <v>45822</v>
      </c>
      <c r="D751" t="inlineStr">
        <is>
          <t>VÄRMLANDS LÄN</t>
        </is>
      </c>
      <c r="E751" t="inlineStr">
        <is>
          <t>TORSBY</t>
        </is>
      </c>
      <c r="F751" t="inlineStr">
        <is>
          <t>Bergvik skog väst AB</t>
        </is>
      </c>
      <c r="G751" t="n">
        <v>2</v>
      </c>
      <c r="H751" t="n">
        <v>0</v>
      </c>
      <c r="I751" t="n">
        <v>0</v>
      </c>
      <c r="J751" t="n">
        <v>0</v>
      </c>
      <c r="K751" t="n">
        <v>0</v>
      </c>
      <c r="L751" t="n">
        <v>0</v>
      </c>
      <c r="M751" t="n">
        <v>0</v>
      </c>
      <c r="N751" t="n">
        <v>0</v>
      </c>
      <c r="O751" t="n">
        <v>0</v>
      </c>
      <c r="P751" t="n">
        <v>0</v>
      </c>
      <c r="Q751" t="n">
        <v>0</v>
      </c>
      <c r="R751" s="2" t="inlineStr"/>
    </row>
    <row r="752" ht="15" customHeight="1">
      <c r="A752" t="inlineStr">
        <is>
          <t>A 33937-2021</t>
        </is>
      </c>
      <c r="B752" s="1" t="n">
        <v>44378</v>
      </c>
      <c r="C752" s="1" t="n">
        <v>45822</v>
      </c>
      <c r="D752" t="inlineStr">
        <is>
          <t>VÄRMLANDS LÄN</t>
        </is>
      </c>
      <c r="E752" t="inlineStr">
        <is>
          <t>TORSBY</t>
        </is>
      </c>
      <c r="G752" t="n">
        <v>3.1</v>
      </c>
      <c r="H752" t="n">
        <v>0</v>
      </c>
      <c r="I752" t="n">
        <v>0</v>
      </c>
      <c r="J752" t="n">
        <v>0</v>
      </c>
      <c r="K752" t="n">
        <v>0</v>
      </c>
      <c r="L752" t="n">
        <v>0</v>
      </c>
      <c r="M752" t="n">
        <v>0</v>
      </c>
      <c r="N752" t="n">
        <v>0</v>
      </c>
      <c r="O752" t="n">
        <v>0</v>
      </c>
      <c r="P752" t="n">
        <v>0</v>
      </c>
      <c r="Q752" t="n">
        <v>0</v>
      </c>
      <c r="R752" s="2" t="inlineStr"/>
    </row>
    <row r="753" ht="15" customHeight="1">
      <c r="A753" t="inlineStr">
        <is>
          <t>A 34626-2021</t>
        </is>
      </c>
      <c r="B753" s="1" t="n">
        <v>44382</v>
      </c>
      <c r="C753" s="1" t="n">
        <v>45822</v>
      </c>
      <c r="D753" t="inlineStr">
        <is>
          <t>VÄRMLANDS LÄN</t>
        </is>
      </c>
      <c r="E753" t="inlineStr">
        <is>
          <t>TORSBY</t>
        </is>
      </c>
      <c r="G753" t="n">
        <v>2.1</v>
      </c>
      <c r="H753" t="n">
        <v>0</v>
      </c>
      <c r="I753" t="n">
        <v>0</v>
      </c>
      <c r="J753" t="n">
        <v>0</v>
      </c>
      <c r="K753" t="n">
        <v>0</v>
      </c>
      <c r="L753" t="n">
        <v>0</v>
      </c>
      <c r="M753" t="n">
        <v>0</v>
      </c>
      <c r="N753" t="n">
        <v>0</v>
      </c>
      <c r="O753" t="n">
        <v>0</v>
      </c>
      <c r="P753" t="n">
        <v>0</v>
      </c>
      <c r="Q753" t="n">
        <v>0</v>
      </c>
      <c r="R753" s="2" t="inlineStr"/>
    </row>
    <row r="754" ht="15" customHeight="1">
      <c r="A754" t="inlineStr">
        <is>
          <t>A 34694-2021</t>
        </is>
      </c>
      <c r="B754" s="1" t="n">
        <v>44382</v>
      </c>
      <c r="C754" s="1" t="n">
        <v>45822</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34885-2021</t>
        </is>
      </c>
      <c r="B755" s="1" t="n">
        <v>44383</v>
      </c>
      <c r="C755" s="1" t="n">
        <v>45822</v>
      </c>
      <c r="D755" t="inlineStr">
        <is>
          <t>VÄRMLANDS LÄN</t>
        </is>
      </c>
      <c r="E755" t="inlineStr">
        <is>
          <t>TORSBY</t>
        </is>
      </c>
      <c r="G755" t="n">
        <v>8.9</v>
      </c>
      <c r="H755" t="n">
        <v>0</v>
      </c>
      <c r="I755" t="n">
        <v>0</v>
      </c>
      <c r="J755" t="n">
        <v>0</v>
      </c>
      <c r="K755" t="n">
        <v>0</v>
      </c>
      <c r="L755" t="n">
        <v>0</v>
      </c>
      <c r="M755" t="n">
        <v>0</v>
      </c>
      <c r="N755" t="n">
        <v>0</v>
      </c>
      <c r="O755" t="n">
        <v>0</v>
      </c>
      <c r="P755" t="n">
        <v>0</v>
      </c>
      <c r="Q755" t="n">
        <v>0</v>
      </c>
      <c r="R755" s="2" t="inlineStr"/>
    </row>
    <row r="756" ht="15" customHeight="1">
      <c r="A756" t="inlineStr">
        <is>
          <t>A 35221-2021</t>
        </is>
      </c>
      <c r="B756" s="1" t="n">
        <v>44384</v>
      </c>
      <c r="C756" s="1" t="n">
        <v>45822</v>
      </c>
      <c r="D756" t="inlineStr">
        <is>
          <t>VÄRMLANDS LÄN</t>
        </is>
      </c>
      <c r="E756" t="inlineStr">
        <is>
          <t>TORSBY</t>
        </is>
      </c>
      <c r="G756" t="n">
        <v>0.9</v>
      </c>
      <c r="H756" t="n">
        <v>0</v>
      </c>
      <c r="I756" t="n">
        <v>0</v>
      </c>
      <c r="J756" t="n">
        <v>0</v>
      </c>
      <c r="K756" t="n">
        <v>0</v>
      </c>
      <c r="L756" t="n">
        <v>0</v>
      </c>
      <c r="M756" t="n">
        <v>0</v>
      </c>
      <c r="N756" t="n">
        <v>0</v>
      </c>
      <c r="O756" t="n">
        <v>0</v>
      </c>
      <c r="P756" t="n">
        <v>0</v>
      </c>
      <c r="Q756" t="n">
        <v>0</v>
      </c>
      <c r="R756" s="2" t="inlineStr"/>
    </row>
    <row r="757" ht="15" customHeight="1">
      <c r="A757" t="inlineStr">
        <is>
          <t>A 35586-2021</t>
        </is>
      </c>
      <c r="B757" s="1" t="n">
        <v>44386</v>
      </c>
      <c r="C757" s="1" t="n">
        <v>45822</v>
      </c>
      <c r="D757" t="inlineStr">
        <is>
          <t>VÄRMLANDS LÄN</t>
        </is>
      </c>
      <c r="E757" t="inlineStr">
        <is>
          <t>TORSBY</t>
        </is>
      </c>
      <c r="F757" t="inlineStr">
        <is>
          <t>Bergvik skog väst AB</t>
        </is>
      </c>
      <c r="G757" t="n">
        <v>5.1</v>
      </c>
      <c r="H757" t="n">
        <v>0</v>
      </c>
      <c r="I757" t="n">
        <v>0</v>
      </c>
      <c r="J757" t="n">
        <v>0</v>
      </c>
      <c r="K757" t="n">
        <v>0</v>
      </c>
      <c r="L757" t="n">
        <v>0</v>
      </c>
      <c r="M757" t="n">
        <v>0</v>
      </c>
      <c r="N757" t="n">
        <v>0</v>
      </c>
      <c r="O757" t="n">
        <v>0</v>
      </c>
      <c r="P757" t="n">
        <v>0</v>
      </c>
      <c r="Q757" t="n">
        <v>0</v>
      </c>
      <c r="R757" s="2" t="inlineStr"/>
    </row>
    <row r="758" ht="15" customHeight="1">
      <c r="A758" t="inlineStr">
        <is>
          <t>A 35907-2021</t>
        </is>
      </c>
      <c r="B758" s="1" t="n">
        <v>44387</v>
      </c>
      <c r="C758" s="1" t="n">
        <v>45822</v>
      </c>
      <c r="D758" t="inlineStr">
        <is>
          <t>VÄRMLANDS LÄN</t>
        </is>
      </c>
      <c r="E758" t="inlineStr">
        <is>
          <t>TORSBY</t>
        </is>
      </c>
      <c r="G758" t="n">
        <v>3</v>
      </c>
      <c r="H758" t="n">
        <v>0</v>
      </c>
      <c r="I758" t="n">
        <v>0</v>
      </c>
      <c r="J758" t="n">
        <v>0</v>
      </c>
      <c r="K758" t="n">
        <v>0</v>
      </c>
      <c r="L758" t="n">
        <v>0</v>
      </c>
      <c r="M758" t="n">
        <v>0</v>
      </c>
      <c r="N758" t="n">
        <v>0</v>
      </c>
      <c r="O758" t="n">
        <v>0</v>
      </c>
      <c r="P758" t="n">
        <v>0</v>
      </c>
      <c r="Q758" t="n">
        <v>0</v>
      </c>
      <c r="R758" s="2" t="inlineStr"/>
    </row>
    <row r="759" ht="15" customHeight="1">
      <c r="A759" t="inlineStr">
        <is>
          <t>A 35909-2021</t>
        </is>
      </c>
      <c r="B759" s="1" t="n">
        <v>44387</v>
      </c>
      <c r="C759" s="1" t="n">
        <v>45822</v>
      </c>
      <c r="D759" t="inlineStr">
        <is>
          <t>VÄRMLANDS LÄN</t>
        </is>
      </c>
      <c r="E759" t="inlineStr">
        <is>
          <t>TORSBY</t>
        </is>
      </c>
      <c r="G759" t="n">
        <v>3.3</v>
      </c>
      <c r="H759" t="n">
        <v>0</v>
      </c>
      <c r="I759" t="n">
        <v>0</v>
      </c>
      <c r="J759" t="n">
        <v>0</v>
      </c>
      <c r="K759" t="n">
        <v>0</v>
      </c>
      <c r="L759" t="n">
        <v>0</v>
      </c>
      <c r="M759" t="n">
        <v>0</v>
      </c>
      <c r="N759" t="n">
        <v>0</v>
      </c>
      <c r="O759" t="n">
        <v>0</v>
      </c>
      <c r="P759" t="n">
        <v>0</v>
      </c>
      <c r="Q759" t="n">
        <v>0</v>
      </c>
      <c r="R759" s="2" t="inlineStr"/>
    </row>
    <row r="760" ht="15" customHeight="1">
      <c r="A760" t="inlineStr">
        <is>
          <t>A 36189-2021</t>
        </is>
      </c>
      <c r="B760" s="1" t="n">
        <v>44389</v>
      </c>
      <c r="C760" s="1" t="n">
        <v>45822</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36186-2021</t>
        </is>
      </c>
      <c r="B761" s="1" t="n">
        <v>44389</v>
      </c>
      <c r="C761" s="1" t="n">
        <v>45822</v>
      </c>
      <c r="D761" t="inlineStr">
        <is>
          <t>VÄRMLANDS LÄN</t>
        </is>
      </c>
      <c r="E761" t="inlineStr">
        <is>
          <t>TORSBY</t>
        </is>
      </c>
      <c r="G761" t="n">
        <v>1</v>
      </c>
      <c r="H761" t="n">
        <v>0</v>
      </c>
      <c r="I761" t="n">
        <v>0</v>
      </c>
      <c r="J761" t="n">
        <v>0</v>
      </c>
      <c r="K761" t="n">
        <v>0</v>
      </c>
      <c r="L761" t="n">
        <v>0</v>
      </c>
      <c r="M761" t="n">
        <v>0</v>
      </c>
      <c r="N761" t="n">
        <v>0</v>
      </c>
      <c r="O761" t="n">
        <v>0</v>
      </c>
      <c r="P761" t="n">
        <v>0</v>
      </c>
      <c r="Q761" t="n">
        <v>0</v>
      </c>
      <c r="R761" s="2" t="inlineStr"/>
    </row>
    <row r="762" ht="15" customHeight="1">
      <c r="A762" t="inlineStr">
        <is>
          <t>A 36327-2021</t>
        </is>
      </c>
      <c r="B762" s="1" t="n">
        <v>44390</v>
      </c>
      <c r="C762" s="1" t="n">
        <v>45822</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36589-2021</t>
        </is>
      </c>
      <c r="B763" s="1" t="n">
        <v>44391</v>
      </c>
      <c r="C763" s="1" t="n">
        <v>45822</v>
      </c>
      <c r="D763" t="inlineStr">
        <is>
          <t>VÄRMLANDS LÄN</t>
        </is>
      </c>
      <c r="E763" t="inlineStr">
        <is>
          <t>TORSBY</t>
        </is>
      </c>
      <c r="G763" t="n">
        <v>3.9</v>
      </c>
      <c r="H763" t="n">
        <v>0</v>
      </c>
      <c r="I763" t="n">
        <v>0</v>
      </c>
      <c r="J763" t="n">
        <v>0</v>
      </c>
      <c r="K763" t="n">
        <v>0</v>
      </c>
      <c r="L763" t="n">
        <v>0</v>
      </c>
      <c r="M763" t="n">
        <v>0</v>
      </c>
      <c r="N763" t="n">
        <v>0</v>
      </c>
      <c r="O763" t="n">
        <v>0</v>
      </c>
      <c r="P763" t="n">
        <v>0</v>
      </c>
      <c r="Q763" t="n">
        <v>0</v>
      </c>
      <c r="R763" s="2" t="inlineStr"/>
    </row>
    <row r="764" ht="15" customHeight="1">
      <c r="A764" t="inlineStr">
        <is>
          <t>A 36700-2021</t>
        </is>
      </c>
      <c r="B764" s="1" t="n">
        <v>44392</v>
      </c>
      <c r="C764" s="1" t="n">
        <v>45822</v>
      </c>
      <c r="D764" t="inlineStr">
        <is>
          <t>VÄRMLANDS LÄN</t>
        </is>
      </c>
      <c r="E764" t="inlineStr">
        <is>
          <t>TORSBY</t>
        </is>
      </c>
      <c r="F764" t="inlineStr">
        <is>
          <t>Bergvik skog väst AB</t>
        </is>
      </c>
      <c r="G764" t="n">
        <v>9.9</v>
      </c>
      <c r="H764" t="n">
        <v>0</v>
      </c>
      <c r="I764" t="n">
        <v>0</v>
      </c>
      <c r="J764" t="n">
        <v>0</v>
      </c>
      <c r="K764" t="n">
        <v>0</v>
      </c>
      <c r="L764" t="n">
        <v>0</v>
      </c>
      <c r="M764" t="n">
        <v>0</v>
      </c>
      <c r="N764" t="n">
        <v>0</v>
      </c>
      <c r="O764" t="n">
        <v>0</v>
      </c>
      <c r="P764" t="n">
        <v>0</v>
      </c>
      <c r="Q764" t="n">
        <v>0</v>
      </c>
      <c r="R764" s="2" t="inlineStr"/>
    </row>
    <row r="765" ht="15" customHeight="1">
      <c r="A765" t="inlineStr">
        <is>
          <t>A 37074-2021</t>
        </is>
      </c>
      <c r="B765" s="1" t="n">
        <v>44394</v>
      </c>
      <c r="C765" s="1" t="n">
        <v>45822</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37075-2021</t>
        </is>
      </c>
      <c r="B766" s="1" t="n">
        <v>44394</v>
      </c>
      <c r="C766" s="1" t="n">
        <v>45822</v>
      </c>
      <c r="D766" t="inlineStr">
        <is>
          <t>VÄRMLANDS LÄN</t>
        </is>
      </c>
      <c r="E766" t="inlineStr">
        <is>
          <t>TORSBY</t>
        </is>
      </c>
      <c r="G766" t="n">
        <v>3.2</v>
      </c>
      <c r="H766" t="n">
        <v>0</v>
      </c>
      <c r="I766" t="n">
        <v>0</v>
      </c>
      <c r="J766" t="n">
        <v>0</v>
      </c>
      <c r="K766" t="n">
        <v>0</v>
      </c>
      <c r="L766" t="n">
        <v>0</v>
      </c>
      <c r="M766" t="n">
        <v>0</v>
      </c>
      <c r="N766" t="n">
        <v>0</v>
      </c>
      <c r="O766" t="n">
        <v>0</v>
      </c>
      <c r="P766" t="n">
        <v>0</v>
      </c>
      <c r="Q766" t="n">
        <v>0</v>
      </c>
      <c r="R766" s="2" t="inlineStr"/>
    </row>
    <row r="767" ht="15" customHeight="1">
      <c r="A767" t="inlineStr">
        <is>
          <t>A 37225-2021</t>
        </is>
      </c>
      <c r="B767" s="1" t="n">
        <v>44396</v>
      </c>
      <c r="C767" s="1" t="n">
        <v>45822</v>
      </c>
      <c r="D767" t="inlineStr">
        <is>
          <t>VÄRMLANDS LÄN</t>
        </is>
      </c>
      <c r="E767" t="inlineStr">
        <is>
          <t>TORSBY</t>
        </is>
      </c>
      <c r="G767" t="n">
        <v>1.3</v>
      </c>
      <c r="H767" t="n">
        <v>0</v>
      </c>
      <c r="I767" t="n">
        <v>0</v>
      </c>
      <c r="J767" t="n">
        <v>0</v>
      </c>
      <c r="K767" t="n">
        <v>0</v>
      </c>
      <c r="L767" t="n">
        <v>0</v>
      </c>
      <c r="M767" t="n">
        <v>0</v>
      </c>
      <c r="N767" t="n">
        <v>0</v>
      </c>
      <c r="O767" t="n">
        <v>0</v>
      </c>
      <c r="P767" t="n">
        <v>0</v>
      </c>
      <c r="Q767" t="n">
        <v>0</v>
      </c>
      <c r="R767" s="2" t="inlineStr"/>
    </row>
    <row r="768" ht="15" customHeight="1">
      <c r="A768" t="inlineStr">
        <is>
          <t>A 37609-2021</t>
        </is>
      </c>
      <c r="B768" s="1" t="n">
        <v>44399</v>
      </c>
      <c r="C768" s="1" t="n">
        <v>45822</v>
      </c>
      <c r="D768" t="inlineStr">
        <is>
          <t>VÄRMLANDS LÄN</t>
        </is>
      </c>
      <c r="E768" t="inlineStr">
        <is>
          <t>TORSBY</t>
        </is>
      </c>
      <c r="G768" t="n">
        <v>0.2</v>
      </c>
      <c r="H768" t="n">
        <v>0</v>
      </c>
      <c r="I768" t="n">
        <v>0</v>
      </c>
      <c r="J768" t="n">
        <v>0</v>
      </c>
      <c r="K768" t="n">
        <v>0</v>
      </c>
      <c r="L768" t="n">
        <v>0</v>
      </c>
      <c r="M768" t="n">
        <v>0</v>
      </c>
      <c r="N768" t="n">
        <v>0</v>
      </c>
      <c r="O768" t="n">
        <v>0</v>
      </c>
      <c r="P768" t="n">
        <v>0</v>
      </c>
      <c r="Q768" t="n">
        <v>0</v>
      </c>
      <c r="R768" s="2" t="inlineStr"/>
    </row>
    <row r="769" ht="15" customHeight="1">
      <c r="A769" t="inlineStr">
        <is>
          <t>A 37608-2021</t>
        </is>
      </c>
      <c r="B769" s="1" t="n">
        <v>44399</v>
      </c>
      <c r="C769" s="1" t="n">
        <v>45822</v>
      </c>
      <c r="D769" t="inlineStr">
        <is>
          <t>VÄRMLANDS LÄN</t>
        </is>
      </c>
      <c r="E769" t="inlineStr">
        <is>
          <t>TORSBY</t>
        </is>
      </c>
      <c r="G769" t="n">
        <v>1.7</v>
      </c>
      <c r="H769" t="n">
        <v>0</v>
      </c>
      <c r="I769" t="n">
        <v>0</v>
      </c>
      <c r="J769" t="n">
        <v>0</v>
      </c>
      <c r="K769" t="n">
        <v>0</v>
      </c>
      <c r="L769" t="n">
        <v>0</v>
      </c>
      <c r="M769" t="n">
        <v>0</v>
      </c>
      <c r="N769" t="n">
        <v>0</v>
      </c>
      <c r="O769" t="n">
        <v>0</v>
      </c>
      <c r="P769" t="n">
        <v>0</v>
      </c>
      <c r="Q769" t="n">
        <v>0</v>
      </c>
      <c r="R769" s="2" t="inlineStr"/>
    </row>
    <row r="770" ht="15" customHeight="1">
      <c r="A770" t="inlineStr">
        <is>
          <t>A 38467-2021</t>
        </is>
      </c>
      <c r="B770" s="1" t="n">
        <v>44405</v>
      </c>
      <c r="C770" s="1" t="n">
        <v>45822</v>
      </c>
      <c r="D770" t="inlineStr">
        <is>
          <t>VÄRMLANDS LÄN</t>
        </is>
      </c>
      <c r="E770" t="inlineStr">
        <is>
          <t>TORSBY</t>
        </is>
      </c>
      <c r="G770" t="n">
        <v>2.8</v>
      </c>
      <c r="H770" t="n">
        <v>0</v>
      </c>
      <c r="I770" t="n">
        <v>0</v>
      </c>
      <c r="J770" t="n">
        <v>0</v>
      </c>
      <c r="K770" t="n">
        <v>0</v>
      </c>
      <c r="L770" t="n">
        <v>0</v>
      </c>
      <c r="M770" t="n">
        <v>0</v>
      </c>
      <c r="N770" t="n">
        <v>0</v>
      </c>
      <c r="O770" t="n">
        <v>0</v>
      </c>
      <c r="P770" t="n">
        <v>0</v>
      </c>
      <c r="Q770" t="n">
        <v>0</v>
      </c>
      <c r="R770" s="2" t="inlineStr"/>
    </row>
    <row r="771" ht="15" customHeight="1">
      <c r="A771" t="inlineStr">
        <is>
          <t>A 38229-2021</t>
        </is>
      </c>
      <c r="B771" s="1" t="n">
        <v>44405</v>
      </c>
      <c r="C771" s="1" t="n">
        <v>45822</v>
      </c>
      <c r="D771" t="inlineStr">
        <is>
          <t>VÄRMLANDS LÄN</t>
        </is>
      </c>
      <c r="E771" t="inlineStr">
        <is>
          <t>TORSBY</t>
        </is>
      </c>
      <c r="F771" t="inlineStr">
        <is>
          <t>Bergvik skog väst AB</t>
        </is>
      </c>
      <c r="G771" t="n">
        <v>2.7</v>
      </c>
      <c r="H771" t="n">
        <v>0</v>
      </c>
      <c r="I771" t="n">
        <v>0</v>
      </c>
      <c r="J771" t="n">
        <v>0</v>
      </c>
      <c r="K771" t="n">
        <v>0</v>
      </c>
      <c r="L771" t="n">
        <v>0</v>
      </c>
      <c r="M771" t="n">
        <v>0</v>
      </c>
      <c r="N771" t="n">
        <v>0</v>
      </c>
      <c r="O771" t="n">
        <v>0</v>
      </c>
      <c r="P771" t="n">
        <v>0</v>
      </c>
      <c r="Q771" t="n">
        <v>0</v>
      </c>
      <c r="R771" s="2" t="inlineStr"/>
    </row>
    <row r="772" ht="15" customHeight="1">
      <c r="A772" t="inlineStr">
        <is>
          <t>A 38298-2021</t>
        </is>
      </c>
      <c r="B772" s="1" t="n">
        <v>44406</v>
      </c>
      <c r="C772" s="1" t="n">
        <v>45822</v>
      </c>
      <c r="D772" t="inlineStr">
        <is>
          <t>VÄRMLANDS LÄN</t>
        </is>
      </c>
      <c r="E772" t="inlineStr">
        <is>
          <t>TORSBY</t>
        </is>
      </c>
      <c r="G772" t="n">
        <v>3.3</v>
      </c>
      <c r="H772" t="n">
        <v>0</v>
      </c>
      <c r="I772" t="n">
        <v>0</v>
      </c>
      <c r="J772" t="n">
        <v>0</v>
      </c>
      <c r="K772" t="n">
        <v>0</v>
      </c>
      <c r="L772" t="n">
        <v>0</v>
      </c>
      <c r="M772" t="n">
        <v>0</v>
      </c>
      <c r="N772" t="n">
        <v>0</v>
      </c>
      <c r="O772" t="n">
        <v>0</v>
      </c>
      <c r="P772" t="n">
        <v>0</v>
      </c>
      <c r="Q772" t="n">
        <v>0</v>
      </c>
      <c r="R772" s="2" t="inlineStr"/>
    </row>
    <row r="773" ht="15" customHeight="1">
      <c r="A773" t="inlineStr">
        <is>
          <t>A 38564-2021</t>
        </is>
      </c>
      <c r="B773" s="1" t="n">
        <v>44407</v>
      </c>
      <c r="C773" s="1" t="n">
        <v>45822</v>
      </c>
      <c r="D773" t="inlineStr">
        <is>
          <t>VÄRMLANDS LÄN</t>
        </is>
      </c>
      <c r="E773" t="inlineStr">
        <is>
          <t>TORSBY</t>
        </is>
      </c>
      <c r="F773" t="inlineStr">
        <is>
          <t>Bergvik skog väst AB</t>
        </is>
      </c>
      <c r="G773" t="n">
        <v>15.7</v>
      </c>
      <c r="H773" t="n">
        <v>0</v>
      </c>
      <c r="I773" t="n">
        <v>0</v>
      </c>
      <c r="J773" t="n">
        <v>0</v>
      </c>
      <c r="K773" t="n">
        <v>0</v>
      </c>
      <c r="L773" t="n">
        <v>0</v>
      </c>
      <c r="M773" t="n">
        <v>0</v>
      </c>
      <c r="N773" t="n">
        <v>0</v>
      </c>
      <c r="O773" t="n">
        <v>0</v>
      </c>
      <c r="P773" t="n">
        <v>0</v>
      </c>
      <c r="Q773" t="n">
        <v>0</v>
      </c>
      <c r="R773" s="2" t="inlineStr"/>
    </row>
    <row r="774" ht="15" customHeight="1">
      <c r="A774" t="inlineStr">
        <is>
          <t>A 38528-2021</t>
        </is>
      </c>
      <c r="B774" s="1" t="n">
        <v>44407</v>
      </c>
      <c r="C774" s="1" t="n">
        <v>45822</v>
      </c>
      <c r="D774" t="inlineStr">
        <is>
          <t>VÄRMLANDS LÄN</t>
        </is>
      </c>
      <c r="E774" t="inlineStr">
        <is>
          <t>TORSBY</t>
        </is>
      </c>
      <c r="F774" t="inlineStr">
        <is>
          <t>Bergvik skog väst AB</t>
        </is>
      </c>
      <c r="G774" t="n">
        <v>12.5</v>
      </c>
      <c r="H774" t="n">
        <v>0</v>
      </c>
      <c r="I774" t="n">
        <v>0</v>
      </c>
      <c r="J774" t="n">
        <v>0</v>
      </c>
      <c r="K774" t="n">
        <v>0</v>
      </c>
      <c r="L774" t="n">
        <v>0</v>
      </c>
      <c r="M774" t="n">
        <v>0</v>
      </c>
      <c r="N774" t="n">
        <v>0</v>
      </c>
      <c r="O774" t="n">
        <v>0</v>
      </c>
      <c r="P774" t="n">
        <v>0</v>
      </c>
      <c r="Q774" t="n">
        <v>0</v>
      </c>
      <c r="R774" s="2" t="inlineStr"/>
    </row>
    <row r="775" ht="15" customHeight="1">
      <c r="A775" t="inlineStr">
        <is>
          <t>A 38767-2021</t>
        </is>
      </c>
      <c r="B775" s="1" t="n">
        <v>44410</v>
      </c>
      <c r="C775" s="1" t="n">
        <v>45822</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38841-2021</t>
        </is>
      </c>
      <c r="B776" s="1" t="n">
        <v>44411</v>
      </c>
      <c r="C776" s="1" t="n">
        <v>45822</v>
      </c>
      <c r="D776" t="inlineStr">
        <is>
          <t>VÄRMLANDS LÄN</t>
        </is>
      </c>
      <c r="E776" t="inlineStr">
        <is>
          <t>TORSBY</t>
        </is>
      </c>
      <c r="F776" t="inlineStr">
        <is>
          <t>Bergvik skog väst AB</t>
        </is>
      </c>
      <c r="G776" t="n">
        <v>13.8</v>
      </c>
      <c r="H776" t="n">
        <v>0</v>
      </c>
      <c r="I776" t="n">
        <v>0</v>
      </c>
      <c r="J776" t="n">
        <v>0</v>
      </c>
      <c r="K776" t="n">
        <v>0</v>
      </c>
      <c r="L776" t="n">
        <v>0</v>
      </c>
      <c r="M776" t="n">
        <v>0</v>
      </c>
      <c r="N776" t="n">
        <v>0</v>
      </c>
      <c r="O776" t="n">
        <v>0</v>
      </c>
      <c r="P776" t="n">
        <v>0</v>
      </c>
      <c r="Q776" t="n">
        <v>0</v>
      </c>
      <c r="R776" s="2" t="inlineStr"/>
    </row>
    <row r="777" ht="15" customHeight="1">
      <c r="A777" t="inlineStr">
        <is>
          <t>A 39003-2021</t>
        </is>
      </c>
      <c r="B777" s="1" t="n">
        <v>44412</v>
      </c>
      <c r="C777" s="1" t="n">
        <v>45822</v>
      </c>
      <c r="D777" t="inlineStr">
        <is>
          <t>VÄRMLANDS LÄN</t>
        </is>
      </c>
      <c r="E777" t="inlineStr">
        <is>
          <t>TORSBY</t>
        </is>
      </c>
      <c r="F777" t="inlineStr">
        <is>
          <t>Bergvik skog väst AB</t>
        </is>
      </c>
      <c r="G777" t="n">
        <v>3.1</v>
      </c>
      <c r="H777" t="n">
        <v>0</v>
      </c>
      <c r="I777" t="n">
        <v>0</v>
      </c>
      <c r="J777" t="n">
        <v>0</v>
      </c>
      <c r="K777" t="n">
        <v>0</v>
      </c>
      <c r="L777" t="n">
        <v>0</v>
      </c>
      <c r="M777" t="n">
        <v>0</v>
      </c>
      <c r="N777" t="n">
        <v>0</v>
      </c>
      <c r="O777" t="n">
        <v>0</v>
      </c>
      <c r="P777" t="n">
        <v>0</v>
      </c>
      <c r="Q777" t="n">
        <v>0</v>
      </c>
      <c r="R777" s="2" t="inlineStr"/>
    </row>
    <row r="778" ht="15" customHeight="1">
      <c r="A778" t="inlineStr">
        <is>
          <t>A 39260-2021</t>
        </is>
      </c>
      <c r="B778" s="1" t="n">
        <v>44413</v>
      </c>
      <c r="C778" s="1" t="n">
        <v>45822</v>
      </c>
      <c r="D778" t="inlineStr">
        <is>
          <t>VÄRMLANDS LÄN</t>
        </is>
      </c>
      <c r="E778" t="inlineStr">
        <is>
          <t>TORSBY</t>
        </is>
      </c>
      <c r="G778" t="n">
        <v>4.7</v>
      </c>
      <c r="H778" t="n">
        <v>0</v>
      </c>
      <c r="I778" t="n">
        <v>0</v>
      </c>
      <c r="J778" t="n">
        <v>0</v>
      </c>
      <c r="K778" t="n">
        <v>0</v>
      </c>
      <c r="L778" t="n">
        <v>0</v>
      </c>
      <c r="M778" t="n">
        <v>0</v>
      </c>
      <c r="N778" t="n">
        <v>0</v>
      </c>
      <c r="O778" t="n">
        <v>0</v>
      </c>
      <c r="P778" t="n">
        <v>0</v>
      </c>
      <c r="Q778" t="n">
        <v>0</v>
      </c>
      <c r="R778" s="2" t="inlineStr"/>
    </row>
    <row r="779" ht="15" customHeight="1">
      <c r="A779" t="inlineStr">
        <is>
          <t>A 39642-2021</t>
        </is>
      </c>
      <c r="B779" s="1" t="n">
        <v>44417</v>
      </c>
      <c r="C779" s="1" t="n">
        <v>45822</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39826-2021</t>
        </is>
      </c>
      <c r="B780" s="1" t="n">
        <v>44417</v>
      </c>
      <c r="C780" s="1" t="n">
        <v>45822</v>
      </c>
      <c r="D780" t="inlineStr">
        <is>
          <t>VÄRMLANDS LÄN</t>
        </is>
      </c>
      <c r="E780" t="inlineStr">
        <is>
          <t>TORSBY</t>
        </is>
      </c>
      <c r="G780" t="n">
        <v>1.8</v>
      </c>
      <c r="H780" t="n">
        <v>0</v>
      </c>
      <c r="I780" t="n">
        <v>0</v>
      </c>
      <c r="J780" t="n">
        <v>0</v>
      </c>
      <c r="K780" t="n">
        <v>0</v>
      </c>
      <c r="L780" t="n">
        <v>0</v>
      </c>
      <c r="M780" t="n">
        <v>0</v>
      </c>
      <c r="N780" t="n">
        <v>0</v>
      </c>
      <c r="O780" t="n">
        <v>0</v>
      </c>
      <c r="P780" t="n">
        <v>0</v>
      </c>
      <c r="Q780" t="n">
        <v>0</v>
      </c>
      <c r="R780" s="2" t="inlineStr"/>
    </row>
    <row r="781" ht="15" customHeight="1">
      <c r="A781" t="inlineStr">
        <is>
          <t>A 39967-2021</t>
        </is>
      </c>
      <c r="B781" s="1" t="n">
        <v>44418</v>
      </c>
      <c r="C781" s="1" t="n">
        <v>45822</v>
      </c>
      <c r="D781" t="inlineStr">
        <is>
          <t>VÄRMLANDS LÄN</t>
        </is>
      </c>
      <c r="E781" t="inlineStr">
        <is>
          <t>TORSBY</t>
        </is>
      </c>
      <c r="F781" t="inlineStr">
        <is>
          <t>Bergvik skog väst AB</t>
        </is>
      </c>
      <c r="G781" t="n">
        <v>11.8</v>
      </c>
      <c r="H781" t="n">
        <v>0</v>
      </c>
      <c r="I781" t="n">
        <v>0</v>
      </c>
      <c r="J781" t="n">
        <v>0</v>
      </c>
      <c r="K781" t="n">
        <v>0</v>
      </c>
      <c r="L781" t="n">
        <v>0</v>
      </c>
      <c r="M781" t="n">
        <v>0</v>
      </c>
      <c r="N781" t="n">
        <v>0</v>
      </c>
      <c r="O781" t="n">
        <v>0</v>
      </c>
      <c r="P781" t="n">
        <v>0</v>
      </c>
      <c r="Q781" t="n">
        <v>0</v>
      </c>
      <c r="R781" s="2" t="inlineStr"/>
    </row>
    <row r="782" ht="15" customHeight="1">
      <c r="A782" t="inlineStr">
        <is>
          <t>A 40281-2021</t>
        </is>
      </c>
      <c r="B782" s="1" t="n">
        <v>44419</v>
      </c>
      <c r="C782" s="1" t="n">
        <v>45822</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40276-2021</t>
        </is>
      </c>
      <c r="B783" s="1" t="n">
        <v>44419</v>
      </c>
      <c r="C783" s="1" t="n">
        <v>45822</v>
      </c>
      <c r="D783" t="inlineStr">
        <is>
          <t>VÄRMLANDS LÄN</t>
        </is>
      </c>
      <c r="E783" t="inlineStr">
        <is>
          <t>TORSBY</t>
        </is>
      </c>
      <c r="G783" t="n">
        <v>2.2</v>
      </c>
      <c r="H783" t="n">
        <v>0</v>
      </c>
      <c r="I783" t="n">
        <v>0</v>
      </c>
      <c r="J783" t="n">
        <v>0</v>
      </c>
      <c r="K783" t="n">
        <v>0</v>
      </c>
      <c r="L783" t="n">
        <v>0</v>
      </c>
      <c r="M783" t="n">
        <v>0</v>
      </c>
      <c r="N783" t="n">
        <v>0</v>
      </c>
      <c r="O783" t="n">
        <v>0</v>
      </c>
      <c r="P783" t="n">
        <v>0</v>
      </c>
      <c r="Q783" t="n">
        <v>0</v>
      </c>
      <c r="R783" s="2" t="inlineStr"/>
    </row>
    <row r="784" ht="15" customHeight="1">
      <c r="A784" t="inlineStr">
        <is>
          <t>A 40278-2021</t>
        </is>
      </c>
      <c r="B784" s="1" t="n">
        <v>44419</v>
      </c>
      <c r="C784" s="1" t="n">
        <v>45822</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40282-2021</t>
        </is>
      </c>
      <c r="B785" s="1" t="n">
        <v>44419</v>
      </c>
      <c r="C785" s="1" t="n">
        <v>45822</v>
      </c>
      <c r="D785" t="inlineStr">
        <is>
          <t>VÄRMLANDS LÄN</t>
        </is>
      </c>
      <c r="E785" t="inlineStr">
        <is>
          <t>TORSBY</t>
        </is>
      </c>
      <c r="G785" t="n">
        <v>3.1</v>
      </c>
      <c r="H785" t="n">
        <v>0</v>
      </c>
      <c r="I785" t="n">
        <v>0</v>
      </c>
      <c r="J785" t="n">
        <v>0</v>
      </c>
      <c r="K785" t="n">
        <v>0</v>
      </c>
      <c r="L785" t="n">
        <v>0</v>
      </c>
      <c r="M785" t="n">
        <v>0</v>
      </c>
      <c r="N785" t="n">
        <v>0</v>
      </c>
      <c r="O785" t="n">
        <v>0</v>
      </c>
      <c r="P785" t="n">
        <v>0</v>
      </c>
      <c r="Q785" t="n">
        <v>0</v>
      </c>
      <c r="R785" s="2" t="inlineStr"/>
    </row>
    <row r="786" ht="15" customHeight="1">
      <c r="A786" t="inlineStr">
        <is>
          <t>A 40590-2021</t>
        </is>
      </c>
      <c r="B786" s="1" t="n">
        <v>44420</v>
      </c>
      <c r="C786" s="1" t="n">
        <v>45822</v>
      </c>
      <c r="D786" t="inlineStr">
        <is>
          <t>VÄRMLANDS LÄN</t>
        </is>
      </c>
      <c r="E786" t="inlineStr">
        <is>
          <t>TORSBY</t>
        </is>
      </c>
      <c r="G786" t="n">
        <v>0.9</v>
      </c>
      <c r="H786" t="n">
        <v>0</v>
      </c>
      <c r="I786" t="n">
        <v>0</v>
      </c>
      <c r="J786" t="n">
        <v>0</v>
      </c>
      <c r="K786" t="n">
        <v>0</v>
      </c>
      <c r="L786" t="n">
        <v>0</v>
      </c>
      <c r="M786" t="n">
        <v>0</v>
      </c>
      <c r="N786" t="n">
        <v>0</v>
      </c>
      <c r="O786" t="n">
        <v>0</v>
      </c>
      <c r="P786" t="n">
        <v>0</v>
      </c>
      <c r="Q786" t="n">
        <v>0</v>
      </c>
      <c r="R786" s="2" t="inlineStr"/>
    </row>
    <row r="787" ht="15" customHeight="1">
      <c r="A787" t="inlineStr">
        <is>
          <t>A 40876-2021</t>
        </is>
      </c>
      <c r="B787" s="1" t="n">
        <v>44421</v>
      </c>
      <c r="C787" s="1" t="n">
        <v>45822</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41253-2021</t>
        </is>
      </c>
      <c r="B788" s="1" t="n">
        <v>44424</v>
      </c>
      <c r="C788" s="1" t="n">
        <v>45822</v>
      </c>
      <c r="D788" t="inlineStr">
        <is>
          <t>VÄRMLANDS LÄN</t>
        </is>
      </c>
      <c r="E788" t="inlineStr">
        <is>
          <t>TORSBY</t>
        </is>
      </c>
      <c r="G788" t="n">
        <v>2</v>
      </c>
      <c r="H788" t="n">
        <v>0</v>
      </c>
      <c r="I788" t="n">
        <v>0</v>
      </c>
      <c r="J788" t="n">
        <v>0</v>
      </c>
      <c r="K788" t="n">
        <v>0</v>
      </c>
      <c r="L788" t="n">
        <v>0</v>
      </c>
      <c r="M788" t="n">
        <v>0</v>
      </c>
      <c r="N788" t="n">
        <v>0</v>
      </c>
      <c r="O788" t="n">
        <v>0</v>
      </c>
      <c r="P788" t="n">
        <v>0</v>
      </c>
      <c r="Q788" t="n">
        <v>0</v>
      </c>
      <c r="R788" s="2" t="inlineStr"/>
    </row>
    <row r="789" ht="15" customHeight="1">
      <c r="A789" t="inlineStr">
        <is>
          <t>A 41377-2021</t>
        </is>
      </c>
      <c r="B789" s="1" t="n">
        <v>44424</v>
      </c>
      <c r="C789" s="1" t="n">
        <v>45822</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41633-2021</t>
        </is>
      </c>
      <c r="B790" s="1" t="n">
        <v>44425</v>
      </c>
      <c r="C790" s="1" t="n">
        <v>45822</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41671-2021</t>
        </is>
      </c>
      <c r="B791" s="1" t="n">
        <v>44425</v>
      </c>
      <c r="C791" s="1" t="n">
        <v>45822</v>
      </c>
      <c r="D791" t="inlineStr">
        <is>
          <t>VÄRMLANDS LÄN</t>
        </is>
      </c>
      <c r="E791" t="inlineStr">
        <is>
          <t>TORSBY</t>
        </is>
      </c>
      <c r="F791" t="inlineStr">
        <is>
          <t>Övriga Aktiebolag</t>
        </is>
      </c>
      <c r="G791" t="n">
        <v>10.1</v>
      </c>
      <c r="H791" t="n">
        <v>0</v>
      </c>
      <c r="I791" t="n">
        <v>0</v>
      </c>
      <c r="J791" t="n">
        <v>0</v>
      </c>
      <c r="K791" t="n">
        <v>0</v>
      </c>
      <c r="L791" t="n">
        <v>0</v>
      </c>
      <c r="M791" t="n">
        <v>0</v>
      </c>
      <c r="N791" t="n">
        <v>0</v>
      </c>
      <c r="O791" t="n">
        <v>0</v>
      </c>
      <c r="P791" t="n">
        <v>0</v>
      </c>
      <c r="Q791" t="n">
        <v>0</v>
      </c>
      <c r="R791" s="2" t="inlineStr"/>
    </row>
    <row r="792" ht="15" customHeight="1">
      <c r="A792" t="inlineStr">
        <is>
          <t>A 41678-2021</t>
        </is>
      </c>
      <c r="B792" s="1" t="n">
        <v>44425</v>
      </c>
      <c r="C792" s="1" t="n">
        <v>45822</v>
      </c>
      <c r="D792" t="inlineStr">
        <is>
          <t>VÄRMLANDS LÄN</t>
        </is>
      </c>
      <c r="E792" t="inlineStr">
        <is>
          <t>TORSBY</t>
        </is>
      </c>
      <c r="G792" t="n">
        <v>4.3</v>
      </c>
      <c r="H792" t="n">
        <v>0</v>
      </c>
      <c r="I792" t="n">
        <v>0</v>
      </c>
      <c r="J792" t="n">
        <v>0</v>
      </c>
      <c r="K792" t="n">
        <v>0</v>
      </c>
      <c r="L792" t="n">
        <v>0</v>
      </c>
      <c r="M792" t="n">
        <v>0</v>
      </c>
      <c r="N792" t="n">
        <v>0</v>
      </c>
      <c r="O792" t="n">
        <v>0</v>
      </c>
      <c r="P792" t="n">
        <v>0</v>
      </c>
      <c r="Q792" t="n">
        <v>0</v>
      </c>
      <c r="R792" s="2" t="inlineStr"/>
    </row>
    <row r="793" ht="15" customHeight="1">
      <c r="A793" t="inlineStr">
        <is>
          <t>A 41808-2021</t>
        </is>
      </c>
      <c r="B793" s="1" t="n">
        <v>44425</v>
      </c>
      <c r="C793" s="1" t="n">
        <v>45822</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42347-2021</t>
        </is>
      </c>
      <c r="B794" s="1" t="n">
        <v>44427</v>
      </c>
      <c r="C794" s="1" t="n">
        <v>45822</v>
      </c>
      <c r="D794" t="inlineStr">
        <is>
          <t>VÄRMLANDS LÄN</t>
        </is>
      </c>
      <c r="E794" t="inlineStr">
        <is>
          <t>TORSBY</t>
        </is>
      </c>
      <c r="G794" t="n">
        <v>1.6</v>
      </c>
      <c r="H794" t="n">
        <v>0</v>
      </c>
      <c r="I794" t="n">
        <v>0</v>
      </c>
      <c r="J794" t="n">
        <v>0</v>
      </c>
      <c r="K794" t="n">
        <v>0</v>
      </c>
      <c r="L794" t="n">
        <v>0</v>
      </c>
      <c r="M794" t="n">
        <v>0</v>
      </c>
      <c r="N794" t="n">
        <v>0</v>
      </c>
      <c r="O794" t="n">
        <v>0</v>
      </c>
      <c r="P794" t="n">
        <v>0</v>
      </c>
      <c r="Q794" t="n">
        <v>0</v>
      </c>
      <c r="R794" s="2" t="inlineStr"/>
    </row>
    <row r="795" ht="15" customHeight="1">
      <c r="A795" t="inlineStr">
        <is>
          <t>A 42615-2021</t>
        </is>
      </c>
      <c r="B795" s="1" t="n">
        <v>44428</v>
      </c>
      <c r="C795" s="1" t="n">
        <v>45822</v>
      </c>
      <c r="D795" t="inlineStr">
        <is>
          <t>VÄRMLANDS LÄN</t>
        </is>
      </c>
      <c r="E795" t="inlineStr">
        <is>
          <t>TORSBY</t>
        </is>
      </c>
      <c r="F795" t="inlineStr">
        <is>
          <t>Bergvik skog väst AB</t>
        </is>
      </c>
      <c r="G795" t="n">
        <v>37.2</v>
      </c>
      <c r="H795" t="n">
        <v>0</v>
      </c>
      <c r="I795" t="n">
        <v>0</v>
      </c>
      <c r="J795" t="n">
        <v>0</v>
      </c>
      <c r="K795" t="n">
        <v>0</v>
      </c>
      <c r="L795" t="n">
        <v>0</v>
      </c>
      <c r="M795" t="n">
        <v>0</v>
      </c>
      <c r="N795" t="n">
        <v>0</v>
      </c>
      <c r="O795" t="n">
        <v>0</v>
      </c>
      <c r="P795" t="n">
        <v>0</v>
      </c>
      <c r="Q795" t="n">
        <v>0</v>
      </c>
      <c r="R795" s="2" t="inlineStr"/>
    </row>
    <row r="796" ht="15" customHeight="1">
      <c r="A796" t="inlineStr">
        <is>
          <t>A 42646-2021</t>
        </is>
      </c>
      <c r="B796" s="1" t="n">
        <v>44428</v>
      </c>
      <c r="C796" s="1" t="n">
        <v>45822</v>
      </c>
      <c r="D796" t="inlineStr">
        <is>
          <t>VÄRMLANDS LÄN</t>
        </is>
      </c>
      <c r="E796" t="inlineStr">
        <is>
          <t>TORSBY</t>
        </is>
      </c>
      <c r="F796" t="inlineStr">
        <is>
          <t>Bergvik skog väst AB</t>
        </is>
      </c>
      <c r="G796" t="n">
        <v>21.4</v>
      </c>
      <c r="H796" t="n">
        <v>0</v>
      </c>
      <c r="I796" t="n">
        <v>0</v>
      </c>
      <c r="J796" t="n">
        <v>0</v>
      </c>
      <c r="K796" t="n">
        <v>0</v>
      </c>
      <c r="L796" t="n">
        <v>0</v>
      </c>
      <c r="M796" t="n">
        <v>0</v>
      </c>
      <c r="N796" t="n">
        <v>0</v>
      </c>
      <c r="O796" t="n">
        <v>0</v>
      </c>
      <c r="P796" t="n">
        <v>0</v>
      </c>
      <c r="Q796" t="n">
        <v>0</v>
      </c>
      <c r="R796" s="2" t="inlineStr"/>
    </row>
    <row r="797" ht="15" customHeight="1">
      <c r="A797" t="inlineStr">
        <is>
          <t>A 43052-2021</t>
        </is>
      </c>
      <c r="B797" s="1" t="n">
        <v>44431</v>
      </c>
      <c r="C797" s="1" t="n">
        <v>45822</v>
      </c>
      <c r="D797" t="inlineStr">
        <is>
          <t>VÄRMLANDS LÄN</t>
        </is>
      </c>
      <c r="E797" t="inlineStr">
        <is>
          <t>TORSBY</t>
        </is>
      </c>
      <c r="G797" t="n">
        <v>25.1</v>
      </c>
      <c r="H797" t="n">
        <v>0</v>
      </c>
      <c r="I797" t="n">
        <v>0</v>
      </c>
      <c r="J797" t="n">
        <v>0</v>
      </c>
      <c r="K797" t="n">
        <v>0</v>
      </c>
      <c r="L797" t="n">
        <v>0</v>
      </c>
      <c r="M797" t="n">
        <v>0</v>
      </c>
      <c r="N797" t="n">
        <v>0</v>
      </c>
      <c r="O797" t="n">
        <v>0</v>
      </c>
      <c r="P797" t="n">
        <v>0</v>
      </c>
      <c r="Q797" t="n">
        <v>0</v>
      </c>
      <c r="R797" s="2" t="inlineStr"/>
    </row>
    <row r="798" ht="15" customHeight="1">
      <c r="A798" t="inlineStr">
        <is>
          <t>A 43060-2021</t>
        </is>
      </c>
      <c r="B798" s="1" t="n">
        <v>44431</v>
      </c>
      <c r="C798" s="1" t="n">
        <v>45822</v>
      </c>
      <c r="D798" t="inlineStr">
        <is>
          <t>VÄRMLANDS LÄN</t>
        </is>
      </c>
      <c r="E798" t="inlineStr">
        <is>
          <t>TORSBY</t>
        </is>
      </c>
      <c r="G798" t="n">
        <v>3.2</v>
      </c>
      <c r="H798" t="n">
        <v>0</v>
      </c>
      <c r="I798" t="n">
        <v>0</v>
      </c>
      <c r="J798" t="n">
        <v>0</v>
      </c>
      <c r="K798" t="n">
        <v>0</v>
      </c>
      <c r="L798" t="n">
        <v>0</v>
      </c>
      <c r="M798" t="n">
        <v>0</v>
      </c>
      <c r="N798" t="n">
        <v>0</v>
      </c>
      <c r="O798" t="n">
        <v>0</v>
      </c>
      <c r="P798" t="n">
        <v>0</v>
      </c>
      <c r="Q798" t="n">
        <v>0</v>
      </c>
      <c r="R798" s="2" t="inlineStr"/>
    </row>
    <row r="799" ht="15" customHeight="1">
      <c r="A799" t="inlineStr">
        <is>
          <t>A 43128-2021</t>
        </is>
      </c>
      <c r="B799" s="1" t="n">
        <v>44431</v>
      </c>
      <c r="C799" s="1" t="n">
        <v>45822</v>
      </c>
      <c r="D799" t="inlineStr">
        <is>
          <t>VÄRMLANDS LÄN</t>
        </is>
      </c>
      <c r="E799" t="inlineStr">
        <is>
          <t>TORSBY</t>
        </is>
      </c>
      <c r="G799" t="n">
        <v>10.9</v>
      </c>
      <c r="H799" t="n">
        <v>0</v>
      </c>
      <c r="I799" t="n">
        <v>0</v>
      </c>
      <c r="J799" t="n">
        <v>0</v>
      </c>
      <c r="K799" t="n">
        <v>0</v>
      </c>
      <c r="L799" t="n">
        <v>0</v>
      </c>
      <c r="M799" t="n">
        <v>0</v>
      </c>
      <c r="N799" t="n">
        <v>0</v>
      </c>
      <c r="O799" t="n">
        <v>0</v>
      </c>
      <c r="P799" t="n">
        <v>0</v>
      </c>
      <c r="Q799" t="n">
        <v>0</v>
      </c>
      <c r="R799" s="2" t="inlineStr"/>
    </row>
    <row r="800" ht="15" customHeight="1">
      <c r="A800" t="inlineStr">
        <is>
          <t>A 43136-2021</t>
        </is>
      </c>
      <c r="B800" s="1" t="n">
        <v>44431</v>
      </c>
      <c r="C800" s="1" t="n">
        <v>45822</v>
      </c>
      <c r="D800" t="inlineStr">
        <is>
          <t>VÄRMLANDS LÄN</t>
        </is>
      </c>
      <c r="E800" t="inlineStr">
        <is>
          <t>TORSBY</t>
        </is>
      </c>
      <c r="G800" t="n">
        <v>14.4</v>
      </c>
      <c r="H800" t="n">
        <v>0</v>
      </c>
      <c r="I800" t="n">
        <v>0</v>
      </c>
      <c r="J800" t="n">
        <v>0</v>
      </c>
      <c r="K800" t="n">
        <v>0</v>
      </c>
      <c r="L800" t="n">
        <v>0</v>
      </c>
      <c r="M800" t="n">
        <v>0</v>
      </c>
      <c r="N800" t="n">
        <v>0</v>
      </c>
      <c r="O800" t="n">
        <v>0</v>
      </c>
      <c r="P800" t="n">
        <v>0</v>
      </c>
      <c r="Q800" t="n">
        <v>0</v>
      </c>
      <c r="R800" s="2" t="inlineStr"/>
    </row>
    <row r="801" ht="15" customHeight="1">
      <c r="A801" t="inlineStr">
        <is>
          <t>A 43169-2021</t>
        </is>
      </c>
      <c r="B801" s="1" t="n">
        <v>44431</v>
      </c>
      <c r="C801" s="1" t="n">
        <v>45822</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43095-2021</t>
        </is>
      </c>
      <c r="B802" s="1" t="n">
        <v>44431</v>
      </c>
      <c r="C802" s="1" t="n">
        <v>45822</v>
      </c>
      <c r="D802" t="inlineStr">
        <is>
          <t>VÄRMLANDS LÄN</t>
        </is>
      </c>
      <c r="E802" t="inlineStr">
        <is>
          <t>TORSBY</t>
        </is>
      </c>
      <c r="G802" t="n">
        <v>1.4</v>
      </c>
      <c r="H802" t="n">
        <v>0</v>
      </c>
      <c r="I802" t="n">
        <v>0</v>
      </c>
      <c r="J802" t="n">
        <v>0</v>
      </c>
      <c r="K802" t="n">
        <v>0</v>
      </c>
      <c r="L802" t="n">
        <v>0</v>
      </c>
      <c r="M802" t="n">
        <v>0</v>
      </c>
      <c r="N802" t="n">
        <v>0</v>
      </c>
      <c r="O802" t="n">
        <v>0</v>
      </c>
      <c r="P802" t="n">
        <v>0</v>
      </c>
      <c r="Q802" t="n">
        <v>0</v>
      </c>
      <c r="R802" s="2" t="inlineStr"/>
    </row>
    <row r="803" ht="15" customHeight="1">
      <c r="A803" t="inlineStr">
        <is>
          <t>A 43157-2021</t>
        </is>
      </c>
      <c r="B803" s="1" t="n">
        <v>44431</v>
      </c>
      <c r="C803" s="1" t="n">
        <v>45822</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43127-2021</t>
        </is>
      </c>
      <c r="B804" s="1" t="n">
        <v>44431</v>
      </c>
      <c r="C804" s="1" t="n">
        <v>45822</v>
      </c>
      <c r="D804" t="inlineStr">
        <is>
          <t>VÄRMLANDS LÄN</t>
        </is>
      </c>
      <c r="E804" t="inlineStr">
        <is>
          <t>TORSBY</t>
        </is>
      </c>
      <c r="G804" t="n">
        <v>23.3</v>
      </c>
      <c r="H804" t="n">
        <v>0</v>
      </c>
      <c r="I804" t="n">
        <v>0</v>
      </c>
      <c r="J804" t="n">
        <v>0</v>
      </c>
      <c r="K804" t="n">
        <v>0</v>
      </c>
      <c r="L804" t="n">
        <v>0</v>
      </c>
      <c r="M804" t="n">
        <v>0</v>
      </c>
      <c r="N804" t="n">
        <v>0</v>
      </c>
      <c r="O804" t="n">
        <v>0</v>
      </c>
      <c r="P804" t="n">
        <v>0</v>
      </c>
      <c r="Q804" t="n">
        <v>0</v>
      </c>
      <c r="R804" s="2" t="inlineStr"/>
    </row>
    <row r="805" ht="15" customHeight="1">
      <c r="A805" t="inlineStr">
        <is>
          <t>A 43161-2021</t>
        </is>
      </c>
      <c r="B805" s="1" t="n">
        <v>44431</v>
      </c>
      <c r="C805" s="1" t="n">
        <v>45822</v>
      </c>
      <c r="D805" t="inlineStr">
        <is>
          <t>VÄRMLANDS LÄN</t>
        </is>
      </c>
      <c r="E805" t="inlineStr">
        <is>
          <t>TORSBY</t>
        </is>
      </c>
      <c r="G805" t="n">
        <v>3.7</v>
      </c>
      <c r="H805" t="n">
        <v>0</v>
      </c>
      <c r="I805" t="n">
        <v>0</v>
      </c>
      <c r="J805" t="n">
        <v>0</v>
      </c>
      <c r="K805" t="n">
        <v>0</v>
      </c>
      <c r="L805" t="n">
        <v>0</v>
      </c>
      <c r="M805" t="n">
        <v>0</v>
      </c>
      <c r="N805" t="n">
        <v>0</v>
      </c>
      <c r="O805" t="n">
        <v>0</v>
      </c>
      <c r="P805" t="n">
        <v>0</v>
      </c>
      <c r="Q805" t="n">
        <v>0</v>
      </c>
      <c r="R805" s="2" t="inlineStr"/>
    </row>
    <row r="806" ht="15" customHeight="1">
      <c r="A806" t="inlineStr">
        <is>
          <t>A 44018-2021</t>
        </is>
      </c>
      <c r="B806" s="1" t="n">
        <v>44434</v>
      </c>
      <c r="C806" s="1" t="n">
        <v>45822</v>
      </c>
      <c r="D806" t="inlineStr">
        <is>
          <t>VÄRMLANDS LÄN</t>
        </is>
      </c>
      <c r="E806" t="inlineStr">
        <is>
          <t>TORSBY</t>
        </is>
      </c>
      <c r="F806" t="inlineStr">
        <is>
          <t>Bergvik skog väst AB</t>
        </is>
      </c>
      <c r="G806" t="n">
        <v>2.7</v>
      </c>
      <c r="H806" t="n">
        <v>0</v>
      </c>
      <c r="I806" t="n">
        <v>0</v>
      </c>
      <c r="J806" t="n">
        <v>0</v>
      </c>
      <c r="K806" t="n">
        <v>0</v>
      </c>
      <c r="L806" t="n">
        <v>0</v>
      </c>
      <c r="M806" t="n">
        <v>0</v>
      </c>
      <c r="N806" t="n">
        <v>0</v>
      </c>
      <c r="O806" t="n">
        <v>0</v>
      </c>
      <c r="P806" t="n">
        <v>0</v>
      </c>
      <c r="Q806" t="n">
        <v>0</v>
      </c>
      <c r="R806" s="2" t="inlineStr"/>
    </row>
    <row r="807" ht="15" customHeight="1">
      <c r="A807" t="inlineStr">
        <is>
          <t>A 44418-2021</t>
        </is>
      </c>
      <c r="B807" s="1" t="n">
        <v>44435</v>
      </c>
      <c r="C807" s="1" t="n">
        <v>45822</v>
      </c>
      <c r="D807" t="inlineStr">
        <is>
          <t>VÄRMLANDS LÄN</t>
        </is>
      </c>
      <c r="E807" t="inlineStr">
        <is>
          <t>TORSBY</t>
        </is>
      </c>
      <c r="G807" t="n">
        <v>7.5</v>
      </c>
      <c r="H807" t="n">
        <v>0</v>
      </c>
      <c r="I807" t="n">
        <v>0</v>
      </c>
      <c r="J807" t="n">
        <v>0</v>
      </c>
      <c r="K807" t="n">
        <v>0</v>
      </c>
      <c r="L807" t="n">
        <v>0</v>
      </c>
      <c r="M807" t="n">
        <v>0</v>
      </c>
      <c r="N807" t="n">
        <v>0</v>
      </c>
      <c r="O807" t="n">
        <v>0</v>
      </c>
      <c r="P807" t="n">
        <v>0</v>
      </c>
      <c r="Q807" t="n">
        <v>0</v>
      </c>
      <c r="R807" s="2" t="inlineStr"/>
    </row>
    <row r="808" ht="15" customHeight="1">
      <c r="A808" t="inlineStr">
        <is>
          <t>A 44490-2021</t>
        </is>
      </c>
      <c r="B808" s="1" t="n">
        <v>44435</v>
      </c>
      <c r="C808" s="1" t="n">
        <v>45822</v>
      </c>
      <c r="D808" t="inlineStr">
        <is>
          <t>VÄRMLANDS LÄN</t>
        </is>
      </c>
      <c r="E808" t="inlineStr">
        <is>
          <t>TORSBY</t>
        </is>
      </c>
      <c r="G808" t="n">
        <v>2.4</v>
      </c>
      <c r="H808" t="n">
        <v>0</v>
      </c>
      <c r="I808" t="n">
        <v>0</v>
      </c>
      <c r="J808" t="n">
        <v>0</v>
      </c>
      <c r="K808" t="n">
        <v>0</v>
      </c>
      <c r="L808" t="n">
        <v>0</v>
      </c>
      <c r="M808" t="n">
        <v>0</v>
      </c>
      <c r="N808" t="n">
        <v>0</v>
      </c>
      <c r="O808" t="n">
        <v>0</v>
      </c>
      <c r="P808" t="n">
        <v>0</v>
      </c>
      <c r="Q808" t="n">
        <v>0</v>
      </c>
      <c r="R808" s="2" t="inlineStr"/>
    </row>
    <row r="809" ht="15" customHeight="1">
      <c r="A809" t="inlineStr">
        <is>
          <t>A 44761-2021</t>
        </is>
      </c>
      <c r="B809" s="1" t="n">
        <v>44438</v>
      </c>
      <c r="C809" s="1" t="n">
        <v>45822</v>
      </c>
      <c r="D809" t="inlineStr">
        <is>
          <t>VÄRMLANDS LÄN</t>
        </is>
      </c>
      <c r="E809" t="inlineStr">
        <is>
          <t>TORSBY</t>
        </is>
      </c>
      <c r="G809" t="n">
        <v>6.5</v>
      </c>
      <c r="H809" t="n">
        <v>0</v>
      </c>
      <c r="I809" t="n">
        <v>0</v>
      </c>
      <c r="J809" t="n">
        <v>0</v>
      </c>
      <c r="K809" t="n">
        <v>0</v>
      </c>
      <c r="L809" t="n">
        <v>0</v>
      </c>
      <c r="M809" t="n">
        <v>0</v>
      </c>
      <c r="N809" t="n">
        <v>0</v>
      </c>
      <c r="O809" t="n">
        <v>0</v>
      </c>
      <c r="P809" t="n">
        <v>0</v>
      </c>
      <c r="Q809" t="n">
        <v>0</v>
      </c>
      <c r="R809" s="2" t="inlineStr"/>
    </row>
    <row r="810" ht="15" customHeight="1">
      <c r="A810" t="inlineStr">
        <is>
          <t>A 44979-2021</t>
        </is>
      </c>
      <c r="B810" s="1" t="n">
        <v>44438</v>
      </c>
      <c r="C810" s="1" t="n">
        <v>45822</v>
      </c>
      <c r="D810" t="inlineStr">
        <is>
          <t>VÄRMLANDS LÄN</t>
        </is>
      </c>
      <c r="E810" t="inlineStr">
        <is>
          <t>TORSBY</t>
        </is>
      </c>
      <c r="F810" t="inlineStr">
        <is>
          <t>Bergvik skog väst AB</t>
        </is>
      </c>
      <c r="G810" t="n">
        <v>22.2</v>
      </c>
      <c r="H810" t="n">
        <v>0</v>
      </c>
      <c r="I810" t="n">
        <v>0</v>
      </c>
      <c r="J810" t="n">
        <v>0</v>
      </c>
      <c r="K810" t="n">
        <v>0</v>
      </c>
      <c r="L810" t="n">
        <v>0</v>
      </c>
      <c r="M810" t="n">
        <v>0</v>
      </c>
      <c r="N810" t="n">
        <v>0</v>
      </c>
      <c r="O810" t="n">
        <v>0</v>
      </c>
      <c r="P810" t="n">
        <v>0</v>
      </c>
      <c r="Q810" t="n">
        <v>0</v>
      </c>
      <c r="R810" s="2" t="inlineStr"/>
    </row>
    <row r="811" ht="15" customHeight="1">
      <c r="A811" t="inlineStr">
        <is>
          <t>A 44923-2021</t>
        </is>
      </c>
      <c r="B811" s="1" t="n">
        <v>44438</v>
      </c>
      <c r="C811" s="1" t="n">
        <v>45822</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45445-2021</t>
        </is>
      </c>
      <c r="B812" s="1" t="n">
        <v>44440</v>
      </c>
      <c r="C812" s="1" t="n">
        <v>45822</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45447-2021</t>
        </is>
      </c>
      <c r="B813" s="1" t="n">
        <v>44440</v>
      </c>
      <c r="C813" s="1" t="n">
        <v>45822</v>
      </c>
      <c r="D813" t="inlineStr">
        <is>
          <t>VÄRMLANDS LÄN</t>
        </is>
      </c>
      <c r="E813" t="inlineStr">
        <is>
          <t>TORSBY</t>
        </is>
      </c>
      <c r="G813" t="n">
        <v>1.7</v>
      </c>
      <c r="H813" t="n">
        <v>0</v>
      </c>
      <c r="I813" t="n">
        <v>0</v>
      </c>
      <c r="J813" t="n">
        <v>0</v>
      </c>
      <c r="K813" t="n">
        <v>0</v>
      </c>
      <c r="L813" t="n">
        <v>0</v>
      </c>
      <c r="M813" t="n">
        <v>0</v>
      </c>
      <c r="N813" t="n">
        <v>0</v>
      </c>
      <c r="O813" t="n">
        <v>0</v>
      </c>
      <c r="P813" t="n">
        <v>0</v>
      </c>
      <c r="Q813" t="n">
        <v>0</v>
      </c>
      <c r="R813" s="2" t="inlineStr"/>
    </row>
    <row r="814" ht="15" customHeight="1">
      <c r="A814" t="inlineStr">
        <is>
          <t>A 46302-2021</t>
        </is>
      </c>
      <c r="B814" s="1" t="n">
        <v>44442</v>
      </c>
      <c r="C814" s="1" t="n">
        <v>45822</v>
      </c>
      <c r="D814" t="inlineStr">
        <is>
          <t>VÄRMLANDS LÄN</t>
        </is>
      </c>
      <c r="E814" t="inlineStr">
        <is>
          <t>TORSBY</t>
        </is>
      </c>
      <c r="F814" t="inlineStr">
        <is>
          <t>Bergvik skog väst AB</t>
        </is>
      </c>
      <c r="G814" t="n">
        <v>3.1</v>
      </c>
      <c r="H814" t="n">
        <v>0</v>
      </c>
      <c r="I814" t="n">
        <v>0</v>
      </c>
      <c r="J814" t="n">
        <v>0</v>
      </c>
      <c r="K814" t="n">
        <v>0</v>
      </c>
      <c r="L814" t="n">
        <v>0</v>
      </c>
      <c r="M814" t="n">
        <v>0</v>
      </c>
      <c r="N814" t="n">
        <v>0</v>
      </c>
      <c r="O814" t="n">
        <v>0</v>
      </c>
      <c r="P814" t="n">
        <v>0</v>
      </c>
      <c r="Q814" t="n">
        <v>0</v>
      </c>
      <c r="R814" s="2" t="inlineStr"/>
    </row>
    <row r="815" ht="15" customHeight="1">
      <c r="A815" t="inlineStr">
        <is>
          <t>A 46503-2021</t>
        </is>
      </c>
      <c r="B815" s="1" t="n">
        <v>44445</v>
      </c>
      <c r="C815" s="1" t="n">
        <v>45822</v>
      </c>
      <c r="D815" t="inlineStr">
        <is>
          <t>VÄRMLANDS LÄN</t>
        </is>
      </c>
      <c r="E815" t="inlineStr">
        <is>
          <t>TORSBY</t>
        </is>
      </c>
      <c r="G815" t="n">
        <v>1.2</v>
      </c>
      <c r="H815" t="n">
        <v>0</v>
      </c>
      <c r="I815" t="n">
        <v>0</v>
      </c>
      <c r="J815" t="n">
        <v>0</v>
      </c>
      <c r="K815" t="n">
        <v>0</v>
      </c>
      <c r="L815" t="n">
        <v>0</v>
      </c>
      <c r="M815" t="n">
        <v>0</v>
      </c>
      <c r="N815" t="n">
        <v>0</v>
      </c>
      <c r="O815" t="n">
        <v>0</v>
      </c>
      <c r="P815" t="n">
        <v>0</v>
      </c>
      <c r="Q815" t="n">
        <v>0</v>
      </c>
      <c r="R815" s="2" t="inlineStr"/>
    </row>
    <row r="816" ht="15" customHeight="1">
      <c r="A816" t="inlineStr">
        <is>
          <t>A 46610-2021</t>
        </is>
      </c>
      <c r="B816" s="1" t="n">
        <v>44445</v>
      </c>
      <c r="C816" s="1" t="n">
        <v>45822</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46795-2021</t>
        </is>
      </c>
      <c r="B817" s="1" t="n">
        <v>44446</v>
      </c>
      <c r="C817" s="1" t="n">
        <v>45822</v>
      </c>
      <c r="D817" t="inlineStr">
        <is>
          <t>VÄRMLANDS LÄN</t>
        </is>
      </c>
      <c r="E817" t="inlineStr">
        <is>
          <t>TORSBY</t>
        </is>
      </c>
      <c r="G817" t="n">
        <v>6</v>
      </c>
      <c r="H817" t="n">
        <v>0</v>
      </c>
      <c r="I817" t="n">
        <v>0</v>
      </c>
      <c r="J817" t="n">
        <v>0</v>
      </c>
      <c r="K817" t="n">
        <v>0</v>
      </c>
      <c r="L817" t="n">
        <v>0</v>
      </c>
      <c r="M817" t="n">
        <v>0</v>
      </c>
      <c r="N817" t="n">
        <v>0</v>
      </c>
      <c r="O817" t="n">
        <v>0</v>
      </c>
      <c r="P817" t="n">
        <v>0</v>
      </c>
      <c r="Q817" t="n">
        <v>0</v>
      </c>
      <c r="R817" s="2" t="inlineStr"/>
    </row>
    <row r="818" ht="15" customHeight="1">
      <c r="A818" t="inlineStr">
        <is>
          <t>A 46934-2021</t>
        </is>
      </c>
      <c r="B818" s="1" t="n">
        <v>44446</v>
      </c>
      <c r="C818" s="1" t="n">
        <v>45822</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46880-2021</t>
        </is>
      </c>
      <c r="B819" s="1" t="n">
        <v>44446</v>
      </c>
      <c r="C819" s="1" t="n">
        <v>45822</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47083-2021</t>
        </is>
      </c>
      <c r="B820" s="1" t="n">
        <v>44446</v>
      </c>
      <c r="C820" s="1" t="n">
        <v>45822</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47098-2021</t>
        </is>
      </c>
      <c r="B821" s="1" t="n">
        <v>44446</v>
      </c>
      <c r="C821" s="1" t="n">
        <v>45822</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47271-2021</t>
        </is>
      </c>
      <c r="B822" s="1" t="n">
        <v>44447</v>
      </c>
      <c r="C822" s="1" t="n">
        <v>45822</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47299-2021</t>
        </is>
      </c>
      <c r="B823" s="1" t="n">
        <v>44447</v>
      </c>
      <c r="C823" s="1" t="n">
        <v>45822</v>
      </c>
      <c r="D823" t="inlineStr">
        <is>
          <t>VÄRMLANDS LÄN</t>
        </is>
      </c>
      <c r="E823" t="inlineStr">
        <is>
          <t>TORSBY</t>
        </is>
      </c>
      <c r="F823" t="inlineStr">
        <is>
          <t>Bergvik skog väst AB</t>
        </is>
      </c>
      <c r="G823" t="n">
        <v>11</v>
      </c>
      <c r="H823" t="n">
        <v>0</v>
      </c>
      <c r="I823" t="n">
        <v>0</v>
      </c>
      <c r="J823" t="n">
        <v>0</v>
      </c>
      <c r="K823" t="n">
        <v>0</v>
      </c>
      <c r="L823" t="n">
        <v>0</v>
      </c>
      <c r="M823" t="n">
        <v>0</v>
      </c>
      <c r="N823" t="n">
        <v>0</v>
      </c>
      <c r="O823" t="n">
        <v>0</v>
      </c>
      <c r="P823" t="n">
        <v>0</v>
      </c>
      <c r="Q823" t="n">
        <v>0</v>
      </c>
      <c r="R823" s="2" t="inlineStr"/>
    </row>
    <row r="824" ht="15" customHeight="1">
      <c r="A824" t="inlineStr">
        <is>
          <t>A 47602-2021</t>
        </is>
      </c>
      <c r="B824" s="1" t="n">
        <v>44448</v>
      </c>
      <c r="C824" s="1" t="n">
        <v>45822</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48159-2021</t>
        </is>
      </c>
      <c r="B825" s="1" t="n">
        <v>44449</v>
      </c>
      <c r="C825" s="1" t="n">
        <v>45822</v>
      </c>
      <c r="D825" t="inlineStr">
        <is>
          <t>VÄRMLANDS LÄN</t>
        </is>
      </c>
      <c r="E825" t="inlineStr">
        <is>
          <t>TORSBY</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48188-2021</t>
        </is>
      </c>
      <c r="B826" s="1" t="n">
        <v>44449</v>
      </c>
      <c r="C826" s="1" t="n">
        <v>45822</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48324-2021</t>
        </is>
      </c>
      <c r="B827" s="1" t="n">
        <v>44450</v>
      </c>
      <c r="C827" s="1" t="n">
        <v>45822</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48657-2021</t>
        </is>
      </c>
      <c r="B828" s="1" t="n">
        <v>44452</v>
      </c>
      <c r="C828" s="1" t="n">
        <v>45822</v>
      </c>
      <c r="D828" t="inlineStr">
        <is>
          <t>VÄRMLANDS LÄN</t>
        </is>
      </c>
      <c r="E828" t="inlineStr">
        <is>
          <t>TORSBY</t>
        </is>
      </c>
      <c r="F828" t="inlineStr">
        <is>
          <t>Bergvik skog väst AB</t>
        </is>
      </c>
      <c r="G828" t="n">
        <v>7.8</v>
      </c>
      <c r="H828" t="n">
        <v>0</v>
      </c>
      <c r="I828" t="n">
        <v>0</v>
      </c>
      <c r="J828" t="n">
        <v>0</v>
      </c>
      <c r="K828" t="n">
        <v>0</v>
      </c>
      <c r="L828" t="n">
        <v>0</v>
      </c>
      <c r="M828" t="n">
        <v>0</v>
      </c>
      <c r="N828" t="n">
        <v>0</v>
      </c>
      <c r="O828" t="n">
        <v>0</v>
      </c>
      <c r="P828" t="n">
        <v>0</v>
      </c>
      <c r="Q828" t="n">
        <v>0</v>
      </c>
      <c r="R828" s="2" t="inlineStr"/>
    </row>
    <row r="829" ht="15" customHeight="1">
      <c r="A829" t="inlineStr">
        <is>
          <t>A 48771-2021</t>
        </is>
      </c>
      <c r="B829" s="1" t="n">
        <v>44452</v>
      </c>
      <c r="C829" s="1" t="n">
        <v>45822</v>
      </c>
      <c r="D829" t="inlineStr">
        <is>
          <t>VÄRMLANDS LÄN</t>
        </is>
      </c>
      <c r="E829" t="inlineStr">
        <is>
          <t>TORSBY</t>
        </is>
      </c>
      <c r="G829" t="n">
        <v>1.3</v>
      </c>
      <c r="H829" t="n">
        <v>0</v>
      </c>
      <c r="I829" t="n">
        <v>0</v>
      </c>
      <c r="J829" t="n">
        <v>0</v>
      </c>
      <c r="K829" t="n">
        <v>0</v>
      </c>
      <c r="L829" t="n">
        <v>0</v>
      </c>
      <c r="M829" t="n">
        <v>0</v>
      </c>
      <c r="N829" t="n">
        <v>0</v>
      </c>
      <c r="O829" t="n">
        <v>0</v>
      </c>
      <c r="P829" t="n">
        <v>0</v>
      </c>
      <c r="Q829" t="n">
        <v>0</v>
      </c>
      <c r="R829" s="2" t="inlineStr"/>
    </row>
    <row r="830" ht="15" customHeight="1">
      <c r="A830" t="inlineStr">
        <is>
          <t>A 49192-2021</t>
        </is>
      </c>
      <c r="B830" s="1" t="n">
        <v>44454</v>
      </c>
      <c r="C830" s="1" t="n">
        <v>45822</v>
      </c>
      <c r="D830" t="inlineStr">
        <is>
          <t>VÄRMLANDS LÄN</t>
        </is>
      </c>
      <c r="E830" t="inlineStr">
        <is>
          <t>TORSBY</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49900-2021</t>
        </is>
      </c>
      <c r="B831" s="1" t="n">
        <v>44455</v>
      </c>
      <c r="C831" s="1" t="n">
        <v>45822</v>
      </c>
      <c r="D831" t="inlineStr">
        <is>
          <t>VÄRMLANDS LÄN</t>
        </is>
      </c>
      <c r="E831" t="inlineStr">
        <is>
          <t>TORSBY</t>
        </is>
      </c>
      <c r="G831" t="n">
        <v>4.1</v>
      </c>
      <c r="H831" t="n">
        <v>0</v>
      </c>
      <c r="I831" t="n">
        <v>0</v>
      </c>
      <c r="J831" t="n">
        <v>0</v>
      </c>
      <c r="K831" t="n">
        <v>0</v>
      </c>
      <c r="L831" t="n">
        <v>0</v>
      </c>
      <c r="M831" t="n">
        <v>0</v>
      </c>
      <c r="N831" t="n">
        <v>0</v>
      </c>
      <c r="O831" t="n">
        <v>0</v>
      </c>
      <c r="P831" t="n">
        <v>0</v>
      </c>
      <c r="Q831" t="n">
        <v>0</v>
      </c>
      <c r="R831" s="2" t="inlineStr"/>
    </row>
    <row r="832" ht="15" customHeight="1">
      <c r="A832" t="inlineStr">
        <is>
          <t>A 50100-2021</t>
        </is>
      </c>
      <c r="B832" s="1" t="n">
        <v>44456</v>
      </c>
      <c r="C832" s="1" t="n">
        <v>45822</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50596-2021</t>
        </is>
      </c>
      <c r="B833" s="1" t="n">
        <v>44459</v>
      </c>
      <c r="C833" s="1" t="n">
        <v>45822</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50549-2021</t>
        </is>
      </c>
      <c r="B834" s="1" t="n">
        <v>44459</v>
      </c>
      <c r="C834" s="1" t="n">
        <v>45822</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50988-2021</t>
        </is>
      </c>
      <c r="B835" s="1" t="n">
        <v>44460</v>
      </c>
      <c r="C835" s="1" t="n">
        <v>45822</v>
      </c>
      <c r="D835" t="inlineStr">
        <is>
          <t>VÄRMLANDS LÄN</t>
        </is>
      </c>
      <c r="E835" t="inlineStr">
        <is>
          <t>TORSBY</t>
        </is>
      </c>
      <c r="G835" t="n">
        <v>14.3</v>
      </c>
      <c r="H835" t="n">
        <v>0</v>
      </c>
      <c r="I835" t="n">
        <v>0</v>
      </c>
      <c r="J835" t="n">
        <v>0</v>
      </c>
      <c r="K835" t="n">
        <v>0</v>
      </c>
      <c r="L835" t="n">
        <v>0</v>
      </c>
      <c r="M835" t="n">
        <v>0</v>
      </c>
      <c r="N835" t="n">
        <v>0</v>
      </c>
      <c r="O835" t="n">
        <v>0</v>
      </c>
      <c r="P835" t="n">
        <v>0</v>
      </c>
      <c r="Q835" t="n">
        <v>0</v>
      </c>
      <c r="R835" s="2" t="inlineStr"/>
    </row>
    <row r="836" ht="15" customHeight="1">
      <c r="A836" t="inlineStr">
        <is>
          <t>A 51505-2021</t>
        </is>
      </c>
      <c r="B836" s="1" t="n">
        <v>44460</v>
      </c>
      <c r="C836" s="1" t="n">
        <v>45822</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51494-2021</t>
        </is>
      </c>
      <c r="B837" s="1" t="n">
        <v>44460</v>
      </c>
      <c r="C837" s="1" t="n">
        <v>45822</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51510-2021</t>
        </is>
      </c>
      <c r="B838" s="1" t="n">
        <v>44460</v>
      </c>
      <c r="C838" s="1" t="n">
        <v>45822</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51099-2021</t>
        </is>
      </c>
      <c r="B839" s="1" t="n">
        <v>44461</v>
      </c>
      <c r="C839" s="1" t="n">
        <v>45822</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51247-2021</t>
        </is>
      </c>
      <c r="B840" s="1" t="n">
        <v>44461</v>
      </c>
      <c r="C840" s="1" t="n">
        <v>45822</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51372-2021</t>
        </is>
      </c>
      <c r="B841" s="1" t="n">
        <v>44461</v>
      </c>
      <c r="C841" s="1" t="n">
        <v>45822</v>
      </c>
      <c r="D841" t="inlineStr">
        <is>
          <t>VÄRMLANDS LÄN</t>
        </is>
      </c>
      <c r="E841" t="inlineStr">
        <is>
          <t>TORSBY</t>
        </is>
      </c>
      <c r="F841" t="inlineStr">
        <is>
          <t>Bergvik skog väst AB</t>
        </is>
      </c>
      <c r="G841" t="n">
        <v>2.3</v>
      </c>
      <c r="H841" t="n">
        <v>0</v>
      </c>
      <c r="I841" t="n">
        <v>0</v>
      </c>
      <c r="J841" t="n">
        <v>0</v>
      </c>
      <c r="K841" t="n">
        <v>0</v>
      </c>
      <c r="L841" t="n">
        <v>0</v>
      </c>
      <c r="M841" t="n">
        <v>0</v>
      </c>
      <c r="N841" t="n">
        <v>0</v>
      </c>
      <c r="O841" t="n">
        <v>0</v>
      </c>
      <c r="P841" t="n">
        <v>0</v>
      </c>
      <c r="Q841" t="n">
        <v>0</v>
      </c>
      <c r="R841" s="2" t="inlineStr"/>
    </row>
    <row r="842" ht="15" customHeight="1">
      <c r="A842" t="inlineStr">
        <is>
          <t>A 51819-2021</t>
        </is>
      </c>
      <c r="B842" s="1" t="n">
        <v>44462</v>
      </c>
      <c r="C842" s="1" t="n">
        <v>45822</v>
      </c>
      <c r="D842" t="inlineStr">
        <is>
          <t>VÄRMLANDS LÄN</t>
        </is>
      </c>
      <c r="E842" t="inlineStr">
        <is>
          <t>TORSBY</t>
        </is>
      </c>
      <c r="F842" t="inlineStr">
        <is>
          <t>Bergvik skog väst AB</t>
        </is>
      </c>
      <c r="G842" t="n">
        <v>14.7</v>
      </c>
      <c r="H842" t="n">
        <v>0</v>
      </c>
      <c r="I842" t="n">
        <v>0</v>
      </c>
      <c r="J842" t="n">
        <v>0</v>
      </c>
      <c r="K842" t="n">
        <v>0</v>
      </c>
      <c r="L842" t="n">
        <v>0</v>
      </c>
      <c r="M842" t="n">
        <v>0</v>
      </c>
      <c r="N842" t="n">
        <v>0</v>
      </c>
      <c r="O842" t="n">
        <v>0</v>
      </c>
      <c r="P842" t="n">
        <v>0</v>
      </c>
      <c r="Q842" t="n">
        <v>0</v>
      </c>
      <c r="R842" s="2" t="inlineStr"/>
    </row>
    <row r="843" ht="15" customHeight="1">
      <c r="A843" t="inlineStr">
        <is>
          <t>A 51522-2021</t>
        </is>
      </c>
      <c r="B843" s="1" t="n">
        <v>44462</v>
      </c>
      <c r="C843" s="1" t="n">
        <v>45822</v>
      </c>
      <c r="D843" t="inlineStr">
        <is>
          <t>VÄRMLANDS LÄN</t>
        </is>
      </c>
      <c r="E843" t="inlineStr">
        <is>
          <t>TORSBY</t>
        </is>
      </c>
      <c r="G843" t="n">
        <v>0.3</v>
      </c>
      <c r="H843" t="n">
        <v>0</v>
      </c>
      <c r="I843" t="n">
        <v>0</v>
      </c>
      <c r="J843" t="n">
        <v>0</v>
      </c>
      <c r="K843" t="n">
        <v>0</v>
      </c>
      <c r="L843" t="n">
        <v>0</v>
      </c>
      <c r="M843" t="n">
        <v>0</v>
      </c>
      <c r="N843" t="n">
        <v>0</v>
      </c>
      <c r="O843" t="n">
        <v>0</v>
      </c>
      <c r="P843" t="n">
        <v>0</v>
      </c>
      <c r="Q843" t="n">
        <v>0</v>
      </c>
      <c r="R843" s="2" t="inlineStr"/>
    </row>
    <row r="844" ht="15" customHeight="1">
      <c r="A844" t="inlineStr">
        <is>
          <t>A 52121-2021</t>
        </is>
      </c>
      <c r="B844" s="1" t="n">
        <v>44463</v>
      </c>
      <c r="C844" s="1" t="n">
        <v>45822</v>
      </c>
      <c r="D844" t="inlineStr">
        <is>
          <t>VÄRMLANDS LÄN</t>
        </is>
      </c>
      <c r="E844" t="inlineStr">
        <is>
          <t>TORSBY</t>
        </is>
      </c>
      <c r="G844" t="n">
        <v>0</v>
      </c>
      <c r="H844" t="n">
        <v>0</v>
      </c>
      <c r="I844" t="n">
        <v>0</v>
      </c>
      <c r="J844" t="n">
        <v>0</v>
      </c>
      <c r="K844" t="n">
        <v>0</v>
      </c>
      <c r="L844" t="n">
        <v>0</v>
      </c>
      <c r="M844" t="n">
        <v>0</v>
      </c>
      <c r="N844" t="n">
        <v>0</v>
      </c>
      <c r="O844" t="n">
        <v>0</v>
      </c>
      <c r="P844" t="n">
        <v>0</v>
      </c>
      <c r="Q844" t="n">
        <v>0</v>
      </c>
      <c r="R844" s="2" t="inlineStr"/>
    </row>
    <row r="845" ht="15" customHeight="1">
      <c r="A845" t="inlineStr">
        <is>
          <t>A 52520-2021</t>
        </is>
      </c>
      <c r="B845" s="1" t="n">
        <v>44466</v>
      </c>
      <c r="C845" s="1" t="n">
        <v>45822</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52728-2021</t>
        </is>
      </c>
      <c r="B846" s="1" t="n">
        <v>44467</v>
      </c>
      <c r="C846" s="1" t="n">
        <v>45822</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52900-2021</t>
        </is>
      </c>
      <c r="B847" s="1" t="n">
        <v>44467</v>
      </c>
      <c r="C847" s="1" t="n">
        <v>45822</v>
      </c>
      <c r="D847" t="inlineStr">
        <is>
          <t>VÄRMLANDS LÄN</t>
        </is>
      </c>
      <c r="E847" t="inlineStr">
        <is>
          <t>TORSBY</t>
        </is>
      </c>
      <c r="G847" t="n">
        <v>3.8</v>
      </c>
      <c r="H847" t="n">
        <v>0</v>
      </c>
      <c r="I847" t="n">
        <v>0</v>
      </c>
      <c r="J847" t="n">
        <v>0</v>
      </c>
      <c r="K847" t="n">
        <v>0</v>
      </c>
      <c r="L847" t="n">
        <v>0</v>
      </c>
      <c r="M847" t="n">
        <v>0</v>
      </c>
      <c r="N847" t="n">
        <v>0</v>
      </c>
      <c r="O847" t="n">
        <v>0</v>
      </c>
      <c r="P847" t="n">
        <v>0</v>
      </c>
      <c r="Q847" t="n">
        <v>0</v>
      </c>
      <c r="R847" s="2" t="inlineStr"/>
    </row>
    <row r="848" ht="15" customHeight="1">
      <c r="A848" t="inlineStr">
        <is>
          <t>A 53705-2021</t>
        </is>
      </c>
      <c r="B848" s="1" t="n">
        <v>44469</v>
      </c>
      <c r="C848" s="1" t="n">
        <v>45822</v>
      </c>
      <c r="D848" t="inlineStr">
        <is>
          <t>VÄRMLANDS LÄN</t>
        </is>
      </c>
      <c r="E848" t="inlineStr">
        <is>
          <t>TORSBY</t>
        </is>
      </c>
      <c r="F848" t="inlineStr">
        <is>
          <t>Kyrkan</t>
        </is>
      </c>
      <c r="G848" t="n">
        <v>12.4</v>
      </c>
      <c r="H848" t="n">
        <v>0</v>
      </c>
      <c r="I848" t="n">
        <v>0</v>
      </c>
      <c r="J848" t="n">
        <v>0</v>
      </c>
      <c r="K848" t="n">
        <v>0</v>
      </c>
      <c r="L848" t="n">
        <v>0</v>
      </c>
      <c r="M848" t="n">
        <v>0</v>
      </c>
      <c r="N848" t="n">
        <v>0</v>
      </c>
      <c r="O848" t="n">
        <v>0</v>
      </c>
      <c r="P848" t="n">
        <v>0</v>
      </c>
      <c r="Q848" t="n">
        <v>0</v>
      </c>
      <c r="R848" s="2" t="inlineStr"/>
    </row>
    <row r="849" ht="15" customHeight="1">
      <c r="A849" t="inlineStr">
        <is>
          <t>A 54029-2021</t>
        </is>
      </c>
      <c r="B849" s="1" t="n">
        <v>44470</v>
      </c>
      <c r="C849" s="1" t="n">
        <v>45822</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54033-2021</t>
        </is>
      </c>
      <c r="B850" s="1" t="n">
        <v>44470</v>
      </c>
      <c r="C850" s="1" t="n">
        <v>45822</v>
      </c>
      <c r="D850" t="inlineStr">
        <is>
          <t>VÄRMLANDS LÄN</t>
        </is>
      </c>
      <c r="E850" t="inlineStr">
        <is>
          <t>TORSBY</t>
        </is>
      </c>
      <c r="G850" t="n">
        <v>6</v>
      </c>
      <c r="H850" t="n">
        <v>0</v>
      </c>
      <c r="I850" t="n">
        <v>0</v>
      </c>
      <c r="J850" t="n">
        <v>0</v>
      </c>
      <c r="K850" t="n">
        <v>0</v>
      </c>
      <c r="L850" t="n">
        <v>0</v>
      </c>
      <c r="M850" t="n">
        <v>0</v>
      </c>
      <c r="N850" t="n">
        <v>0</v>
      </c>
      <c r="O850" t="n">
        <v>0</v>
      </c>
      <c r="P850" t="n">
        <v>0</v>
      </c>
      <c r="Q850" t="n">
        <v>0</v>
      </c>
      <c r="R850" s="2" t="inlineStr"/>
    </row>
    <row r="851" ht="15" customHeight="1">
      <c r="A851" t="inlineStr">
        <is>
          <t>A 55794-2021</t>
        </is>
      </c>
      <c r="B851" s="1" t="n">
        <v>44476</v>
      </c>
      <c r="C851" s="1" t="n">
        <v>45822</v>
      </c>
      <c r="D851" t="inlineStr">
        <is>
          <t>VÄRMLANDS LÄN</t>
        </is>
      </c>
      <c r="E851" t="inlineStr">
        <is>
          <t>TORSBY</t>
        </is>
      </c>
      <c r="G851" t="n">
        <v>2.2</v>
      </c>
      <c r="H851" t="n">
        <v>0</v>
      </c>
      <c r="I851" t="n">
        <v>0</v>
      </c>
      <c r="J851" t="n">
        <v>0</v>
      </c>
      <c r="K851" t="n">
        <v>0</v>
      </c>
      <c r="L851" t="n">
        <v>0</v>
      </c>
      <c r="M851" t="n">
        <v>0</v>
      </c>
      <c r="N851" t="n">
        <v>0</v>
      </c>
      <c r="O851" t="n">
        <v>0</v>
      </c>
      <c r="P851" t="n">
        <v>0</v>
      </c>
      <c r="Q851" t="n">
        <v>0</v>
      </c>
      <c r="R851" s="2" t="inlineStr"/>
    </row>
    <row r="852" ht="15" customHeight="1">
      <c r="A852" t="inlineStr">
        <is>
          <t>A 55811-2021</t>
        </is>
      </c>
      <c r="B852" s="1" t="n">
        <v>44476</v>
      </c>
      <c r="C852" s="1" t="n">
        <v>45822</v>
      </c>
      <c r="D852" t="inlineStr">
        <is>
          <t>VÄRMLANDS LÄN</t>
        </is>
      </c>
      <c r="E852" t="inlineStr">
        <is>
          <t>TORSBY</t>
        </is>
      </c>
      <c r="G852" t="n">
        <v>3.7</v>
      </c>
      <c r="H852" t="n">
        <v>0</v>
      </c>
      <c r="I852" t="n">
        <v>0</v>
      </c>
      <c r="J852" t="n">
        <v>0</v>
      </c>
      <c r="K852" t="n">
        <v>0</v>
      </c>
      <c r="L852" t="n">
        <v>0</v>
      </c>
      <c r="M852" t="n">
        <v>0</v>
      </c>
      <c r="N852" t="n">
        <v>0</v>
      </c>
      <c r="O852" t="n">
        <v>0</v>
      </c>
      <c r="P852" t="n">
        <v>0</v>
      </c>
      <c r="Q852" t="n">
        <v>0</v>
      </c>
      <c r="R852" s="2" t="inlineStr"/>
    </row>
    <row r="853" ht="15" customHeight="1">
      <c r="A853" t="inlineStr">
        <is>
          <t>A 56102-2021</t>
        </is>
      </c>
      <c r="B853" s="1" t="n">
        <v>44477</v>
      </c>
      <c r="C853" s="1" t="n">
        <v>45822</v>
      </c>
      <c r="D853" t="inlineStr">
        <is>
          <t>VÄRMLANDS LÄN</t>
        </is>
      </c>
      <c r="E853" t="inlineStr">
        <is>
          <t>TORSBY</t>
        </is>
      </c>
      <c r="G853" t="n">
        <v>4.6</v>
      </c>
      <c r="H853" t="n">
        <v>0</v>
      </c>
      <c r="I853" t="n">
        <v>0</v>
      </c>
      <c r="J853" t="n">
        <v>0</v>
      </c>
      <c r="K853" t="n">
        <v>0</v>
      </c>
      <c r="L853" t="n">
        <v>0</v>
      </c>
      <c r="M853" t="n">
        <v>0</v>
      </c>
      <c r="N853" t="n">
        <v>0</v>
      </c>
      <c r="O853" t="n">
        <v>0</v>
      </c>
      <c r="P853" t="n">
        <v>0</v>
      </c>
      <c r="Q853" t="n">
        <v>0</v>
      </c>
      <c r="R853" s="2" t="inlineStr"/>
    </row>
    <row r="854" ht="15" customHeight="1">
      <c r="A854" t="inlineStr">
        <is>
          <t>A 56037-2021</t>
        </is>
      </c>
      <c r="B854" s="1" t="n">
        <v>44477</v>
      </c>
      <c r="C854" s="1" t="n">
        <v>45822</v>
      </c>
      <c r="D854" t="inlineStr">
        <is>
          <t>VÄRMLANDS LÄN</t>
        </is>
      </c>
      <c r="E854" t="inlineStr">
        <is>
          <t>TORSBY</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56062-2021</t>
        </is>
      </c>
      <c r="B855" s="1" t="n">
        <v>44477</v>
      </c>
      <c r="C855" s="1" t="n">
        <v>45822</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56981-2021</t>
        </is>
      </c>
      <c r="B856" s="1" t="n">
        <v>44482</v>
      </c>
      <c r="C856" s="1" t="n">
        <v>45822</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57287-2021</t>
        </is>
      </c>
      <c r="B857" s="1" t="n">
        <v>44482</v>
      </c>
      <c r="C857" s="1" t="n">
        <v>45822</v>
      </c>
      <c r="D857" t="inlineStr">
        <is>
          <t>VÄRMLANDS LÄN</t>
        </is>
      </c>
      <c r="E857" t="inlineStr">
        <is>
          <t>TORSBY</t>
        </is>
      </c>
      <c r="G857" t="n">
        <v>2.7</v>
      </c>
      <c r="H857" t="n">
        <v>0</v>
      </c>
      <c r="I857" t="n">
        <v>0</v>
      </c>
      <c r="J857" t="n">
        <v>0</v>
      </c>
      <c r="K857" t="n">
        <v>0</v>
      </c>
      <c r="L857" t="n">
        <v>0</v>
      </c>
      <c r="M857" t="n">
        <v>0</v>
      </c>
      <c r="N857" t="n">
        <v>0</v>
      </c>
      <c r="O857" t="n">
        <v>0</v>
      </c>
      <c r="P857" t="n">
        <v>0</v>
      </c>
      <c r="Q857" t="n">
        <v>0</v>
      </c>
      <c r="R857" s="2" t="inlineStr"/>
    </row>
    <row r="858" ht="15" customHeight="1">
      <c r="A858" t="inlineStr">
        <is>
          <t>A 58062-2021</t>
        </is>
      </c>
      <c r="B858" s="1" t="n">
        <v>44487</v>
      </c>
      <c r="C858" s="1" t="n">
        <v>45822</v>
      </c>
      <c r="D858" t="inlineStr">
        <is>
          <t>VÄRMLANDS LÄN</t>
        </is>
      </c>
      <c r="E858" t="inlineStr">
        <is>
          <t>TORSBY</t>
        </is>
      </c>
      <c r="G858" t="n">
        <v>6</v>
      </c>
      <c r="H858" t="n">
        <v>0</v>
      </c>
      <c r="I858" t="n">
        <v>0</v>
      </c>
      <c r="J858" t="n">
        <v>0</v>
      </c>
      <c r="K858" t="n">
        <v>0</v>
      </c>
      <c r="L858" t="n">
        <v>0</v>
      </c>
      <c r="M858" t="n">
        <v>0</v>
      </c>
      <c r="N858" t="n">
        <v>0</v>
      </c>
      <c r="O858" t="n">
        <v>0</v>
      </c>
      <c r="P858" t="n">
        <v>0</v>
      </c>
      <c r="Q858" t="n">
        <v>0</v>
      </c>
      <c r="R858" s="2" t="inlineStr"/>
    </row>
    <row r="859" ht="15" customHeight="1">
      <c r="A859" t="inlineStr">
        <is>
          <t>A 58479-2021</t>
        </is>
      </c>
      <c r="B859" s="1" t="n">
        <v>44488</v>
      </c>
      <c r="C859" s="1" t="n">
        <v>45822</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58476-2021</t>
        </is>
      </c>
      <c r="B860" s="1" t="n">
        <v>44488</v>
      </c>
      <c r="C860" s="1" t="n">
        <v>45822</v>
      </c>
      <c r="D860" t="inlineStr">
        <is>
          <t>VÄRMLANDS LÄN</t>
        </is>
      </c>
      <c r="E860" t="inlineStr">
        <is>
          <t>TORSBY</t>
        </is>
      </c>
      <c r="G860" t="n">
        <v>1.4</v>
      </c>
      <c r="H860" t="n">
        <v>0</v>
      </c>
      <c r="I860" t="n">
        <v>0</v>
      </c>
      <c r="J860" t="n">
        <v>0</v>
      </c>
      <c r="K860" t="n">
        <v>0</v>
      </c>
      <c r="L860" t="n">
        <v>0</v>
      </c>
      <c r="M860" t="n">
        <v>0</v>
      </c>
      <c r="N860" t="n">
        <v>0</v>
      </c>
      <c r="O860" t="n">
        <v>0</v>
      </c>
      <c r="P860" t="n">
        <v>0</v>
      </c>
      <c r="Q860" t="n">
        <v>0</v>
      </c>
      <c r="R860" s="2" t="inlineStr"/>
    </row>
    <row r="861" ht="15" customHeight="1">
      <c r="A861" t="inlineStr">
        <is>
          <t>A 58543-2021</t>
        </is>
      </c>
      <c r="B861" s="1" t="n">
        <v>44488</v>
      </c>
      <c r="C861" s="1" t="n">
        <v>45822</v>
      </c>
      <c r="D861" t="inlineStr">
        <is>
          <t>VÄRMLANDS LÄN</t>
        </is>
      </c>
      <c r="E861" t="inlineStr">
        <is>
          <t>TORSBY</t>
        </is>
      </c>
      <c r="F861" t="inlineStr">
        <is>
          <t>Bergvik skog väst AB</t>
        </is>
      </c>
      <c r="G861" t="n">
        <v>7.1</v>
      </c>
      <c r="H861" t="n">
        <v>0</v>
      </c>
      <c r="I861" t="n">
        <v>0</v>
      </c>
      <c r="J861" t="n">
        <v>0</v>
      </c>
      <c r="K861" t="n">
        <v>0</v>
      </c>
      <c r="L861" t="n">
        <v>0</v>
      </c>
      <c r="M861" t="n">
        <v>0</v>
      </c>
      <c r="N861" t="n">
        <v>0</v>
      </c>
      <c r="O861" t="n">
        <v>0</v>
      </c>
      <c r="P861" t="n">
        <v>0</v>
      </c>
      <c r="Q861" t="n">
        <v>0</v>
      </c>
      <c r="R861" s="2" t="inlineStr"/>
    </row>
    <row r="862" ht="15" customHeight="1">
      <c r="A862" t="inlineStr">
        <is>
          <t>A 58728-2021</t>
        </is>
      </c>
      <c r="B862" s="1" t="n">
        <v>44489</v>
      </c>
      <c r="C862" s="1" t="n">
        <v>45822</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59425-2021</t>
        </is>
      </c>
      <c r="B863" s="1" t="n">
        <v>44491</v>
      </c>
      <c r="C863" s="1" t="n">
        <v>45822</v>
      </c>
      <c r="D863" t="inlineStr">
        <is>
          <t>VÄRMLANDS LÄN</t>
        </is>
      </c>
      <c r="E863" t="inlineStr">
        <is>
          <t>TORSBY</t>
        </is>
      </c>
      <c r="F863" t="inlineStr">
        <is>
          <t>Bergvik skog väst AB</t>
        </is>
      </c>
      <c r="G863" t="n">
        <v>14.9</v>
      </c>
      <c r="H863" t="n">
        <v>0</v>
      </c>
      <c r="I863" t="n">
        <v>0</v>
      </c>
      <c r="J863" t="n">
        <v>0</v>
      </c>
      <c r="K863" t="n">
        <v>0</v>
      </c>
      <c r="L863" t="n">
        <v>0</v>
      </c>
      <c r="M863" t="n">
        <v>0</v>
      </c>
      <c r="N863" t="n">
        <v>0</v>
      </c>
      <c r="O863" t="n">
        <v>0</v>
      </c>
      <c r="P863" t="n">
        <v>0</v>
      </c>
      <c r="Q863" t="n">
        <v>0</v>
      </c>
      <c r="R863" s="2" t="inlineStr"/>
    </row>
    <row r="864" ht="15" customHeight="1">
      <c r="A864" t="inlineStr">
        <is>
          <t>A 60428-2021</t>
        </is>
      </c>
      <c r="B864" s="1" t="n">
        <v>44496</v>
      </c>
      <c r="C864" s="1" t="n">
        <v>45822</v>
      </c>
      <c r="D864" t="inlineStr">
        <is>
          <t>VÄRMLANDS LÄN</t>
        </is>
      </c>
      <c r="E864" t="inlineStr">
        <is>
          <t>TORSBY</t>
        </is>
      </c>
      <c r="G864" t="n">
        <v>0.5</v>
      </c>
      <c r="H864" t="n">
        <v>0</v>
      </c>
      <c r="I864" t="n">
        <v>0</v>
      </c>
      <c r="J864" t="n">
        <v>0</v>
      </c>
      <c r="K864" t="n">
        <v>0</v>
      </c>
      <c r="L864" t="n">
        <v>0</v>
      </c>
      <c r="M864" t="n">
        <v>0</v>
      </c>
      <c r="N864" t="n">
        <v>0</v>
      </c>
      <c r="O864" t="n">
        <v>0</v>
      </c>
      <c r="P864" t="n">
        <v>0</v>
      </c>
      <c r="Q864" t="n">
        <v>0</v>
      </c>
      <c r="R864" s="2" t="inlineStr"/>
    </row>
    <row r="865" ht="15" customHeight="1">
      <c r="A865" t="inlineStr">
        <is>
          <t>A 60430-2021</t>
        </is>
      </c>
      <c r="B865" s="1" t="n">
        <v>44496</v>
      </c>
      <c r="C865" s="1" t="n">
        <v>45822</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60698-2021</t>
        </is>
      </c>
      <c r="B866" s="1" t="n">
        <v>44496</v>
      </c>
      <c r="C866" s="1" t="n">
        <v>45822</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61231-2021</t>
        </is>
      </c>
      <c r="B867" s="1" t="n">
        <v>44496</v>
      </c>
      <c r="C867" s="1" t="n">
        <v>45822</v>
      </c>
      <c r="D867" t="inlineStr">
        <is>
          <t>VÄRMLANDS LÄN</t>
        </is>
      </c>
      <c r="E867" t="inlineStr">
        <is>
          <t>TORSBY</t>
        </is>
      </c>
      <c r="G867" t="n">
        <v>1.1</v>
      </c>
      <c r="H867" t="n">
        <v>0</v>
      </c>
      <c r="I867" t="n">
        <v>0</v>
      </c>
      <c r="J867" t="n">
        <v>0</v>
      </c>
      <c r="K867" t="n">
        <v>0</v>
      </c>
      <c r="L867" t="n">
        <v>0</v>
      </c>
      <c r="M867" t="n">
        <v>0</v>
      </c>
      <c r="N867" t="n">
        <v>0</v>
      </c>
      <c r="O867" t="n">
        <v>0</v>
      </c>
      <c r="P867" t="n">
        <v>0</v>
      </c>
      <c r="Q867" t="n">
        <v>0</v>
      </c>
      <c r="R867" s="2" t="inlineStr"/>
    </row>
    <row r="868" ht="15" customHeight="1">
      <c r="A868" t="inlineStr">
        <is>
          <t>A 61812-2021</t>
        </is>
      </c>
      <c r="B868" s="1" t="n">
        <v>44501</v>
      </c>
      <c r="C868" s="1" t="n">
        <v>45822</v>
      </c>
      <c r="D868" t="inlineStr">
        <is>
          <t>VÄRMLANDS LÄN</t>
        </is>
      </c>
      <c r="E868" t="inlineStr">
        <is>
          <t>TORSBY</t>
        </is>
      </c>
      <c r="G868" t="n">
        <v>5.3</v>
      </c>
      <c r="H868" t="n">
        <v>0</v>
      </c>
      <c r="I868" t="n">
        <v>0</v>
      </c>
      <c r="J868" t="n">
        <v>0</v>
      </c>
      <c r="K868" t="n">
        <v>0</v>
      </c>
      <c r="L868" t="n">
        <v>0</v>
      </c>
      <c r="M868" t="n">
        <v>0</v>
      </c>
      <c r="N868" t="n">
        <v>0</v>
      </c>
      <c r="O868" t="n">
        <v>0</v>
      </c>
      <c r="P868" t="n">
        <v>0</v>
      </c>
      <c r="Q868" t="n">
        <v>0</v>
      </c>
      <c r="R868" s="2" t="inlineStr"/>
    </row>
    <row r="869" ht="15" customHeight="1">
      <c r="A869" t="inlineStr">
        <is>
          <t>A 61809-2021</t>
        </is>
      </c>
      <c r="B869" s="1" t="n">
        <v>44501</v>
      </c>
      <c r="C869" s="1" t="n">
        <v>45822</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62045-2021</t>
        </is>
      </c>
      <c r="B870" s="1" t="n">
        <v>44502</v>
      </c>
      <c r="C870" s="1" t="n">
        <v>45822</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62039-2021</t>
        </is>
      </c>
      <c r="B871" s="1" t="n">
        <v>44502</v>
      </c>
      <c r="C871" s="1" t="n">
        <v>45822</v>
      </c>
      <c r="D871" t="inlineStr">
        <is>
          <t>VÄRMLANDS LÄN</t>
        </is>
      </c>
      <c r="E871" t="inlineStr">
        <is>
          <t>TORSBY</t>
        </is>
      </c>
      <c r="G871" t="n">
        <v>1.5</v>
      </c>
      <c r="H871" t="n">
        <v>0</v>
      </c>
      <c r="I871" t="n">
        <v>0</v>
      </c>
      <c r="J871" t="n">
        <v>0</v>
      </c>
      <c r="K871" t="n">
        <v>0</v>
      </c>
      <c r="L871" t="n">
        <v>0</v>
      </c>
      <c r="M871" t="n">
        <v>0</v>
      </c>
      <c r="N871" t="n">
        <v>0</v>
      </c>
      <c r="O871" t="n">
        <v>0</v>
      </c>
      <c r="P871" t="n">
        <v>0</v>
      </c>
      <c r="Q871" t="n">
        <v>0</v>
      </c>
      <c r="R871" s="2" t="inlineStr"/>
    </row>
    <row r="872" ht="15" customHeight="1">
      <c r="A872" t="inlineStr">
        <is>
          <t>A 62576-2021</t>
        </is>
      </c>
      <c r="B872" s="1" t="n">
        <v>44502</v>
      </c>
      <c r="C872" s="1" t="n">
        <v>45822</v>
      </c>
      <c r="D872" t="inlineStr">
        <is>
          <t>VÄRMLANDS LÄN</t>
        </is>
      </c>
      <c r="E872" t="inlineStr">
        <is>
          <t>TORSBY</t>
        </is>
      </c>
      <c r="G872" t="n">
        <v>3.3</v>
      </c>
      <c r="H872" t="n">
        <v>0</v>
      </c>
      <c r="I872" t="n">
        <v>0</v>
      </c>
      <c r="J872" t="n">
        <v>0</v>
      </c>
      <c r="K872" t="n">
        <v>0</v>
      </c>
      <c r="L872" t="n">
        <v>0</v>
      </c>
      <c r="M872" t="n">
        <v>0</v>
      </c>
      <c r="N872" t="n">
        <v>0</v>
      </c>
      <c r="O872" t="n">
        <v>0</v>
      </c>
      <c r="P872" t="n">
        <v>0</v>
      </c>
      <c r="Q872" t="n">
        <v>0</v>
      </c>
      <c r="R872" s="2" t="inlineStr"/>
    </row>
    <row r="873" ht="15" customHeight="1">
      <c r="A873" t="inlineStr">
        <is>
          <t>A 62845-2021</t>
        </is>
      </c>
      <c r="B873" s="1" t="n">
        <v>44504</v>
      </c>
      <c r="C873" s="1" t="n">
        <v>45822</v>
      </c>
      <c r="D873" t="inlineStr">
        <is>
          <t>VÄRMLANDS LÄN</t>
        </is>
      </c>
      <c r="E873" t="inlineStr">
        <is>
          <t>TORSBY</t>
        </is>
      </c>
      <c r="G873" t="n">
        <v>4.3</v>
      </c>
      <c r="H873" t="n">
        <v>0</v>
      </c>
      <c r="I873" t="n">
        <v>0</v>
      </c>
      <c r="J873" t="n">
        <v>0</v>
      </c>
      <c r="K873" t="n">
        <v>0</v>
      </c>
      <c r="L873" t="n">
        <v>0</v>
      </c>
      <c r="M873" t="n">
        <v>0</v>
      </c>
      <c r="N873" t="n">
        <v>0</v>
      </c>
      <c r="O873" t="n">
        <v>0</v>
      </c>
      <c r="P873" t="n">
        <v>0</v>
      </c>
      <c r="Q873" t="n">
        <v>0</v>
      </c>
      <c r="R873" s="2" t="inlineStr"/>
    </row>
    <row r="874" ht="15" customHeight="1">
      <c r="A874" t="inlineStr">
        <is>
          <t>A 63251-2021</t>
        </is>
      </c>
      <c r="B874" s="1" t="n">
        <v>44508</v>
      </c>
      <c r="C874" s="1" t="n">
        <v>45822</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63527-2021</t>
        </is>
      </c>
      <c r="B875" s="1" t="n">
        <v>44508</v>
      </c>
      <c r="C875" s="1" t="n">
        <v>45822</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64780-2021</t>
        </is>
      </c>
      <c r="B876" s="1" t="n">
        <v>44512</v>
      </c>
      <c r="C876" s="1" t="n">
        <v>45822</v>
      </c>
      <c r="D876" t="inlineStr">
        <is>
          <t>VÄRMLANDS LÄN</t>
        </is>
      </c>
      <c r="E876" t="inlineStr">
        <is>
          <t>TORSBY</t>
        </is>
      </c>
      <c r="G876" t="n">
        <v>2</v>
      </c>
      <c r="H876" t="n">
        <v>0</v>
      </c>
      <c r="I876" t="n">
        <v>0</v>
      </c>
      <c r="J876" t="n">
        <v>0</v>
      </c>
      <c r="K876" t="n">
        <v>0</v>
      </c>
      <c r="L876" t="n">
        <v>0</v>
      </c>
      <c r="M876" t="n">
        <v>0</v>
      </c>
      <c r="N876" t="n">
        <v>0</v>
      </c>
      <c r="O876" t="n">
        <v>0</v>
      </c>
      <c r="P876" t="n">
        <v>0</v>
      </c>
      <c r="Q876" t="n">
        <v>0</v>
      </c>
      <c r="R876" s="2" t="inlineStr"/>
    </row>
    <row r="877" ht="15" customHeight="1">
      <c r="A877" t="inlineStr">
        <is>
          <t>A 64902-2021</t>
        </is>
      </c>
      <c r="B877" s="1" t="n">
        <v>44512</v>
      </c>
      <c r="C877" s="1" t="n">
        <v>45822</v>
      </c>
      <c r="D877" t="inlineStr">
        <is>
          <t>VÄRMLANDS LÄN</t>
        </is>
      </c>
      <c r="E877" t="inlineStr">
        <is>
          <t>TORSBY</t>
        </is>
      </c>
      <c r="G877" t="n">
        <v>6.1</v>
      </c>
      <c r="H877" t="n">
        <v>0</v>
      </c>
      <c r="I877" t="n">
        <v>0</v>
      </c>
      <c r="J877" t="n">
        <v>0</v>
      </c>
      <c r="K877" t="n">
        <v>0</v>
      </c>
      <c r="L877" t="n">
        <v>0</v>
      </c>
      <c r="M877" t="n">
        <v>0</v>
      </c>
      <c r="N877" t="n">
        <v>0</v>
      </c>
      <c r="O877" t="n">
        <v>0</v>
      </c>
      <c r="P877" t="n">
        <v>0</v>
      </c>
      <c r="Q877" t="n">
        <v>0</v>
      </c>
      <c r="R877" s="2" t="inlineStr"/>
    </row>
    <row r="878" ht="15" customHeight="1">
      <c r="A878" t="inlineStr">
        <is>
          <t>A 65182-2021</t>
        </is>
      </c>
      <c r="B878" s="1" t="n">
        <v>44515</v>
      </c>
      <c r="C878" s="1" t="n">
        <v>45822</v>
      </c>
      <c r="D878" t="inlineStr">
        <is>
          <t>VÄRMLANDS LÄN</t>
        </is>
      </c>
      <c r="E878" t="inlineStr">
        <is>
          <t>TORSBY</t>
        </is>
      </c>
      <c r="G878" t="n">
        <v>5.9</v>
      </c>
      <c r="H878" t="n">
        <v>0</v>
      </c>
      <c r="I878" t="n">
        <v>0</v>
      </c>
      <c r="J878" t="n">
        <v>0</v>
      </c>
      <c r="K878" t="n">
        <v>0</v>
      </c>
      <c r="L878" t="n">
        <v>0</v>
      </c>
      <c r="M878" t="n">
        <v>0</v>
      </c>
      <c r="N878" t="n">
        <v>0</v>
      </c>
      <c r="O878" t="n">
        <v>0</v>
      </c>
      <c r="P878" t="n">
        <v>0</v>
      </c>
      <c r="Q878" t="n">
        <v>0</v>
      </c>
      <c r="R878" s="2" t="inlineStr"/>
    </row>
    <row r="879" ht="15" customHeight="1">
      <c r="A879" t="inlineStr">
        <is>
          <t>A 65301-2021</t>
        </is>
      </c>
      <c r="B879" s="1" t="n">
        <v>44515</v>
      </c>
      <c r="C879" s="1" t="n">
        <v>45822</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65537-2021</t>
        </is>
      </c>
      <c r="B880" s="1" t="n">
        <v>44516</v>
      </c>
      <c r="C880" s="1" t="n">
        <v>45822</v>
      </c>
      <c r="D880" t="inlineStr">
        <is>
          <t>VÄRMLANDS LÄN</t>
        </is>
      </c>
      <c r="E880" t="inlineStr">
        <is>
          <t>TORSBY</t>
        </is>
      </c>
      <c r="G880" t="n">
        <v>2.8</v>
      </c>
      <c r="H880" t="n">
        <v>0</v>
      </c>
      <c r="I880" t="n">
        <v>0</v>
      </c>
      <c r="J880" t="n">
        <v>0</v>
      </c>
      <c r="K880" t="n">
        <v>0</v>
      </c>
      <c r="L880" t="n">
        <v>0</v>
      </c>
      <c r="M880" t="n">
        <v>0</v>
      </c>
      <c r="N880" t="n">
        <v>0</v>
      </c>
      <c r="O880" t="n">
        <v>0</v>
      </c>
      <c r="P880" t="n">
        <v>0</v>
      </c>
      <c r="Q880" t="n">
        <v>0</v>
      </c>
      <c r="R880" s="2" t="inlineStr"/>
    </row>
    <row r="881" ht="15" customHeight="1">
      <c r="A881" t="inlineStr">
        <is>
          <t>A 65713-2021</t>
        </is>
      </c>
      <c r="B881" s="1" t="n">
        <v>44516</v>
      </c>
      <c r="C881" s="1" t="n">
        <v>45822</v>
      </c>
      <c r="D881" t="inlineStr">
        <is>
          <t>VÄRMLANDS LÄN</t>
        </is>
      </c>
      <c r="E881" t="inlineStr">
        <is>
          <t>TORSBY</t>
        </is>
      </c>
      <c r="G881" t="n">
        <v>7</v>
      </c>
      <c r="H881" t="n">
        <v>0</v>
      </c>
      <c r="I881" t="n">
        <v>0</v>
      </c>
      <c r="J881" t="n">
        <v>0</v>
      </c>
      <c r="K881" t="n">
        <v>0</v>
      </c>
      <c r="L881" t="n">
        <v>0</v>
      </c>
      <c r="M881" t="n">
        <v>0</v>
      </c>
      <c r="N881" t="n">
        <v>0</v>
      </c>
      <c r="O881" t="n">
        <v>0</v>
      </c>
      <c r="P881" t="n">
        <v>0</v>
      </c>
      <c r="Q881" t="n">
        <v>0</v>
      </c>
      <c r="R881" s="2" t="inlineStr"/>
    </row>
    <row r="882" ht="15" customHeight="1">
      <c r="A882" t="inlineStr">
        <is>
          <t>A 65705-2021</t>
        </is>
      </c>
      <c r="B882" s="1" t="n">
        <v>44516</v>
      </c>
      <c r="C882" s="1" t="n">
        <v>45822</v>
      </c>
      <c r="D882" t="inlineStr">
        <is>
          <t>VÄRMLANDS LÄN</t>
        </is>
      </c>
      <c r="E882" t="inlineStr">
        <is>
          <t>TORSBY</t>
        </is>
      </c>
      <c r="G882" t="n">
        <v>4.5</v>
      </c>
      <c r="H882" t="n">
        <v>0</v>
      </c>
      <c r="I882" t="n">
        <v>0</v>
      </c>
      <c r="J882" t="n">
        <v>0</v>
      </c>
      <c r="K882" t="n">
        <v>0</v>
      </c>
      <c r="L882" t="n">
        <v>0</v>
      </c>
      <c r="M882" t="n">
        <v>0</v>
      </c>
      <c r="N882" t="n">
        <v>0</v>
      </c>
      <c r="O882" t="n">
        <v>0</v>
      </c>
      <c r="P882" t="n">
        <v>0</v>
      </c>
      <c r="Q882" t="n">
        <v>0</v>
      </c>
      <c r="R882" s="2" t="inlineStr"/>
    </row>
    <row r="883" ht="15" customHeight="1">
      <c r="A883" t="inlineStr">
        <is>
          <t>A 65959-2021</t>
        </is>
      </c>
      <c r="B883" s="1" t="n">
        <v>44517</v>
      </c>
      <c r="C883" s="1" t="n">
        <v>45822</v>
      </c>
      <c r="D883" t="inlineStr">
        <is>
          <t>VÄRMLANDS LÄN</t>
        </is>
      </c>
      <c r="E883" t="inlineStr">
        <is>
          <t>TORSBY</t>
        </is>
      </c>
      <c r="G883" t="n">
        <v>3.3</v>
      </c>
      <c r="H883" t="n">
        <v>0</v>
      </c>
      <c r="I883" t="n">
        <v>0</v>
      </c>
      <c r="J883" t="n">
        <v>0</v>
      </c>
      <c r="K883" t="n">
        <v>0</v>
      </c>
      <c r="L883" t="n">
        <v>0</v>
      </c>
      <c r="M883" t="n">
        <v>0</v>
      </c>
      <c r="N883" t="n">
        <v>0</v>
      </c>
      <c r="O883" t="n">
        <v>0</v>
      </c>
      <c r="P883" t="n">
        <v>0</v>
      </c>
      <c r="Q883" t="n">
        <v>0</v>
      </c>
      <c r="R883" s="2" t="inlineStr"/>
    </row>
    <row r="884" ht="15" customHeight="1">
      <c r="A884" t="inlineStr">
        <is>
          <t>A 65998-2021</t>
        </is>
      </c>
      <c r="B884" s="1" t="n">
        <v>44517</v>
      </c>
      <c r="C884" s="1" t="n">
        <v>45822</v>
      </c>
      <c r="D884" t="inlineStr">
        <is>
          <t>VÄRMLANDS LÄN</t>
        </is>
      </c>
      <c r="E884" t="inlineStr">
        <is>
          <t>TORSBY</t>
        </is>
      </c>
      <c r="G884" t="n">
        <v>0.7</v>
      </c>
      <c r="H884" t="n">
        <v>0</v>
      </c>
      <c r="I884" t="n">
        <v>0</v>
      </c>
      <c r="J884" t="n">
        <v>0</v>
      </c>
      <c r="K884" t="n">
        <v>0</v>
      </c>
      <c r="L884" t="n">
        <v>0</v>
      </c>
      <c r="M884" t="n">
        <v>0</v>
      </c>
      <c r="N884" t="n">
        <v>0</v>
      </c>
      <c r="O884" t="n">
        <v>0</v>
      </c>
      <c r="P884" t="n">
        <v>0</v>
      </c>
      <c r="Q884" t="n">
        <v>0</v>
      </c>
      <c r="R884" s="2" t="inlineStr"/>
    </row>
    <row r="885" ht="15" customHeight="1">
      <c r="A885" t="inlineStr">
        <is>
          <t>A 66103-2021</t>
        </is>
      </c>
      <c r="B885" s="1" t="n">
        <v>44517</v>
      </c>
      <c r="C885" s="1" t="n">
        <v>45822</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66133-2021</t>
        </is>
      </c>
      <c r="B886" s="1" t="n">
        <v>44517</v>
      </c>
      <c r="C886" s="1" t="n">
        <v>45822</v>
      </c>
      <c r="D886" t="inlineStr">
        <is>
          <t>VÄRMLANDS LÄN</t>
        </is>
      </c>
      <c r="E886" t="inlineStr">
        <is>
          <t>TORSBY</t>
        </is>
      </c>
      <c r="G886" t="n">
        <v>0.9</v>
      </c>
      <c r="H886" t="n">
        <v>0</v>
      </c>
      <c r="I886" t="n">
        <v>0</v>
      </c>
      <c r="J886" t="n">
        <v>0</v>
      </c>
      <c r="K886" t="n">
        <v>0</v>
      </c>
      <c r="L886" t="n">
        <v>0</v>
      </c>
      <c r="M886" t="n">
        <v>0</v>
      </c>
      <c r="N886" t="n">
        <v>0</v>
      </c>
      <c r="O886" t="n">
        <v>0</v>
      </c>
      <c r="P886" t="n">
        <v>0</v>
      </c>
      <c r="Q886" t="n">
        <v>0</v>
      </c>
      <c r="R886" s="2" t="inlineStr"/>
    </row>
    <row r="887" ht="15" customHeight="1">
      <c r="A887" t="inlineStr">
        <is>
          <t>A 66978-2021</t>
        </is>
      </c>
      <c r="B887" s="1" t="n">
        <v>44522</v>
      </c>
      <c r="C887" s="1" t="n">
        <v>45822</v>
      </c>
      <c r="D887" t="inlineStr">
        <is>
          <t>VÄRMLANDS LÄN</t>
        </is>
      </c>
      <c r="E887" t="inlineStr">
        <is>
          <t>TORSBY</t>
        </is>
      </c>
      <c r="F887" t="inlineStr">
        <is>
          <t>Kommuner</t>
        </is>
      </c>
      <c r="G887" t="n">
        <v>1</v>
      </c>
      <c r="H887" t="n">
        <v>0</v>
      </c>
      <c r="I887" t="n">
        <v>0</v>
      </c>
      <c r="J887" t="n">
        <v>0</v>
      </c>
      <c r="K887" t="n">
        <v>0</v>
      </c>
      <c r="L887" t="n">
        <v>0</v>
      </c>
      <c r="M887" t="n">
        <v>0</v>
      </c>
      <c r="N887" t="n">
        <v>0</v>
      </c>
      <c r="O887" t="n">
        <v>0</v>
      </c>
      <c r="P887" t="n">
        <v>0</v>
      </c>
      <c r="Q887" t="n">
        <v>0</v>
      </c>
      <c r="R887" s="2" t="inlineStr"/>
    </row>
    <row r="888" ht="15" customHeight="1">
      <c r="A888" t="inlineStr">
        <is>
          <t>A 67006-2021</t>
        </is>
      </c>
      <c r="B888" s="1" t="n">
        <v>44522</v>
      </c>
      <c r="C888" s="1" t="n">
        <v>45822</v>
      </c>
      <c r="D888" t="inlineStr">
        <is>
          <t>VÄRMLANDS LÄN</t>
        </is>
      </c>
      <c r="E888" t="inlineStr">
        <is>
          <t>TORSBY</t>
        </is>
      </c>
      <c r="F888" t="inlineStr">
        <is>
          <t>Kommuner</t>
        </is>
      </c>
      <c r="G888" t="n">
        <v>4.4</v>
      </c>
      <c r="H888" t="n">
        <v>0</v>
      </c>
      <c r="I888" t="n">
        <v>0</v>
      </c>
      <c r="J888" t="n">
        <v>0</v>
      </c>
      <c r="K888" t="n">
        <v>0</v>
      </c>
      <c r="L888" t="n">
        <v>0</v>
      </c>
      <c r="M888" t="n">
        <v>0</v>
      </c>
      <c r="N888" t="n">
        <v>0</v>
      </c>
      <c r="O888" t="n">
        <v>0</v>
      </c>
      <c r="P888" t="n">
        <v>0</v>
      </c>
      <c r="Q888" t="n">
        <v>0</v>
      </c>
      <c r="R888" s="2" t="inlineStr"/>
    </row>
    <row r="889" ht="15" customHeight="1">
      <c r="A889" t="inlineStr">
        <is>
          <t>A 67147-2021</t>
        </is>
      </c>
      <c r="B889" s="1" t="n">
        <v>44523</v>
      </c>
      <c r="C889" s="1" t="n">
        <v>45822</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67172-2021</t>
        </is>
      </c>
      <c r="B890" s="1" t="n">
        <v>44523</v>
      </c>
      <c r="C890" s="1" t="n">
        <v>45822</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67567-2021</t>
        </is>
      </c>
      <c r="B891" s="1" t="n">
        <v>44524</v>
      </c>
      <c r="C891" s="1" t="n">
        <v>45822</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67457-2021</t>
        </is>
      </c>
      <c r="B892" s="1" t="n">
        <v>44524</v>
      </c>
      <c r="C892" s="1" t="n">
        <v>45822</v>
      </c>
      <c r="D892" t="inlineStr">
        <is>
          <t>VÄRMLANDS LÄN</t>
        </is>
      </c>
      <c r="E892" t="inlineStr">
        <is>
          <t>TORSBY</t>
        </is>
      </c>
      <c r="G892" t="n">
        <v>7.6</v>
      </c>
      <c r="H892" t="n">
        <v>0</v>
      </c>
      <c r="I892" t="n">
        <v>0</v>
      </c>
      <c r="J892" t="n">
        <v>0</v>
      </c>
      <c r="K892" t="n">
        <v>0</v>
      </c>
      <c r="L892" t="n">
        <v>0</v>
      </c>
      <c r="M892" t="n">
        <v>0</v>
      </c>
      <c r="N892" t="n">
        <v>0</v>
      </c>
      <c r="O892" t="n">
        <v>0</v>
      </c>
      <c r="P892" t="n">
        <v>0</v>
      </c>
      <c r="Q892" t="n">
        <v>0</v>
      </c>
      <c r="R892" s="2" t="inlineStr"/>
    </row>
    <row r="893" ht="15" customHeight="1">
      <c r="A893" t="inlineStr">
        <is>
          <t>A 67933-2021</t>
        </is>
      </c>
      <c r="B893" s="1" t="n">
        <v>44525</v>
      </c>
      <c r="C893" s="1" t="n">
        <v>45822</v>
      </c>
      <c r="D893" t="inlineStr">
        <is>
          <t>VÄRMLANDS LÄN</t>
        </is>
      </c>
      <c r="E893" t="inlineStr">
        <is>
          <t>TORSBY</t>
        </is>
      </c>
      <c r="F893" t="inlineStr">
        <is>
          <t>Bergvik skog väst AB</t>
        </is>
      </c>
      <c r="G893" t="n">
        <v>4</v>
      </c>
      <c r="H893" t="n">
        <v>0</v>
      </c>
      <c r="I893" t="n">
        <v>0</v>
      </c>
      <c r="J893" t="n">
        <v>0</v>
      </c>
      <c r="K893" t="n">
        <v>0</v>
      </c>
      <c r="L893" t="n">
        <v>0</v>
      </c>
      <c r="M893" t="n">
        <v>0</v>
      </c>
      <c r="N893" t="n">
        <v>0</v>
      </c>
      <c r="O893" t="n">
        <v>0</v>
      </c>
      <c r="P893" t="n">
        <v>0</v>
      </c>
      <c r="Q893" t="n">
        <v>0</v>
      </c>
      <c r="R893" s="2" t="inlineStr"/>
    </row>
    <row r="894" ht="15" customHeight="1">
      <c r="A894" t="inlineStr">
        <is>
          <t>A 67913-2021</t>
        </is>
      </c>
      <c r="B894" s="1" t="n">
        <v>44525</v>
      </c>
      <c r="C894" s="1" t="n">
        <v>45822</v>
      </c>
      <c r="D894" t="inlineStr">
        <is>
          <t>VÄRMLANDS LÄN</t>
        </is>
      </c>
      <c r="E894" t="inlineStr">
        <is>
          <t>TORSBY</t>
        </is>
      </c>
      <c r="F894" t="inlineStr">
        <is>
          <t>Bergvik skog väst AB</t>
        </is>
      </c>
      <c r="G894" t="n">
        <v>8</v>
      </c>
      <c r="H894" t="n">
        <v>0</v>
      </c>
      <c r="I894" t="n">
        <v>0</v>
      </c>
      <c r="J894" t="n">
        <v>0</v>
      </c>
      <c r="K894" t="n">
        <v>0</v>
      </c>
      <c r="L894" t="n">
        <v>0</v>
      </c>
      <c r="M894" t="n">
        <v>0</v>
      </c>
      <c r="N894" t="n">
        <v>0</v>
      </c>
      <c r="O894" t="n">
        <v>0</v>
      </c>
      <c r="P894" t="n">
        <v>0</v>
      </c>
      <c r="Q894" t="n">
        <v>0</v>
      </c>
      <c r="R894" s="2" t="inlineStr"/>
    </row>
    <row r="895" ht="15" customHeight="1">
      <c r="A895" t="inlineStr">
        <is>
          <t>A 69279-2021</t>
        </is>
      </c>
      <c r="B895" s="1" t="n">
        <v>44526</v>
      </c>
      <c r="C895" s="1" t="n">
        <v>45822</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69265-2021</t>
        </is>
      </c>
      <c r="B896" s="1" t="n">
        <v>44526</v>
      </c>
      <c r="C896" s="1" t="n">
        <v>45822</v>
      </c>
      <c r="D896" t="inlineStr">
        <is>
          <t>VÄRMLANDS LÄN</t>
        </is>
      </c>
      <c r="E896" t="inlineStr">
        <is>
          <t>TORSBY</t>
        </is>
      </c>
      <c r="G896" t="n">
        <v>11.1</v>
      </c>
      <c r="H896" t="n">
        <v>0</v>
      </c>
      <c r="I896" t="n">
        <v>0</v>
      </c>
      <c r="J896" t="n">
        <v>0</v>
      </c>
      <c r="K896" t="n">
        <v>0</v>
      </c>
      <c r="L896" t="n">
        <v>0</v>
      </c>
      <c r="M896" t="n">
        <v>0</v>
      </c>
      <c r="N896" t="n">
        <v>0</v>
      </c>
      <c r="O896" t="n">
        <v>0</v>
      </c>
      <c r="P896" t="n">
        <v>0</v>
      </c>
      <c r="Q896" t="n">
        <v>0</v>
      </c>
      <c r="R896" s="2" t="inlineStr"/>
    </row>
    <row r="897" ht="15" customHeight="1">
      <c r="A897" t="inlineStr">
        <is>
          <t>A 69275-2021</t>
        </is>
      </c>
      <c r="B897" s="1" t="n">
        <v>44526</v>
      </c>
      <c r="C897" s="1" t="n">
        <v>45822</v>
      </c>
      <c r="D897" t="inlineStr">
        <is>
          <t>VÄRMLANDS LÄN</t>
        </is>
      </c>
      <c r="E897" t="inlineStr">
        <is>
          <t>TORSBY</t>
        </is>
      </c>
      <c r="G897" t="n">
        <v>2</v>
      </c>
      <c r="H897" t="n">
        <v>0</v>
      </c>
      <c r="I897" t="n">
        <v>0</v>
      </c>
      <c r="J897" t="n">
        <v>0</v>
      </c>
      <c r="K897" t="n">
        <v>0</v>
      </c>
      <c r="L897" t="n">
        <v>0</v>
      </c>
      <c r="M897" t="n">
        <v>0</v>
      </c>
      <c r="N897" t="n">
        <v>0</v>
      </c>
      <c r="O897" t="n">
        <v>0</v>
      </c>
      <c r="P897" t="n">
        <v>0</v>
      </c>
      <c r="Q897" t="n">
        <v>0</v>
      </c>
      <c r="R897" s="2" t="inlineStr"/>
    </row>
    <row r="898" ht="15" customHeight="1">
      <c r="A898" t="inlineStr">
        <is>
          <t>A 68153-2021</t>
        </is>
      </c>
      <c r="B898" s="1" t="n">
        <v>44526</v>
      </c>
      <c r="C898" s="1" t="n">
        <v>45822</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69281-2021</t>
        </is>
      </c>
      <c r="B899" s="1" t="n">
        <v>44526</v>
      </c>
      <c r="C899" s="1" t="n">
        <v>45822</v>
      </c>
      <c r="D899" t="inlineStr">
        <is>
          <t>VÄRMLANDS LÄN</t>
        </is>
      </c>
      <c r="E899" t="inlineStr">
        <is>
          <t>TORSBY</t>
        </is>
      </c>
      <c r="G899" t="n">
        <v>7.5</v>
      </c>
      <c r="H899" t="n">
        <v>0</v>
      </c>
      <c r="I899" t="n">
        <v>0</v>
      </c>
      <c r="J899" t="n">
        <v>0</v>
      </c>
      <c r="K899" t="n">
        <v>0</v>
      </c>
      <c r="L899" t="n">
        <v>0</v>
      </c>
      <c r="M899" t="n">
        <v>0</v>
      </c>
      <c r="N899" t="n">
        <v>0</v>
      </c>
      <c r="O899" t="n">
        <v>0</v>
      </c>
      <c r="P899" t="n">
        <v>0</v>
      </c>
      <c r="Q899" t="n">
        <v>0</v>
      </c>
      <c r="R899" s="2" t="inlineStr"/>
    </row>
    <row r="900" ht="15" customHeight="1">
      <c r="A900" t="inlineStr">
        <is>
          <t>A 68266-2021</t>
        </is>
      </c>
      <c r="B900" s="1" t="n">
        <v>44526</v>
      </c>
      <c r="C900" s="1" t="n">
        <v>45822</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68136-2021</t>
        </is>
      </c>
      <c r="B901" s="1" t="n">
        <v>44526</v>
      </c>
      <c r="C901" s="1" t="n">
        <v>45822</v>
      </c>
      <c r="D901" t="inlineStr">
        <is>
          <t>VÄRMLANDS LÄN</t>
        </is>
      </c>
      <c r="E901" t="inlineStr">
        <is>
          <t>TORSBY</t>
        </is>
      </c>
      <c r="G901" t="n">
        <v>2.9</v>
      </c>
      <c r="H901" t="n">
        <v>0</v>
      </c>
      <c r="I901" t="n">
        <v>0</v>
      </c>
      <c r="J901" t="n">
        <v>0</v>
      </c>
      <c r="K901" t="n">
        <v>0</v>
      </c>
      <c r="L901" t="n">
        <v>0</v>
      </c>
      <c r="M901" t="n">
        <v>0</v>
      </c>
      <c r="N901" t="n">
        <v>0</v>
      </c>
      <c r="O901" t="n">
        <v>0</v>
      </c>
      <c r="P901" t="n">
        <v>0</v>
      </c>
      <c r="Q901" t="n">
        <v>0</v>
      </c>
      <c r="R901" s="2" t="inlineStr"/>
    </row>
    <row r="902" ht="15" customHeight="1">
      <c r="A902" t="inlineStr">
        <is>
          <t>A 68650-2021</t>
        </is>
      </c>
      <c r="B902" s="1" t="n">
        <v>44529</v>
      </c>
      <c r="C902" s="1" t="n">
        <v>45822</v>
      </c>
      <c r="D902" t="inlineStr">
        <is>
          <t>VÄRMLANDS LÄN</t>
        </is>
      </c>
      <c r="E902" t="inlineStr">
        <is>
          <t>TORSBY</t>
        </is>
      </c>
      <c r="F902" t="inlineStr">
        <is>
          <t>Bergvik skog väst AB</t>
        </is>
      </c>
      <c r="G902" t="n">
        <v>8.6</v>
      </c>
      <c r="H902" t="n">
        <v>0</v>
      </c>
      <c r="I902" t="n">
        <v>0</v>
      </c>
      <c r="J902" t="n">
        <v>0</v>
      </c>
      <c r="K902" t="n">
        <v>0</v>
      </c>
      <c r="L902" t="n">
        <v>0</v>
      </c>
      <c r="M902" t="n">
        <v>0</v>
      </c>
      <c r="N902" t="n">
        <v>0</v>
      </c>
      <c r="O902" t="n">
        <v>0</v>
      </c>
      <c r="P902" t="n">
        <v>0</v>
      </c>
      <c r="Q902" t="n">
        <v>0</v>
      </c>
      <c r="R902" s="2" t="inlineStr"/>
    </row>
    <row r="903" ht="15" customHeight="1">
      <c r="A903" t="inlineStr">
        <is>
          <t>A 68850-2021</t>
        </is>
      </c>
      <c r="B903" s="1" t="n">
        <v>44530</v>
      </c>
      <c r="C903" s="1" t="n">
        <v>45822</v>
      </c>
      <c r="D903" t="inlineStr">
        <is>
          <t>VÄRMLANDS LÄN</t>
        </is>
      </c>
      <c r="E903" t="inlineStr">
        <is>
          <t>TORSBY</t>
        </is>
      </c>
      <c r="G903" t="n">
        <v>13.1</v>
      </c>
      <c r="H903" t="n">
        <v>0</v>
      </c>
      <c r="I903" t="n">
        <v>0</v>
      </c>
      <c r="J903" t="n">
        <v>0</v>
      </c>
      <c r="K903" t="n">
        <v>0</v>
      </c>
      <c r="L903" t="n">
        <v>0</v>
      </c>
      <c r="M903" t="n">
        <v>0</v>
      </c>
      <c r="N903" t="n">
        <v>0</v>
      </c>
      <c r="O903" t="n">
        <v>0</v>
      </c>
      <c r="P903" t="n">
        <v>0</v>
      </c>
      <c r="Q903" t="n">
        <v>0</v>
      </c>
      <c r="R903" s="2" t="inlineStr"/>
    </row>
    <row r="904" ht="15" customHeight="1">
      <c r="A904" t="inlineStr">
        <is>
          <t>A 68855-2021</t>
        </is>
      </c>
      <c r="B904" s="1" t="n">
        <v>44530</v>
      </c>
      <c r="C904" s="1" t="n">
        <v>45822</v>
      </c>
      <c r="D904" t="inlineStr">
        <is>
          <t>VÄRMLANDS LÄN</t>
        </is>
      </c>
      <c r="E904" t="inlineStr">
        <is>
          <t>TORSBY</t>
        </is>
      </c>
      <c r="G904" t="n">
        <v>3.1</v>
      </c>
      <c r="H904" t="n">
        <v>0</v>
      </c>
      <c r="I904" t="n">
        <v>0</v>
      </c>
      <c r="J904" t="n">
        <v>0</v>
      </c>
      <c r="K904" t="n">
        <v>0</v>
      </c>
      <c r="L904" t="n">
        <v>0</v>
      </c>
      <c r="M904" t="n">
        <v>0</v>
      </c>
      <c r="N904" t="n">
        <v>0</v>
      </c>
      <c r="O904" t="n">
        <v>0</v>
      </c>
      <c r="P904" t="n">
        <v>0</v>
      </c>
      <c r="Q904" t="n">
        <v>0</v>
      </c>
      <c r="R904" s="2" t="inlineStr"/>
    </row>
    <row r="905" ht="15" customHeight="1">
      <c r="A905" t="inlineStr">
        <is>
          <t>A 69026-2021</t>
        </is>
      </c>
      <c r="B905" s="1" t="n">
        <v>44530</v>
      </c>
      <c r="C905" s="1" t="n">
        <v>45822</v>
      </c>
      <c r="D905" t="inlineStr">
        <is>
          <t>VÄRMLANDS LÄN</t>
        </is>
      </c>
      <c r="E905" t="inlineStr">
        <is>
          <t>TORSBY</t>
        </is>
      </c>
      <c r="F905" t="inlineStr">
        <is>
          <t>Bergvik skog väst AB</t>
        </is>
      </c>
      <c r="G905" t="n">
        <v>11.3</v>
      </c>
      <c r="H905" t="n">
        <v>0</v>
      </c>
      <c r="I905" t="n">
        <v>0</v>
      </c>
      <c r="J905" t="n">
        <v>0</v>
      </c>
      <c r="K905" t="n">
        <v>0</v>
      </c>
      <c r="L905" t="n">
        <v>0</v>
      </c>
      <c r="M905" t="n">
        <v>0</v>
      </c>
      <c r="N905" t="n">
        <v>0</v>
      </c>
      <c r="O905" t="n">
        <v>0</v>
      </c>
      <c r="P905" t="n">
        <v>0</v>
      </c>
      <c r="Q905" t="n">
        <v>0</v>
      </c>
      <c r="R905" s="2" t="inlineStr"/>
    </row>
    <row r="906" ht="15" customHeight="1">
      <c r="A906" t="inlineStr">
        <is>
          <t>A 69086-2021</t>
        </is>
      </c>
      <c r="B906" s="1" t="n">
        <v>44530</v>
      </c>
      <c r="C906" s="1" t="n">
        <v>45822</v>
      </c>
      <c r="D906" t="inlineStr">
        <is>
          <t>VÄRMLANDS LÄN</t>
        </is>
      </c>
      <c r="E906" t="inlineStr">
        <is>
          <t>TORSBY</t>
        </is>
      </c>
      <c r="F906" t="inlineStr">
        <is>
          <t>Bergvik skog väst AB</t>
        </is>
      </c>
      <c r="G906" t="n">
        <v>3.3</v>
      </c>
      <c r="H906" t="n">
        <v>0</v>
      </c>
      <c r="I906" t="n">
        <v>0</v>
      </c>
      <c r="J906" t="n">
        <v>0</v>
      </c>
      <c r="K906" t="n">
        <v>0</v>
      </c>
      <c r="L906" t="n">
        <v>0</v>
      </c>
      <c r="M906" t="n">
        <v>0</v>
      </c>
      <c r="N906" t="n">
        <v>0</v>
      </c>
      <c r="O906" t="n">
        <v>0</v>
      </c>
      <c r="P906" t="n">
        <v>0</v>
      </c>
      <c r="Q906" t="n">
        <v>0</v>
      </c>
      <c r="R906" s="2" t="inlineStr"/>
    </row>
    <row r="907" ht="15" customHeight="1">
      <c r="A907" t="inlineStr">
        <is>
          <t>A 69877-2021</t>
        </is>
      </c>
      <c r="B907" s="1" t="n">
        <v>44532</v>
      </c>
      <c r="C907" s="1" t="n">
        <v>45822</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69878-2021</t>
        </is>
      </c>
      <c r="B908" s="1" t="n">
        <v>44532</v>
      </c>
      <c r="C908" s="1" t="n">
        <v>45822</v>
      </c>
      <c r="D908" t="inlineStr">
        <is>
          <t>VÄRMLANDS LÄN</t>
        </is>
      </c>
      <c r="E908" t="inlineStr">
        <is>
          <t>TORSBY</t>
        </is>
      </c>
      <c r="G908" t="n">
        <v>0.6</v>
      </c>
      <c r="H908" t="n">
        <v>0</v>
      </c>
      <c r="I908" t="n">
        <v>0</v>
      </c>
      <c r="J908" t="n">
        <v>0</v>
      </c>
      <c r="K908" t="n">
        <v>0</v>
      </c>
      <c r="L908" t="n">
        <v>0</v>
      </c>
      <c r="M908" t="n">
        <v>0</v>
      </c>
      <c r="N908" t="n">
        <v>0</v>
      </c>
      <c r="O908" t="n">
        <v>0</v>
      </c>
      <c r="P908" t="n">
        <v>0</v>
      </c>
      <c r="Q908" t="n">
        <v>0</v>
      </c>
      <c r="R908" s="2" t="inlineStr"/>
    </row>
    <row r="909" ht="15" customHeight="1">
      <c r="A909" t="inlineStr">
        <is>
          <t>A 70166-2021</t>
        </is>
      </c>
      <c r="B909" s="1" t="n">
        <v>44533</v>
      </c>
      <c r="C909" s="1" t="n">
        <v>45822</v>
      </c>
      <c r="D909" t="inlineStr">
        <is>
          <t>VÄRMLANDS LÄN</t>
        </is>
      </c>
      <c r="E909" t="inlineStr">
        <is>
          <t>TORSBY</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69974-2021</t>
        </is>
      </c>
      <c r="B910" s="1" t="n">
        <v>44533</v>
      </c>
      <c r="C910" s="1" t="n">
        <v>45822</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70241-2021</t>
        </is>
      </c>
      <c r="B911" s="1" t="n">
        <v>44536</v>
      </c>
      <c r="C911" s="1" t="n">
        <v>45822</v>
      </c>
      <c r="D911" t="inlineStr">
        <is>
          <t>VÄRMLANDS LÄN</t>
        </is>
      </c>
      <c r="E911" t="inlineStr">
        <is>
          <t>TORSBY</t>
        </is>
      </c>
      <c r="F911" t="inlineStr">
        <is>
          <t>Bergvik skog väst AB</t>
        </is>
      </c>
      <c r="G911" t="n">
        <v>0.4</v>
      </c>
      <c r="H911" t="n">
        <v>0</v>
      </c>
      <c r="I911" t="n">
        <v>0</v>
      </c>
      <c r="J911" t="n">
        <v>0</v>
      </c>
      <c r="K911" t="n">
        <v>0</v>
      </c>
      <c r="L911" t="n">
        <v>0</v>
      </c>
      <c r="M911" t="n">
        <v>0</v>
      </c>
      <c r="N911" t="n">
        <v>0</v>
      </c>
      <c r="O911" t="n">
        <v>0</v>
      </c>
      <c r="P911" t="n">
        <v>0</v>
      </c>
      <c r="Q911" t="n">
        <v>0</v>
      </c>
      <c r="R911" s="2" t="inlineStr"/>
    </row>
    <row r="912" ht="15" customHeight="1">
      <c r="A912" t="inlineStr">
        <is>
          <t>A 70253-2021</t>
        </is>
      </c>
      <c r="B912" s="1" t="n">
        <v>44536</v>
      </c>
      <c r="C912" s="1" t="n">
        <v>45822</v>
      </c>
      <c r="D912" t="inlineStr">
        <is>
          <t>VÄRMLANDS LÄN</t>
        </is>
      </c>
      <c r="E912" t="inlineStr">
        <is>
          <t>TORSBY</t>
        </is>
      </c>
      <c r="G912" t="n">
        <v>4.3</v>
      </c>
      <c r="H912" t="n">
        <v>0</v>
      </c>
      <c r="I912" t="n">
        <v>0</v>
      </c>
      <c r="J912" t="n">
        <v>0</v>
      </c>
      <c r="K912" t="n">
        <v>0</v>
      </c>
      <c r="L912" t="n">
        <v>0</v>
      </c>
      <c r="M912" t="n">
        <v>0</v>
      </c>
      <c r="N912" t="n">
        <v>0</v>
      </c>
      <c r="O912" t="n">
        <v>0</v>
      </c>
      <c r="P912" t="n">
        <v>0</v>
      </c>
      <c r="Q912" t="n">
        <v>0</v>
      </c>
      <c r="R912" s="2" t="inlineStr"/>
    </row>
    <row r="913" ht="15" customHeight="1">
      <c r="A913" t="inlineStr">
        <is>
          <t>A 70658-2021</t>
        </is>
      </c>
      <c r="B913" s="1" t="n">
        <v>44537</v>
      </c>
      <c r="C913" s="1" t="n">
        <v>45822</v>
      </c>
      <c r="D913" t="inlineStr">
        <is>
          <t>VÄRMLANDS LÄN</t>
        </is>
      </c>
      <c r="E913" t="inlineStr">
        <is>
          <t>TORSBY</t>
        </is>
      </c>
      <c r="G913" t="n">
        <v>1.9</v>
      </c>
      <c r="H913" t="n">
        <v>0</v>
      </c>
      <c r="I913" t="n">
        <v>0</v>
      </c>
      <c r="J913" t="n">
        <v>0</v>
      </c>
      <c r="K913" t="n">
        <v>0</v>
      </c>
      <c r="L913" t="n">
        <v>0</v>
      </c>
      <c r="M913" t="n">
        <v>0</v>
      </c>
      <c r="N913" t="n">
        <v>0</v>
      </c>
      <c r="O913" t="n">
        <v>0</v>
      </c>
      <c r="P913" t="n">
        <v>0</v>
      </c>
      <c r="Q913" t="n">
        <v>0</v>
      </c>
      <c r="R913" s="2" t="inlineStr"/>
    </row>
    <row r="914" ht="15" customHeight="1">
      <c r="A914" t="inlineStr">
        <is>
          <t>A 70787-2021</t>
        </is>
      </c>
      <c r="B914" s="1" t="n">
        <v>44537</v>
      </c>
      <c r="C914" s="1" t="n">
        <v>45822</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70775-2021</t>
        </is>
      </c>
      <c r="B915" s="1" t="n">
        <v>44537</v>
      </c>
      <c r="C915" s="1" t="n">
        <v>45822</v>
      </c>
      <c r="D915" t="inlineStr">
        <is>
          <t>VÄRMLANDS LÄN</t>
        </is>
      </c>
      <c r="E915" t="inlineStr">
        <is>
          <t>TORSBY</t>
        </is>
      </c>
      <c r="G915" t="n">
        <v>0.3</v>
      </c>
      <c r="H915" t="n">
        <v>0</v>
      </c>
      <c r="I915" t="n">
        <v>0</v>
      </c>
      <c r="J915" t="n">
        <v>0</v>
      </c>
      <c r="K915" t="n">
        <v>0</v>
      </c>
      <c r="L915" t="n">
        <v>0</v>
      </c>
      <c r="M915" t="n">
        <v>0</v>
      </c>
      <c r="N915" t="n">
        <v>0</v>
      </c>
      <c r="O915" t="n">
        <v>0</v>
      </c>
      <c r="P915" t="n">
        <v>0</v>
      </c>
      <c r="Q915" t="n">
        <v>0</v>
      </c>
      <c r="R915" s="2" t="inlineStr"/>
    </row>
    <row r="916" ht="15" customHeight="1">
      <c r="A916" t="inlineStr">
        <is>
          <t>A 70785-2021</t>
        </is>
      </c>
      <c r="B916" s="1" t="n">
        <v>44537</v>
      </c>
      <c r="C916" s="1" t="n">
        <v>45822</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70978-2021</t>
        </is>
      </c>
      <c r="B917" s="1" t="n">
        <v>44537</v>
      </c>
      <c r="C917" s="1" t="n">
        <v>45822</v>
      </c>
      <c r="D917" t="inlineStr">
        <is>
          <t>VÄRMLANDS LÄN</t>
        </is>
      </c>
      <c r="E917" t="inlineStr">
        <is>
          <t>TORSBY</t>
        </is>
      </c>
      <c r="G917" t="n">
        <v>12.6</v>
      </c>
      <c r="H917" t="n">
        <v>0</v>
      </c>
      <c r="I917" t="n">
        <v>0</v>
      </c>
      <c r="J917" t="n">
        <v>0</v>
      </c>
      <c r="K917" t="n">
        <v>0</v>
      </c>
      <c r="L917" t="n">
        <v>0</v>
      </c>
      <c r="M917" t="n">
        <v>0</v>
      </c>
      <c r="N917" t="n">
        <v>0</v>
      </c>
      <c r="O917" t="n">
        <v>0</v>
      </c>
      <c r="P917" t="n">
        <v>0</v>
      </c>
      <c r="Q917" t="n">
        <v>0</v>
      </c>
      <c r="R917" s="2" t="inlineStr"/>
    </row>
    <row r="918" ht="15" customHeight="1">
      <c r="A918" t="inlineStr">
        <is>
          <t>A 70926-2021</t>
        </is>
      </c>
      <c r="B918" s="1" t="n">
        <v>44538</v>
      </c>
      <c r="C918" s="1" t="n">
        <v>45822</v>
      </c>
      <c r="D918" t="inlineStr">
        <is>
          <t>VÄRMLANDS LÄN</t>
        </is>
      </c>
      <c r="E918" t="inlineStr">
        <is>
          <t>TORSBY</t>
        </is>
      </c>
      <c r="G918" t="n">
        <v>6.5</v>
      </c>
      <c r="H918" t="n">
        <v>0</v>
      </c>
      <c r="I918" t="n">
        <v>0</v>
      </c>
      <c r="J918" t="n">
        <v>0</v>
      </c>
      <c r="K918" t="n">
        <v>0</v>
      </c>
      <c r="L918" t="n">
        <v>0</v>
      </c>
      <c r="M918" t="n">
        <v>0</v>
      </c>
      <c r="N918" t="n">
        <v>0</v>
      </c>
      <c r="O918" t="n">
        <v>0</v>
      </c>
      <c r="P918" t="n">
        <v>0</v>
      </c>
      <c r="Q918" t="n">
        <v>0</v>
      </c>
      <c r="R918" s="2" t="inlineStr"/>
    </row>
    <row r="919" ht="15" customHeight="1">
      <c r="A919" t="inlineStr">
        <is>
          <t>A 70924-2021</t>
        </is>
      </c>
      <c r="B919" s="1" t="n">
        <v>44538</v>
      </c>
      <c r="C919" s="1" t="n">
        <v>45822</v>
      </c>
      <c r="D919" t="inlineStr">
        <is>
          <t>VÄRMLANDS LÄN</t>
        </is>
      </c>
      <c r="E919" t="inlineStr">
        <is>
          <t>TORSBY</t>
        </is>
      </c>
      <c r="G919" t="n">
        <v>3.8</v>
      </c>
      <c r="H919" t="n">
        <v>0</v>
      </c>
      <c r="I919" t="n">
        <v>0</v>
      </c>
      <c r="J919" t="n">
        <v>0</v>
      </c>
      <c r="K919" t="n">
        <v>0</v>
      </c>
      <c r="L919" t="n">
        <v>0</v>
      </c>
      <c r="M919" t="n">
        <v>0</v>
      </c>
      <c r="N919" t="n">
        <v>0</v>
      </c>
      <c r="O919" t="n">
        <v>0</v>
      </c>
      <c r="P919" t="n">
        <v>0</v>
      </c>
      <c r="Q919" t="n">
        <v>0</v>
      </c>
      <c r="R919" s="2" t="inlineStr"/>
    </row>
    <row r="920" ht="15" customHeight="1">
      <c r="A920" t="inlineStr">
        <is>
          <t>A 71255-2021</t>
        </is>
      </c>
      <c r="B920" s="1" t="n">
        <v>44538</v>
      </c>
      <c r="C920" s="1" t="n">
        <v>45822</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71084-2021</t>
        </is>
      </c>
      <c r="B921" s="1" t="n">
        <v>44539</v>
      </c>
      <c r="C921" s="1" t="n">
        <v>45822</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71469-2021</t>
        </is>
      </c>
      <c r="B922" s="1" t="n">
        <v>44540</v>
      </c>
      <c r="C922" s="1" t="n">
        <v>45822</v>
      </c>
      <c r="D922" t="inlineStr">
        <is>
          <t>VÄRMLANDS LÄN</t>
        </is>
      </c>
      <c r="E922" t="inlineStr">
        <is>
          <t>TORSBY</t>
        </is>
      </c>
      <c r="F922" t="inlineStr">
        <is>
          <t>Övriga Aktiebolag</t>
        </is>
      </c>
      <c r="G922" t="n">
        <v>4.1</v>
      </c>
      <c r="H922" t="n">
        <v>0</v>
      </c>
      <c r="I922" t="n">
        <v>0</v>
      </c>
      <c r="J922" t="n">
        <v>0</v>
      </c>
      <c r="K922" t="n">
        <v>0</v>
      </c>
      <c r="L922" t="n">
        <v>0</v>
      </c>
      <c r="M922" t="n">
        <v>0</v>
      </c>
      <c r="N922" t="n">
        <v>0</v>
      </c>
      <c r="O922" t="n">
        <v>0</v>
      </c>
      <c r="P922" t="n">
        <v>0</v>
      </c>
      <c r="Q922" t="n">
        <v>0</v>
      </c>
      <c r="R922" s="2" t="inlineStr"/>
    </row>
    <row r="923" ht="15" customHeight="1">
      <c r="A923" t="inlineStr">
        <is>
          <t>A 71679-2021</t>
        </is>
      </c>
      <c r="B923" s="1" t="n">
        <v>44543</v>
      </c>
      <c r="C923" s="1" t="n">
        <v>45822</v>
      </c>
      <c r="D923" t="inlineStr">
        <is>
          <t>VÄRMLANDS LÄN</t>
        </is>
      </c>
      <c r="E923" t="inlineStr">
        <is>
          <t>TORSBY</t>
        </is>
      </c>
      <c r="G923" t="n">
        <v>2.3</v>
      </c>
      <c r="H923" t="n">
        <v>0</v>
      </c>
      <c r="I923" t="n">
        <v>0</v>
      </c>
      <c r="J923" t="n">
        <v>0</v>
      </c>
      <c r="K923" t="n">
        <v>0</v>
      </c>
      <c r="L923" t="n">
        <v>0</v>
      </c>
      <c r="M923" t="n">
        <v>0</v>
      </c>
      <c r="N923" t="n">
        <v>0</v>
      </c>
      <c r="O923" t="n">
        <v>0</v>
      </c>
      <c r="P923" t="n">
        <v>0</v>
      </c>
      <c r="Q923" t="n">
        <v>0</v>
      </c>
      <c r="R923" s="2" t="inlineStr"/>
    </row>
    <row r="924" ht="15" customHeight="1">
      <c r="A924" t="inlineStr">
        <is>
          <t>A 71990-2021</t>
        </is>
      </c>
      <c r="B924" s="1" t="n">
        <v>44544</v>
      </c>
      <c r="C924" s="1" t="n">
        <v>45822</v>
      </c>
      <c r="D924" t="inlineStr">
        <is>
          <t>VÄRMLANDS LÄN</t>
        </is>
      </c>
      <c r="E924" t="inlineStr">
        <is>
          <t>TORSBY</t>
        </is>
      </c>
      <c r="G924" t="n">
        <v>4.6</v>
      </c>
      <c r="H924" t="n">
        <v>0</v>
      </c>
      <c r="I924" t="n">
        <v>0</v>
      </c>
      <c r="J924" t="n">
        <v>0</v>
      </c>
      <c r="K924" t="n">
        <v>0</v>
      </c>
      <c r="L924" t="n">
        <v>0</v>
      </c>
      <c r="M924" t="n">
        <v>0</v>
      </c>
      <c r="N924" t="n">
        <v>0</v>
      </c>
      <c r="O924" t="n">
        <v>0</v>
      </c>
      <c r="P924" t="n">
        <v>0</v>
      </c>
      <c r="Q924" t="n">
        <v>0</v>
      </c>
      <c r="R924" s="2" t="inlineStr"/>
    </row>
    <row r="925" ht="15" customHeight="1">
      <c r="A925" t="inlineStr">
        <is>
          <t>A 72200-2021</t>
        </is>
      </c>
      <c r="B925" s="1" t="n">
        <v>44544</v>
      </c>
      <c r="C925" s="1" t="n">
        <v>45822</v>
      </c>
      <c r="D925" t="inlineStr">
        <is>
          <t>VÄRMLANDS LÄN</t>
        </is>
      </c>
      <c r="E925" t="inlineStr">
        <is>
          <t>TORSBY</t>
        </is>
      </c>
      <c r="G925" t="n">
        <v>3.3</v>
      </c>
      <c r="H925" t="n">
        <v>0</v>
      </c>
      <c r="I925" t="n">
        <v>0</v>
      </c>
      <c r="J925" t="n">
        <v>0</v>
      </c>
      <c r="K925" t="n">
        <v>0</v>
      </c>
      <c r="L925" t="n">
        <v>0</v>
      </c>
      <c r="M925" t="n">
        <v>0</v>
      </c>
      <c r="N925" t="n">
        <v>0</v>
      </c>
      <c r="O925" t="n">
        <v>0</v>
      </c>
      <c r="P925" t="n">
        <v>0</v>
      </c>
      <c r="Q925" t="n">
        <v>0</v>
      </c>
      <c r="R925" s="2" t="inlineStr"/>
    </row>
    <row r="926" ht="15" customHeight="1">
      <c r="A926" t="inlineStr">
        <is>
          <t>A 72250-2021</t>
        </is>
      </c>
      <c r="B926" s="1" t="n">
        <v>44544</v>
      </c>
      <c r="C926" s="1" t="n">
        <v>45822</v>
      </c>
      <c r="D926" t="inlineStr">
        <is>
          <t>VÄRMLANDS LÄN</t>
        </is>
      </c>
      <c r="E926" t="inlineStr">
        <is>
          <t>TORSBY</t>
        </is>
      </c>
      <c r="G926" t="n">
        <v>0.9</v>
      </c>
      <c r="H926" t="n">
        <v>0</v>
      </c>
      <c r="I926" t="n">
        <v>0</v>
      </c>
      <c r="J926" t="n">
        <v>0</v>
      </c>
      <c r="K926" t="n">
        <v>0</v>
      </c>
      <c r="L926" t="n">
        <v>0</v>
      </c>
      <c r="M926" t="n">
        <v>0</v>
      </c>
      <c r="N926" t="n">
        <v>0</v>
      </c>
      <c r="O926" t="n">
        <v>0</v>
      </c>
      <c r="P926" t="n">
        <v>0</v>
      </c>
      <c r="Q926" t="n">
        <v>0</v>
      </c>
      <c r="R926" s="2" t="inlineStr"/>
    </row>
    <row r="927" ht="15" customHeight="1">
      <c r="A927" t="inlineStr">
        <is>
          <t>A 73055-2021</t>
        </is>
      </c>
      <c r="B927" s="1" t="n">
        <v>44550</v>
      </c>
      <c r="C927" s="1" t="n">
        <v>45822</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73324-2021</t>
        </is>
      </c>
      <c r="B928" s="1" t="n">
        <v>44550</v>
      </c>
      <c r="C928" s="1" t="n">
        <v>45822</v>
      </c>
      <c r="D928" t="inlineStr">
        <is>
          <t>VÄRMLANDS LÄN</t>
        </is>
      </c>
      <c r="E928" t="inlineStr">
        <is>
          <t>TORSBY</t>
        </is>
      </c>
      <c r="G928" t="n">
        <v>9.9</v>
      </c>
      <c r="H928" t="n">
        <v>0</v>
      </c>
      <c r="I928" t="n">
        <v>0</v>
      </c>
      <c r="J928" t="n">
        <v>0</v>
      </c>
      <c r="K928" t="n">
        <v>0</v>
      </c>
      <c r="L928" t="n">
        <v>0</v>
      </c>
      <c r="M928" t="n">
        <v>0</v>
      </c>
      <c r="N928" t="n">
        <v>0</v>
      </c>
      <c r="O928" t="n">
        <v>0</v>
      </c>
      <c r="P928" t="n">
        <v>0</v>
      </c>
      <c r="Q928" t="n">
        <v>0</v>
      </c>
      <c r="R928" s="2" t="inlineStr"/>
    </row>
    <row r="929" ht="15" customHeight="1">
      <c r="A929" t="inlineStr">
        <is>
          <t>A 73165-2021</t>
        </is>
      </c>
      <c r="B929" s="1" t="n">
        <v>44550</v>
      </c>
      <c r="C929" s="1" t="n">
        <v>45822</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73442-2021</t>
        </is>
      </c>
      <c r="B930" s="1" t="n">
        <v>44551</v>
      </c>
      <c r="C930" s="1" t="n">
        <v>45822</v>
      </c>
      <c r="D930" t="inlineStr">
        <is>
          <t>VÄRMLANDS LÄN</t>
        </is>
      </c>
      <c r="E930" t="inlineStr">
        <is>
          <t>TORSBY</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73553-2021</t>
        </is>
      </c>
      <c r="B931" s="1" t="n">
        <v>44551</v>
      </c>
      <c r="C931" s="1" t="n">
        <v>45822</v>
      </c>
      <c r="D931" t="inlineStr">
        <is>
          <t>VÄRMLANDS LÄN</t>
        </is>
      </c>
      <c r="E931" t="inlineStr">
        <is>
          <t>TORSBY</t>
        </is>
      </c>
      <c r="G931" t="n">
        <v>5.1</v>
      </c>
      <c r="H931" t="n">
        <v>0</v>
      </c>
      <c r="I931" t="n">
        <v>0</v>
      </c>
      <c r="J931" t="n">
        <v>0</v>
      </c>
      <c r="K931" t="n">
        <v>0</v>
      </c>
      <c r="L931" t="n">
        <v>0</v>
      </c>
      <c r="M931" t="n">
        <v>0</v>
      </c>
      <c r="N931" t="n">
        <v>0</v>
      </c>
      <c r="O931" t="n">
        <v>0</v>
      </c>
      <c r="P931" t="n">
        <v>0</v>
      </c>
      <c r="Q931" t="n">
        <v>0</v>
      </c>
      <c r="R931" s="2" t="inlineStr"/>
    </row>
    <row r="932" ht="15" customHeight="1">
      <c r="A932" t="inlineStr">
        <is>
          <t>A 73521-2021</t>
        </is>
      </c>
      <c r="B932" s="1" t="n">
        <v>44551</v>
      </c>
      <c r="C932" s="1" t="n">
        <v>45822</v>
      </c>
      <c r="D932" t="inlineStr">
        <is>
          <t>VÄRMLANDS LÄN</t>
        </is>
      </c>
      <c r="E932" t="inlineStr">
        <is>
          <t>TORSBY</t>
        </is>
      </c>
      <c r="G932" t="n">
        <v>2.3</v>
      </c>
      <c r="H932" t="n">
        <v>0</v>
      </c>
      <c r="I932" t="n">
        <v>0</v>
      </c>
      <c r="J932" t="n">
        <v>0</v>
      </c>
      <c r="K932" t="n">
        <v>0</v>
      </c>
      <c r="L932" t="n">
        <v>0</v>
      </c>
      <c r="M932" t="n">
        <v>0</v>
      </c>
      <c r="N932" t="n">
        <v>0</v>
      </c>
      <c r="O932" t="n">
        <v>0</v>
      </c>
      <c r="P932" t="n">
        <v>0</v>
      </c>
      <c r="Q932" t="n">
        <v>0</v>
      </c>
      <c r="R932" s="2" t="inlineStr"/>
    </row>
    <row r="933" ht="15" customHeight="1">
      <c r="A933" t="inlineStr">
        <is>
          <t>A 73882-2021</t>
        </is>
      </c>
      <c r="B933" s="1" t="n">
        <v>44553</v>
      </c>
      <c r="C933" s="1" t="n">
        <v>45822</v>
      </c>
      <c r="D933" t="inlineStr">
        <is>
          <t>VÄRMLANDS LÄN</t>
        </is>
      </c>
      <c r="E933" t="inlineStr">
        <is>
          <t>TORSBY</t>
        </is>
      </c>
      <c r="F933" t="inlineStr">
        <is>
          <t>Kyrkan</t>
        </is>
      </c>
      <c r="G933" t="n">
        <v>0.5</v>
      </c>
      <c r="H933" t="n">
        <v>0</v>
      </c>
      <c r="I933" t="n">
        <v>0</v>
      </c>
      <c r="J933" t="n">
        <v>0</v>
      </c>
      <c r="K933" t="n">
        <v>0</v>
      </c>
      <c r="L933" t="n">
        <v>0</v>
      </c>
      <c r="M933" t="n">
        <v>0</v>
      </c>
      <c r="N933" t="n">
        <v>0</v>
      </c>
      <c r="O933" t="n">
        <v>0</v>
      </c>
      <c r="P933" t="n">
        <v>0</v>
      </c>
      <c r="Q933" t="n">
        <v>0</v>
      </c>
      <c r="R933" s="2" t="inlineStr"/>
    </row>
    <row r="934" ht="15" customHeight="1">
      <c r="A934" t="inlineStr">
        <is>
          <t>A 73874-2021</t>
        </is>
      </c>
      <c r="B934" s="1" t="n">
        <v>44553</v>
      </c>
      <c r="C934" s="1" t="n">
        <v>45822</v>
      </c>
      <c r="D934" t="inlineStr">
        <is>
          <t>VÄRMLANDS LÄN</t>
        </is>
      </c>
      <c r="E934" t="inlineStr">
        <is>
          <t>TORSBY</t>
        </is>
      </c>
      <c r="G934" t="n">
        <v>6.6</v>
      </c>
      <c r="H934" t="n">
        <v>0</v>
      </c>
      <c r="I934" t="n">
        <v>0</v>
      </c>
      <c r="J934" t="n">
        <v>0</v>
      </c>
      <c r="K934" t="n">
        <v>0</v>
      </c>
      <c r="L934" t="n">
        <v>0</v>
      </c>
      <c r="M934" t="n">
        <v>0</v>
      </c>
      <c r="N934" t="n">
        <v>0</v>
      </c>
      <c r="O934" t="n">
        <v>0</v>
      </c>
      <c r="P934" t="n">
        <v>0</v>
      </c>
      <c r="Q934" t="n">
        <v>0</v>
      </c>
      <c r="R934" s="2" t="inlineStr"/>
    </row>
    <row r="935" ht="15" customHeight="1">
      <c r="A935" t="inlineStr">
        <is>
          <t>A 74012-2021</t>
        </is>
      </c>
      <c r="B935" s="1" t="n">
        <v>44553</v>
      </c>
      <c r="C935" s="1" t="n">
        <v>45822</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74079-2021</t>
        </is>
      </c>
      <c r="B936" s="1" t="n">
        <v>44557</v>
      </c>
      <c r="C936" s="1" t="n">
        <v>45822</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74375-2021</t>
        </is>
      </c>
      <c r="B937" s="1" t="n">
        <v>44559</v>
      </c>
      <c r="C937" s="1" t="n">
        <v>45822</v>
      </c>
      <c r="D937" t="inlineStr">
        <is>
          <t>VÄRMLANDS LÄN</t>
        </is>
      </c>
      <c r="E937" t="inlineStr">
        <is>
          <t>TORSBY</t>
        </is>
      </c>
      <c r="G937" t="n">
        <v>2.4</v>
      </c>
      <c r="H937" t="n">
        <v>0</v>
      </c>
      <c r="I937" t="n">
        <v>0</v>
      </c>
      <c r="J937" t="n">
        <v>0</v>
      </c>
      <c r="K937" t="n">
        <v>0</v>
      </c>
      <c r="L937" t="n">
        <v>0</v>
      </c>
      <c r="M937" t="n">
        <v>0</v>
      </c>
      <c r="N937" t="n">
        <v>0</v>
      </c>
      <c r="O937" t="n">
        <v>0</v>
      </c>
      <c r="P937" t="n">
        <v>0</v>
      </c>
      <c r="Q937" t="n">
        <v>0</v>
      </c>
      <c r="R937" s="2" t="inlineStr"/>
    </row>
    <row r="938" ht="15" customHeight="1">
      <c r="A938" t="inlineStr">
        <is>
          <t>A 74374-2021</t>
        </is>
      </c>
      <c r="B938" s="1" t="n">
        <v>44559</v>
      </c>
      <c r="C938" s="1" t="n">
        <v>45822</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74351-2021</t>
        </is>
      </c>
      <c r="B939" s="1" t="n">
        <v>44559</v>
      </c>
      <c r="C939" s="1" t="n">
        <v>45822</v>
      </c>
      <c r="D939" t="inlineStr">
        <is>
          <t>VÄRMLANDS LÄN</t>
        </is>
      </c>
      <c r="E939" t="inlineStr">
        <is>
          <t>TORSBY</t>
        </is>
      </c>
      <c r="F939" t="inlineStr">
        <is>
          <t>Bergvik skog väst AB</t>
        </is>
      </c>
      <c r="G939" t="n">
        <v>9.1</v>
      </c>
      <c r="H939" t="n">
        <v>0</v>
      </c>
      <c r="I939" t="n">
        <v>0</v>
      </c>
      <c r="J939" t="n">
        <v>0</v>
      </c>
      <c r="K939" t="n">
        <v>0</v>
      </c>
      <c r="L939" t="n">
        <v>0</v>
      </c>
      <c r="M939" t="n">
        <v>0</v>
      </c>
      <c r="N939" t="n">
        <v>0</v>
      </c>
      <c r="O939" t="n">
        <v>0</v>
      </c>
      <c r="P939" t="n">
        <v>0</v>
      </c>
      <c r="Q939" t="n">
        <v>0</v>
      </c>
      <c r="R939" s="2" t="inlineStr"/>
    </row>
    <row r="940" ht="15" customHeight="1">
      <c r="A940" t="inlineStr">
        <is>
          <t>A 361-2022</t>
        </is>
      </c>
      <c r="B940" s="1" t="n">
        <v>44565</v>
      </c>
      <c r="C940" s="1" t="n">
        <v>45822</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739-2022</t>
        </is>
      </c>
      <c r="B941" s="1" t="n">
        <v>44568</v>
      </c>
      <c r="C941" s="1" t="n">
        <v>45822</v>
      </c>
      <c r="D941" t="inlineStr">
        <is>
          <t>VÄRMLANDS LÄN</t>
        </is>
      </c>
      <c r="E941" t="inlineStr">
        <is>
          <t>TORSBY</t>
        </is>
      </c>
      <c r="G941" t="n">
        <v>3.3</v>
      </c>
      <c r="H941" t="n">
        <v>0</v>
      </c>
      <c r="I941" t="n">
        <v>0</v>
      </c>
      <c r="J941" t="n">
        <v>0</v>
      </c>
      <c r="K941" t="n">
        <v>0</v>
      </c>
      <c r="L941" t="n">
        <v>0</v>
      </c>
      <c r="M941" t="n">
        <v>0</v>
      </c>
      <c r="N941" t="n">
        <v>0</v>
      </c>
      <c r="O941" t="n">
        <v>0</v>
      </c>
      <c r="P941" t="n">
        <v>0</v>
      </c>
      <c r="Q941" t="n">
        <v>0</v>
      </c>
      <c r="R941" s="2" t="inlineStr"/>
    </row>
    <row r="942" ht="15" customHeight="1">
      <c r="A942" t="inlineStr">
        <is>
          <t>A 997-2022</t>
        </is>
      </c>
      <c r="B942" s="1" t="n">
        <v>44571</v>
      </c>
      <c r="C942" s="1" t="n">
        <v>45822</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1839-2022</t>
        </is>
      </c>
      <c r="B943" s="1" t="n">
        <v>44574</v>
      </c>
      <c r="C943" s="1" t="n">
        <v>45822</v>
      </c>
      <c r="D943" t="inlineStr">
        <is>
          <t>VÄRMLANDS LÄN</t>
        </is>
      </c>
      <c r="E943" t="inlineStr">
        <is>
          <t>TORSBY</t>
        </is>
      </c>
      <c r="G943" t="n">
        <v>5.3</v>
      </c>
      <c r="H943" t="n">
        <v>0</v>
      </c>
      <c r="I943" t="n">
        <v>0</v>
      </c>
      <c r="J943" t="n">
        <v>0</v>
      </c>
      <c r="K943" t="n">
        <v>0</v>
      </c>
      <c r="L943" t="n">
        <v>0</v>
      </c>
      <c r="M943" t="n">
        <v>0</v>
      </c>
      <c r="N943" t="n">
        <v>0</v>
      </c>
      <c r="O943" t="n">
        <v>0</v>
      </c>
      <c r="P943" t="n">
        <v>0</v>
      </c>
      <c r="Q943" t="n">
        <v>0</v>
      </c>
      <c r="R943" s="2" t="inlineStr"/>
    </row>
    <row r="944" ht="15" customHeight="1">
      <c r="A944" t="inlineStr">
        <is>
          <t>A 1911-2022</t>
        </is>
      </c>
      <c r="B944" s="1" t="n">
        <v>44575</v>
      </c>
      <c r="C944" s="1" t="n">
        <v>45822</v>
      </c>
      <c r="D944" t="inlineStr">
        <is>
          <t>VÄRMLANDS LÄN</t>
        </is>
      </c>
      <c r="E944" t="inlineStr">
        <is>
          <t>TORSBY</t>
        </is>
      </c>
      <c r="F944" t="inlineStr">
        <is>
          <t>Kommuner</t>
        </is>
      </c>
      <c r="G944" t="n">
        <v>0.8</v>
      </c>
      <c r="H944" t="n">
        <v>0</v>
      </c>
      <c r="I944" t="n">
        <v>0</v>
      </c>
      <c r="J944" t="n">
        <v>0</v>
      </c>
      <c r="K944" t="n">
        <v>0</v>
      </c>
      <c r="L944" t="n">
        <v>0</v>
      </c>
      <c r="M944" t="n">
        <v>0</v>
      </c>
      <c r="N944" t="n">
        <v>0</v>
      </c>
      <c r="O944" t="n">
        <v>0</v>
      </c>
      <c r="P944" t="n">
        <v>0</v>
      </c>
      <c r="Q944" t="n">
        <v>0</v>
      </c>
      <c r="R944" s="2" t="inlineStr"/>
    </row>
    <row r="945" ht="15" customHeight="1">
      <c r="A945" t="inlineStr">
        <is>
          <t>A 2414-2022</t>
        </is>
      </c>
      <c r="B945" s="1" t="n">
        <v>44579</v>
      </c>
      <c r="C945" s="1" t="n">
        <v>45822</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2421-2022</t>
        </is>
      </c>
      <c r="B946" s="1" t="n">
        <v>44579</v>
      </c>
      <c r="C946" s="1" t="n">
        <v>45822</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2699-2022</t>
        </is>
      </c>
      <c r="B947" s="1" t="n">
        <v>44580</v>
      </c>
      <c r="C947" s="1" t="n">
        <v>45822</v>
      </c>
      <c r="D947" t="inlineStr">
        <is>
          <t>VÄRMLANDS LÄN</t>
        </is>
      </c>
      <c r="E947" t="inlineStr">
        <is>
          <t>TORSBY</t>
        </is>
      </c>
      <c r="G947" t="n">
        <v>0.4</v>
      </c>
      <c r="H947" t="n">
        <v>0</v>
      </c>
      <c r="I947" t="n">
        <v>0</v>
      </c>
      <c r="J947" t="n">
        <v>0</v>
      </c>
      <c r="K947" t="n">
        <v>0</v>
      </c>
      <c r="L947" t="n">
        <v>0</v>
      </c>
      <c r="M947" t="n">
        <v>0</v>
      </c>
      <c r="N947" t="n">
        <v>0</v>
      </c>
      <c r="O947" t="n">
        <v>0</v>
      </c>
      <c r="P947" t="n">
        <v>0</v>
      </c>
      <c r="Q947" t="n">
        <v>0</v>
      </c>
      <c r="R947" s="2" t="inlineStr"/>
    </row>
    <row r="948" ht="15" customHeight="1">
      <c r="A948" t="inlineStr">
        <is>
          <t>A 3071-2022</t>
        </is>
      </c>
      <c r="B948" s="1" t="n">
        <v>44582</v>
      </c>
      <c r="C948" s="1" t="n">
        <v>45822</v>
      </c>
      <c r="D948" t="inlineStr">
        <is>
          <t>VÄRMLANDS LÄN</t>
        </is>
      </c>
      <c r="E948" t="inlineStr">
        <is>
          <t>TORSBY</t>
        </is>
      </c>
      <c r="G948" t="n">
        <v>7.9</v>
      </c>
      <c r="H948" t="n">
        <v>0</v>
      </c>
      <c r="I948" t="n">
        <v>0</v>
      </c>
      <c r="J948" t="n">
        <v>0</v>
      </c>
      <c r="K948" t="n">
        <v>0</v>
      </c>
      <c r="L948" t="n">
        <v>0</v>
      </c>
      <c r="M948" t="n">
        <v>0</v>
      </c>
      <c r="N948" t="n">
        <v>0</v>
      </c>
      <c r="O948" t="n">
        <v>0</v>
      </c>
      <c r="P948" t="n">
        <v>0</v>
      </c>
      <c r="Q948" t="n">
        <v>0</v>
      </c>
      <c r="R948" s="2" t="inlineStr"/>
    </row>
    <row r="949" ht="15" customHeight="1">
      <c r="A949" t="inlineStr">
        <is>
          <t>A 3369-2022</t>
        </is>
      </c>
      <c r="B949" s="1" t="n">
        <v>44585</v>
      </c>
      <c r="C949" s="1" t="n">
        <v>45822</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3385-2022</t>
        </is>
      </c>
      <c r="B950" s="1" t="n">
        <v>44585</v>
      </c>
      <c r="C950" s="1" t="n">
        <v>45822</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3397-2022</t>
        </is>
      </c>
      <c r="B951" s="1" t="n">
        <v>44585</v>
      </c>
      <c r="C951" s="1" t="n">
        <v>45822</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3387-2022</t>
        </is>
      </c>
      <c r="B952" s="1" t="n">
        <v>44585</v>
      </c>
      <c r="C952" s="1" t="n">
        <v>45822</v>
      </c>
      <c r="D952" t="inlineStr">
        <is>
          <t>VÄRMLANDS LÄN</t>
        </is>
      </c>
      <c r="E952" t="inlineStr">
        <is>
          <t>TORSBY</t>
        </is>
      </c>
      <c r="G952" t="n">
        <v>4.8</v>
      </c>
      <c r="H952" t="n">
        <v>0</v>
      </c>
      <c r="I952" t="n">
        <v>0</v>
      </c>
      <c r="J952" t="n">
        <v>0</v>
      </c>
      <c r="K952" t="n">
        <v>0</v>
      </c>
      <c r="L952" t="n">
        <v>0</v>
      </c>
      <c r="M952" t="n">
        <v>0</v>
      </c>
      <c r="N952" t="n">
        <v>0</v>
      </c>
      <c r="O952" t="n">
        <v>0</v>
      </c>
      <c r="P952" t="n">
        <v>0</v>
      </c>
      <c r="Q952" t="n">
        <v>0</v>
      </c>
      <c r="R952" s="2" t="inlineStr"/>
    </row>
    <row r="953" ht="15" customHeight="1">
      <c r="A953" t="inlineStr">
        <is>
          <t>A 3382-2022</t>
        </is>
      </c>
      <c r="B953" s="1" t="n">
        <v>44585</v>
      </c>
      <c r="C953" s="1" t="n">
        <v>45822</v>
      </c>
      <c r="D953" t="inlineStr">
        <is>
          <t>VÄRMLANDS LÄN</t>
        </is>
      </c>
      <c r="E953" t="inlineStr">
        <is>
          <t>TORSBY</t>
        </is>
      </c>
      <c r="G953" t="n">
        <v>0.6</v>
      </c>
      <c r="H953" t="n">
        <v>0</v>
      </c>
      <c r="I953" t="n">
        <v>0</v>
      </c>
      <c r="J953" t="n">
        <v>0</v>
      </c>
      <c r="K953" t="n">
        <v>0</v>
      </c>
      <c r="L953" t="n">
        <v>0</v>
      </c>
      <c r="M953" t="n">
        <v>0</v>
      </c>
      <c r="N953" t="n">
        <v>0</v>
      </c>
      <c r="O953" t="n">
        <v>0</v>
      </c>
      <c r="P953" t="n">
        <v>0</v>
      </c>
      <c r="Q953" t="n">
        <v>0</v>
      </c>
      <c r="R953" s="2" t="inlineStr"/>
    </row>
    <row r="954" ht="15" customHeight="1">
      <c r="A954" t="inlineStr">
        <is>
          <t>A 3390-2022</t>
        </is>
      </c>
      <c r="B954" s="1" t="n">
        <v>44585</v>
      </c>
      <c r="C954" s="1" t="n">
        <v>45822</v>
      </c>
      <c r="D954" t="inlineStr">
        <is>
          <t>VÄRMLANDS LÄN</t>
        </is>
      </c>
      <c r="E954" t="inlineStr">
        <is>
          <t>TORSBY</t>
        </is>
      </c>
      <c r="G954" t="n">
        <v>4.3</v>
      </c>
      <c r="H954" t="n">
        <v>0</v>
      </c>
      <c r="I954" t="n">
        <v>0</v>
      </c>
      <c r="J954" t="n">
        <v>0</v>
      </c>
      <c r="K954" t="n">
        <v>0</v>
      </c>
      <c r="L954" t="n">
        <v>0</v>
      </c>
      <c r="M954" t="n">
        <v>0</v>
      </c>
      <c r="N954" t="n">
        <v>0</v>
      </c>
      <c r="O954" t="n">
        <v>0</v>
      </c>
      <c r="P954" t="n">
        <v>0</v>
      </c>
      <c r="Q954" t="n">
        <v>0</v>
      </c>
      <c r="R954" s="2" t="inlineStr"/>
    </row>
    <row r="955" ht="15" customHeight="1">
      <c r="A955" t="inlineStr">
        <is>
          <t>A 3393-2022</t>
        </is>
      </c>
      <c r="B955" s="1" t="n">
        <v>44585</v>
      </c>
      <c r="C955" s="1" t="n">
        <v>45822</v>
      </c>
      <c r="D955" t="inlineStr">
        <is>
          <t>VÄRMLANDS LÄN</t>
        </is>
      </c>
      <c r="E955" t="inlineStr">
        <is>
          <t>TORSBY</t>
        </is>
      </c>
      <c r="G955" t="n">
        <v>3.1</v>
      </c>
      <c r="H955" t="n">
        <v>0</v>
      </c>
      <c r="I955" t="n">
        <v>0</v>
      </c>
      <c r="J955" t="n">
        <v>0</v>
      </c>
      <c r="K955" t="n">
        <v>0</v>
      </c>
      <c r="L955" t="n">
        <v>0</v>
      </c>
      <c r="M955" t="n">
        <v>0</v>
      </c>
      <c r="N955" t="n">
        <v>0</v>
      </c>
      <c r="O955" t="n">
        <v>0</v>
      </c>
      <c r="P955" t="n">
        <v>0</v>
      </c>
      <c r="Q955" t="n">
        <v>0</v>
      </c>
      <c r="R955" s="2" t="inlineStr"/>
    </row>
    <row r="956" ht="15" customHeight="1">
      <c r="A956" t="inlineStr">
        <is>
          <t>A 3749-2022</t>
        </is>
      </c>
      <c r="B956" s="1" t="n">
        <v>44586</v>
      </c>
      <c r="C956" s="1" t="n">
        <v>45822</v>
      </c>
      <c r="D956" t="inlineStr">
        <is>
          <t>VÄRMLANDS LÄN</t>
        </is>
      </c>
      <c r="E956" t="inlineStr">
        <is>
          <t>TORSBY</t>
        </is>
      </c>
      <c r="G956" t="n">
        <v>6.3</v>
      </c>
      <c r="H956" t="n">
        <v>0</v>
      </c>
      <c r="I956" t="n">
        <v>0</v>
      </c>
      <c r="J956" t="n">
        <v>0</v>
      </c>
      <c r="K956" t="n">
        <v>0</v>
      </c>
      <c r="L956" t="n">
        <v>0</v>
      </c>
      <c r="M956" t="n">
        <v>0</v>
      </c>
      <c r="N956" t="n">
        <v>0</v>
      </c>
      <c r="O956" t="n">
        <v>0</v>
      </c>
      <c r="P956" t="n">
        <v>0</v>
      </c>
      <c r="Q956" t="n">
        <v>0</v>
      </c>
      <c r="R956" s="2" t="inlineStr"/>
    </row>
    <row r="957" ht="15" customHeight="1">
      <c r="A957" t="inlineStr">
        <is>
          <t>A 3841-2022</t>
        </is>
      </c>
      <c r="B957" s="1" t="n">
        <v>44587</v>
      </c>
      <c r="C957" s="1" t="n">
        <v>45822</v>
      </c>
      <c r="D957" t="inlineStr">
        <is>
          <t>VÄRMLANDS LÄN</t>
        </is>
      </c>
      <c r="E957" t="inlineStr">
        <is>
          <t>TORSBY</t>
        </is>
      </c>
      <c r="G957" t="n">
        <v>6.4</v>
      </c>
      <c r="H957" t="n">
        <v>0</v>
      </c>
      <c r="I957" t="n">
        <v>0</v>
      </c>
      <c r="J957" t="n">
        <v>0</v>
      </c>
      <c r="K957" t="n">
        <v>0</v>
      </c>
      <c r="L957" t="n">
        <v>0</v>
      </c>
      <c r="M957" t="n">
        <v>0</v>
      </c>
      <c r="N957" t="n">
        <v>0</v>
      </c>
      <c r="O957" t="n">
        <v>0</v>
      </c>
      <c r="P957" t="n">
        <v>0</v>
      </c>
      <c r="Q957" t="n">
        <v>0</v>
      </c>
      <c r="R957" s="2" t="inlineStr"/>
    </row>
    <row r="958" ht="15" customHeight="1">
      <c r="A958" t="inlineStr">
        <is>
          <t>A 3887-2022</t>
        </is>
      </c>
      <c r="B958" s="1" t="n">
        <v>44587</v>
      </c>
      <c r="C958" s="1" t="n">
        <v>45822</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4172-2022</t>
        </is>
      </c>
      <c r="B959" s="1" t="n">
        <v>44588</v>
      </c>
      <c r="C959" s="1" t="n">
        <v>45822</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4557-2022</t>
        </is>
      </c>
      <c r="B960" s="1" t="n">
        <v>44591</v>
      </c>
      <c r="C960" s="1" t="n">
        <v>45822</v>
      </c>
      <c r="D960" t="inlineStr">
        <is>
          <t>VÄRMLANDS LÄN</t>
        </is>
      </c>
      <c r="E960" t="inlineStr">
        <is>
          <t>TORSBY</t>
        </is>
      </c>
      <c r="G960" t="n">
        <v>2.7</v>
      </c>
      <c r="H960" t="n">
        <v>0</v>
      </c>
      <c r="I960" t="n">
        <v>0</v>
      </c>
      <c r="J960" t="n">
        <v>0</v>
      </c>
      <c r="K960" t="n">
        <v>0</v>
      </c>
      <c r="L960" t="n">
        <v>0</v>
      </c>
      <c r="M960" t="n">
        <v>0</v>
      </c>
      <c r="N960" t="n">
        <v>0</v>
      </c>
      <c r="O960" t="n">
        <v>0</v>
      </c>
      <c r="P960" t="n">
        <v>0</v>
      </c>
      <c r="Q960" t="n">
        <v>0</v>
      </c>
      <c r="R960" s="2" t="inlineStr"/>
    </row>
    <row r="961" ht="15" customHeight="1">
      <c r="A961" t="inlineStr">
        <is>
          <t>A 4640-2022</t>
        </is>
      </c>
      <c r="B961" s="1" t="n">
        <v>44592</v>
      </c>
      <c r="C961" s="1" t="n">
        <v>45822</v>
      </c>
      <c r="D961" t="inlineStr">
        <is>
          <t>VÄRMLANDS LÄN</t>
        </is>
      </c>
      <c r="E961" t="inlineStr">
        <is>
          <t>TORSBY</t>
        </is>
      </c>
      <c r="G961" t="n">
        <v>9</v>
      </c>
      <c r="H961" t="n">
        <v>0</v>
      </c>
      <c r="I961" t="n">
        <v>0</v>
      </c>
      <c r="J961" t="n">
        <v>0</v>
      </c>
      <c r="K961" t="n">
        <v>0</v>
      </c>
      <c r="L961" t="n">
        <v>0</v>
      </c>
      <c r="M961" t="n">
        <v>0</v>
      </c>
      <c r="N961" t="n">
        <v>0</v>
      </c>
      <c r="O961" t="n">
        <v>0</v>
      </c>
      <c r="P961" t="n">
        <v>0</v>
      </c>
      <c r="Q961" t="n">
        <v>0</v>
      </c>
      <c r="R961" s="2" t="inlineStr"/>
    </row>
    <row r="962" ht="15" customHeight="1">
      <c r="A962" t="inlineStr">
        <is>
          <t>A 4967-2022</t>
        </is>
      </c>
      <c r="B962" s="1" t="n">
        <v>44593</v>
      </c>
      <c r="C962" s="1" t="n">
        <v>45822</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4960-2022</t>
        </is>
      </c>
      <c r="B963" s="1" t="n">
        <v>44593</v>
      </c>
      <c r="C963" s="1" t="n">
        <v>45822</v>
      </c>
      <c r="D963" t="inlineStr">
        <is>
          <t>VÄRMLANDS LÄN</t>
        </is>
      </c>
      <c r="E963" t="inlineStr">
        <is>
          <t>TORSBY</t>
        </is>
      </c>
      <c r="G963" t="n">
        <v>4.8</v>
      </c>
      <c r="H963" t="n">
        <v>0</v>
      </c>
      <c r="I963" t="n">
        <v>0</v>
      </c>
      <c r="J963" t="n">
        <v>0</v>
      </c>
      <c r="K963" t="n">
        <v>0</v>
      </c>
      <c r="L963" t="n">
        <v>0</v>
      </c>
      <c r="M963" t="n">
        <v>0</v>
      </c>
      <c r="N963" t="n">
        <v>0</v>
      </c>
      <c r="O963" t="n">
        <v>0</v>
      </c>
      <c r="P963" t="n">
        <v>0</v>
      </c>
      <c r="Q963" t="n">
        <v>0</v>
      </c>
      <c r="R963" s="2" t="inlineStr"/>
    </row>
    <row r="964" ht="15" customHeight="1">
      <c r="A964" t="inlineStr">
        <is>
          <t>A 5040-2022</t>
        </is>
      </c>
      <c r="B964" s="1" t="n">
        <v>44593</v>
      </c>
      <c r="C964" s="1" t="n">
        <v>45822</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5015-2022</t>
        </is>
      </c>
      <c r="B965" s="1" t="n">
        <v>44593</v>
      </c>
      <c r="C965" s="1" t="n">
        <v>45822</v>
      </c>
      <c r="D965" t="inlineStr">
        <is>
          <t>VÄRMLANDS LÄN</t>
        </is>
      </c>
      <c r="E965" t="inlineStr">
        <is>
          <t>TORSBY</t>
        </is>
      </c>
      <c r="G965" t="n">
        <v>1</v>
      </c>
      <c r="H965" t="n">
        <v>0</v>
      </c>
      <c r="I965" t="n">
        <v>0</v>
      </c>
      <c r="J965" t="n">
        <v>0</v>
      </c>
      <c r="K965" t="n">
        <v>0</v>
      </c>
      <c r="L965" t="n">
        <v>0</v>
      </c>
      <c r="M965" t="n">
        <v>0</v>
      </c>
      <c r="N965" t="n">
        <v>0</v>
      </c>
      <c r="O965" t="n">
        <v>0</v>
      </c>
      <c r="P965" t="n">
        <v>0</v>
      </c>
      <c r="Q965" t="n">
        <v>0</v>
      </c>
      <c r="R965" s="2" t="inlineStr"/>
    </row>
    <row r="966" ht="15" customHeight="1">
      <c r="A966" t="inlineStr">
        <is>
          <t>A 5289-2022</t>
        </is>
      </c>
      <c r="B966" s="1" t="n">
        <v>44594</v>
      </c>
      <c r="C966" s="1" t="n">
        <v>45822</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6438-2022</t>
        </is>
      </c>
      <c r="B967" s="1" t="n">
        <v>44601</v>
      </c>
      <c r="C967" s="1" t="n">
        <v>45822</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7091-2022</t>
        </is>
      </c>
      <c r="B968" s="1" t="n">
        <v>44603</v>
      </c>
      <c r="C968" s="1" t="n">
        <v>45822</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7069-2022</t>
        </is>
      </c>
      <c r="B969" s="1" t="n">
        <v>44603</v>
      </c>
      <c r="C969" s="1" t="n">
        <v>45822</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7544-2022</t>
        </is>
      </c>
      <c r="B970" s="1" t="n">
        <v>44607</v>
      </c>
      <c r="C970" s="1" t="n">
        <v>45822</v>
      </c>
      <c r="D970" t="inlineStr">
        <is>
          <t>VÄRMLANDS LÄN</t>
        </is>
      </c>
      <c r="E970" t="inlineStr">
        <is>
          <t>TORSBY</t>
        </is>
      </c>
      <c r="G970" t="n">
        <v>1.8</v>
      </c>
      <c r="H970" t="n">
        <v>0</v>
      </c>
      <c r="I970" t="n">
        <v>0</v>
      </c>
      <c r="J970" t="n">
        <v>0</v>
      </c>
      <c r="K970" t="n">
        <v>0</v>
      </c>
      <c r="L970" t="n">
        <v>0</v>
      </c>
      <c r="M970" t="n">
        <v>0</v>
      </c>
      <c r="N970" t="n">
        <v>0</v>
      </c>
      <c r="O970" t="n">
        <v>0</v>
      </c>
      <c r="P970" t="n">
        <v>0</v>
      </c>
      <c r="Q970" t="n">
        <v>0</v>
      </c>
      <c r="R970" s="2" t="inlineStr"/>
    </row>
    <row r="971" ht="15" customHeight="1">
      <c r="A971" t="inlineStr">
        <is>
          <t>A 7543-2022</t>
        </is>
      </c>
      <c r="B971" s="1" t="n">
        <v>44607</v>
      </c>
      <c r="C971" s="1" t="n">
        <v>45822</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7921-2022</t>
        </is>
      </c>
      <c r="B972" s="1" t="n">
        <v>44608</v>
      </c>
      <c r="C972" s="1" t="n">
        <v>45822</v>
      </c>
      <c r="D972" t="inlineStr">
        <is>
          <t>VÄRMLANDS LÄN</t>
        </is>
      </c>
      <c r="E972" t="inlineStr">
        <is>
          <t>TORSBY</t>
        </is>
      </c>
      <c r="G972" t="n">
        <v>1.4</v>
      </c>
      <c r="H972" t="n">
        <v>0</v>
      </c>
      <c r="I972" t="n">
        <v>0</v>
      </c>
      <c r="J972" t="n">
        <v>0</v>
      </c>
      <c r="K972" t="n">
        <v>0</v>
      </c>
      <c r="L972" t="n">
        <v>0</v>
      </c>
      <c r="M972" t="n">
        <v>0</v>
      </c>
      <c r="N972" t="n">
        <v>0</v>
      </c>
      <c r="O972" t="n">
        <v>0</v>
      </c>
      <c r="P972" t="n">
        <v>0</v>
      </c>
      <c r="Q972" t="n">
        <v>0</v>
      </c>
      <c r="R972" s="2" t="inlineStr"/>
    </row>
    <row r="973" ht="15" customHeight="1">
      <c r="A973" t="inlineStr">
        <is>
          <t>A 8048-2022</t>
        </is>
      </c>
      <c r="B973" s="1" t="n">
        <v>44609</v>
      </c>
      <c r="C973" s="1" t="n">
        <v>45822</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8054-2022</t>
        </is>
      </c>
      <c r="B974" s="1" t="n">
        <v>44609</v>
      </c>
      <c r="C974" s="1" t="n">
        <v>45822</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8033-2022</t>
        </is>
      </c>
      <c r="B975" s="1" t="n">
        <v>44609</v>
      </c>
      <c r="C975" s="1" t="n">
        <v>45822</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8739-2022</t>
        </is>
      </c>
      <c r="B976" s="1" t="n">
        <v>44615</v>
      </c>
      <c r="C976" s="1" t="n">
        <v>45822</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9057-2022</t>
        </is>
      </c>
      <c r="B977" s="1" t="n">
        <v>44615</v>
      </c>
      <c r="C977" s="1" t="n">
        <v>45822</v>
      </c>
      <c r="D977" t="inlineStr">
        <is>
          <t>VÄRMLANDS LÄN</t>
        </is>
      </c>
      <c r="E977" t="inlineStr">
        <is>
          <t>TORSBY</t>
        </is>
      </c>
      <c r="G977" t="n">
        <v>2.9</v>
      </c>
      <c r="H977" t="n">
        <v>0</v>
      </c>
      <c r="I977" t="n">
        <v>0</v>
      </c>
      <c r="J977" t="n">
        <v>0</v>
      </c>
      <c r="K977" t="n">
        <v>0</v>
      </c>
      <c r="L977" t="n">
        <v>0</v>
      </c>
      <c r="M977" t="n">
        <v>0</v>
      </c>
      <c r="N977" t="n">
        <v>0</v>
      </c>
      <c r="O977" t="n">
        <v>0</v>
      </c>
      <c r="P977" t="n">
        <v>0</v>
      </c>
      <c r="Q977" t="n">
        <v>0</v>
      </c>
      <c r="R977" s="2" t="inlineStr"/>
    </row>
    <row r="978" ht="15" customHeight="1">
      <c r="A978" t="inlineStr">
        <is>
          <t>A 10608-2022</t>
        </is>
      </c>
      <c r="B978" s="1" t="n">
        <v>44624</v>
      </c>
      <c r="C978" s="1" t="n">
        <v>45822</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11050-2022</t>
        </is>
      </c>
      <c r="B979" s="1" t="n">
        <v>44628</v>
      </c>
      <c r="C979" s="1" t="n">
        <v>45822</v>
      </c>
      <c r="D979" t="inlineStr">
        <is>
          <t>VÄRMLANDS LÄN</t>
        </is>
      </c>
      <c r="E979" t="inlineStr">
        <is>
          <t>TORSBY</t>
        </is>
      </c>
      <c r="G979" t="n">
        <v>4.9</v>
      </c>
      <c r="H979" t="n">
        <v>0</v>
      </c>
      <c r="I979" t="n">
        <v>0</v>
      </c>
      <c r="J979" t="n">
        <v>0</v>
      </c>
      <c r="K979" t="n">
        <v>0</v>
      </c>
      <c r="L979" t="n">
        <v>0</v>
      </c>
      <c r="M979" t="n">
        <v>0</v>
      </c>
      <c r="N979" t="n">
        <v>0</v>
      </c>
      <c r="O979" t="n">
        <v>0</v>
      </c>
      <c r="P979" t="n">
        <v>0</v>
      </c>
      <c r="Q979" t="n">
        <v>0</v>
      </c>
      <c r="R979" s="2" t="inlineStr"/>
    </row>
    <row r="980" ht="15" customHeight="1">
      <c r="A980" t="inlineStr">
        <is>
          <t>A 11447-2022</t>
        </is>
      </c>
      <c r="B980" s="1" t="n">
        <v>44630</v>
      </c>
      <c r="C980" s="1" t="n">
        <v>45822</v>
      </c>
      <c r="D980" t="inlineStr">
        <is>
          <t>VÄRMLANDS LÄN</t>
        </is>
      </c>
      <c r="E980" t="inlineStr">
        <is>
          <t>TORSBY</t>
        </is>
      </c>
      <c r="G980" t="n">
        <v>2.4</v>
      </c>
      <c r="H980" t="n">
        <v>0</v>
      </c>
      <c r="I980" t="n">
        <v>0</v>
      </c>
      <c r="J980" t="n">
        <v>0</v>
      </c>
      <c r="K980" t="n">
        <v>0</v>
      </c>
      <c r="L980" t="n">
        <v>0</v>
      </c>
      <c r="M980" t="n">
        <v>0</v>
      </c>
      <c r="N980" t="n">
        <v>0</v>
      </c>
      <c r="O980" t="n">
        <v>0</v>
      </c>
      <c r="P980" t="n">
        <v>0</v>
      </c>
      <c r="Q980" t="n">
        <v>0</v>
      </c>
      <c r="R980" s="2" t="inlineStr"/>
    </row>
    <row r="981" ht="15" customHeight="1">
      <c r="A981" t="inlineStr">
        <is>
          <t>A 11665-2022</t>
        </is>
      </c>
      <c r="B981" s="1" t="n">
        <v>44632</v>
      </c>
      <c r="C981" s="1" t="n">
        <v>45822</v>
      </c>
      <c r="D981" t="inlineStr">
        <is>
          <t>VÄRMLANDS LÄN</t>
        </is>
      </c>
      <c r="E981" t="inlineStr">
        <is>
          <t>TORSBY</t>
        </is>
      </c>
      <c r="G981" t="n">
        <v>4.1</v>
      </c>
      <c r="H981" t="n">
        <v>0</v>
      </c>
      <c r="I981" t="n">
        <v>0</v>
      </c>
      <c r="J981" t="n">
        <v>0</v>
      </c>
      <c r="K981" t="n">
        <v>0</v>
      </c>
      <c r="L981" t="n">
        <v>0</v>
      </c>
      <c r="M981" t="n">
        <v>0</v>
      </c>
      <c r="N981" t="n">
        <v>0</v>
      </c>
      <c r="O981" t="n">
        <v>0</v>
      </c>
      <c r="P981" t="n">
        <v>0</v>
      </c>
      <c r="Q981" t="n">
        <v>0</v>
      </c>
      <c r="R981" s="2" t="inlineStr"/>
    </row>
    <row r="982" ht="15" customHeight="1">
      <c r="A982" t="inlineStr">
        <is>
          <t>A 11667-2022</t>
        </is>
      </c>
      <c r="B982" s="1" t="n">
        <v>44632</v>
      </c>
      <c r="C982" s="1" t="n">
        <v>45822</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11664-2022</t>
        </is>
      </c>
      <c r="B983" s="1" t="n">
        <v>44632</v>
      </c>
      <c r="C983" s="1" t="n">
        <v>45822</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11666-2022</t>
        </is>
      </c>
      <c r="B984" s="1" t="n">
        <v>44632</v>
      </c>
      <c r="C984" s="1" t="n">
        <v>45822</v>
      </c>
      <c r="D984" t="inlineStr">
        <is>
          <t>VÄRMLANDS LÄN</t>
        </is>
      </c>
      <c r="E984" t="inlineStr">
        <is>
          <t>TORSBY</t>
        </is>
      </c>
      <c r="G984" t="n">
        <v>3.6</v>
      </c>
      <c r="H984" t="n">
        <v>0</v>
      </c>
      <c r="I984" t="n">
        <v>0</v>
      </c>
      <c r="J984" t="n">
        <v>0</v>
      </c>
      <c r="K984" t="n">
        <v>0</v>
      </c>
      <c r="L984" t="n">
        <v>0</v>
      </c>
      <c r="M984" t="n">
        <v>0</v>
      </c>
      <c r="N984" t="n">
        <v>0</v>
      </c>
      <c r="O984" t="n">
        <v>0</v>
      </c>
      <c r="P984" t="n">
        <v>0</v>
      </c>
      <c r="Q984" t="n">
        <v>0</v>
      </c>
      <c r="R984" s="2" t="inlineStr"/>
    </row>
    <row r="985" ht="15" customHeight="1">
      <c r="A985" t="inlineStr">
        <is>
          <t>A 11922-2022</t>
        </is>
      </c>
      <c r="B985" s="1" t="n">
        <v>44635</v>
      </c>
      <c r="C985" s="1" t="n">
        <v>45822</v>
      </c>
      <c r="D985" t="inlineStr">
        <is>
          <t>VÄRMLANDS LÄN</t>
        </is>
      </c>
      <c r="E985" t="inlineStr">
        <is>
          <t>TORSBY</t>
        </is>
      </c>
      <c r="G985" t="n">
        <v>2.6</v>
      </c>
      <c r="H985" t="n">
        <v>0</v>
      </c>
      <c r="I985" t="n">
        <v>0</v>
      </c>
      <c r="J985" t="n">
        <v>0</v>
      </c>
      <c r="K985" t="n">
        <v>0</v>
      </c>
      <c r="L985" t="n">
        <v>0</v>
      </c>
      <c r="M985" t="n">
        <v>0</v>
      </c>
      <c r="N985" t="n">
        <v>0</v>
      </c>
      <c r="O985" t="n">
        <v>0</v>
      </c>
      <c r="P985" t="n">
        <v>0</v>
      </c>
      <c r="Q985" t="n">
        <v>0</v>
      </c>
      <c r="R985" s="2" t="inlineStr"/>
    </row>
    <row r="986" ht="15" customHeight="1">
      <c r="A986" t="inlineStr">
        <is>
          <t>A 11918-2022</t>
        </is>
      </c>
      <c r="B986" s="1" t="n">
        <v>44635</v>
      </c>
      <c r="C986" s="1" t="n">
        <v>45822</v>
      </c>
      <c r="D986" t="inlineStr">
        <is>
          <t>VÄRMLANDS LÄN</t>
        </is>
      </c>
      <c r="E986" t="inlineStr">
        <is>
          <t>TORSBY</t>
        </is>
      </c>
      <c r="G986" t="n">
        <v>6.4</v>
      </c>
      <c r="H986" t="n">
        <v>0</v>
      </c>
      <c r="I986" t="n">
        <v>0</v>
      </c>
      <c r="J986" t="n">
        <v>0</v>
      </c>
      <c r="K986" t="n">
        <v>0</v>
      </c>
      <c r="L986" t="n">
        <v>0</v>
      </c>
      <c r="M986" t="n">
        <v>0</v>
      </c>
      <c r="N986" t="n">
        <v>0</v>
      </c>
      <c r="O986" t="n">
        <v>0</v>
      </c>
      <c r="P986" t="n">
        <v>0</v>
      </c>
      <c r="Q986" t="n">
        <v>0</v>
      </c>
      <c r="R986" s="2" t="inlineStr"/>
    </row>
    <row r="987" ht="15" customHeight="1">
      <c r="A987" t="inlineStr">
        <is>
          <t>A 12310-2022</t>
        </is>
      </c>
      <c r="B987" s="1" t="n">
        <v>44636</v>
      </c>
      <c r="C987" s="1" t="n">
        <v>45822</v>
      </c>
      <c r="D987" t="inlineStr">
        <is>
          <t>VÄRMLANDS LÄN</t>
        </is>
      </c>
      <c r="E987" t="inlineStr">
        <is>
          <t>TORSBY</t>
        </is>
      </c>
      <c r="G987" t="n">
        <v>7.2</v>
      </c>
      <c r="H987" t="n">
        <v>0</v>
      </c>
      <c r="I987" t="n">
        <v>0</v>
      </c>
      <c r="J987" t="n">
        <v>0</v>
      </c>
      <c r="K987" t="n">
        <v>0</v>
      </c>
      <c r="L987" t="n">
        <v>0</v>
      </c>
      <c r="M987" t="n">
        <v>0</v>
      </c>
      <c r="N987" t="n">
        <v>0</v>
      </c>
      <c r="O987" t="n">
        <v>0</v>
      </c>
      <c r="P987" t="n">
        <v>0</v>
      </c>
      <c r="Q987" t="n">
        <v>0</v>
      </c>
      <c r="R987" s="2" t="inlineStr"/>
    </row>
    <row r="988" ht="15" customHeight="1">
      <c r="A988" t="inlineStr">
        <is>
          <t>A 12365-2022</t>
        </is>
      </c>
      <c r="B988" s="1" t="n">
        <v>44637</v>
      </c>
      <c r="C988" s="1" t="n">
        <v>45822</v>
      </c>
      <c r="D988" t="inlineStr">
        <is>
          <t>VÄRMLANDS LÄN</t>
        </is>
      </c>
      <c r="E988" t="inlineStr">
        <is>
          <t>TORSBY</t>
        </is>
      </c>
      <c r="G988" t="n">
        <v>3.5</v>
      </c>
      <c r="H988" t="n">
        <v>0</v>
      </c>
      <c r="I988" t="n">
        <v>0</v>
      </c>
      <c r="J988" t="n">
        <v>0</v>
      </c>
      <c r="K988" t="n">
        <v>0</v>
      </c>
      <c r="L988" t="n">
        <v>0</v>
      </c>
      <c r="M988" t="n">
        <v>0</v>
      </c>
      <c r="N988" t="n">
        <v>0</v>
      </c>
      <c r="O988" t="n">
        <v>0</v>
      </c>
      <c r="P988" t="n">
        <v>0</v>
      </c>
      <c r="Q988" t="n">
        <v>0</v>
      </c>
      <c r="R988" s="2" t="inlineStr"/>
    </row>
    <row r="989" ht="15" customHeight="1">
      <c r="A989" t="inlineStr">
        <is>
          <t>A 13207-2022</t>
        </is>
      </c>
      <c r="B989" s="1" t="n">
        <v>44644</v>
      </c>
      <c r="C989" s="1" t="n">
        <v>45822</v>
      </c>
      <c r="D989" t="inlineStr">
        <is>
          <t>VÄRMLANDS LÄN</t>
        </is>
      </c>
      <c r="E989" t="inlineStr">
        <is>
          <t>TORSBY</t>
        </is>
      </c>
      <c r="G989" t="n">
        <v>1.3</v>
      </c>
      <c r="H989" t="n">
        <v>0</v>
      </c>
      <c r="I989" t="n">
        <v>0</v>
      </c>
      <c r="J989" t="n">
        <v>0</v>
      </c>
      <c r="K989" t="n">
        <v>0</v>
      </c>
      <c r="L989" t="n">
        <v>0</v>
      </c>
      <c r="M989" t="n">
        <v>0</v>
      </c>
      <c r="N989" t="n">
        <v>0</v>
      </c>
      <c r="O989" t="n">
        <v>0</v>
      </c>
      <c r="P989" t="n">
        <v>0</v>
      </c>
      <c r="Q989" t="n">
        <v>0</v>
      </c>
      <c r="R989" s="2" t="inlineStr"/>
    </row>
    <row r="990" ht="15" customHeight="1">
      <c r="A990" t="inlineStr">
        <is>
          <t>A 13698-2022</t>
        </is>
      </c>
      <c r="B990" s="1" t="n">
        <v>44648</v>
      </c>
      <c r="C990" s="1" t="n">
        <v>45822</v>
      </c>
      <c r="D990" t="inlineStr">
        <is>
          <t>VÄRMLANDS LÄN</t>
        </is>
      </c>
      <c r="E990" t="inlineStr">
        <is>
          <t>TORSBY</t>
        </is>
      </c>
      <c r="G990" t="n">
        <v>0.5</v>
      </c>
      <c r="H990" t="n">
        <v>0</v>
      </c>
      <c r="I990" t="n">
        <v>0</v>
      </c>
      <c r="J990" t="n">
        <v>0</v>
      </c>
      <c r="K990" t="n">
        <v>0</v>
      </c>
      <c r="L990" t="n">
        <v>0</v>
      </c>
      <c r="M990" t="n">
        <v>0</v>
      </c>
      <c r="N990" t="n">
        <v>0</v>
      </c>
      <c r="O990" t="n">
        <v>0</v>
      </c>
      <c r="P990" t="n">
        <v>0</v>
      </c>
      <c r="Q990" t="n">
        <v>0</v>
      </c>
      <c r="R990" s="2" t="inlineStr"/>
    </row>
    <row r="991" ht="15" customHeight="1">
      <c r="A991" t="inlineStr">
        <is>
          <t>A 13896-2022</t>
        </is>
      </c>
      <c r="B991" s="1" t="n">
        <v>44650</v>
      </c>
      <c r="C991" s="1" t="n">
        <v>45822</v>
      </c>
      <c r="D991" t="inlineStr">
        <is>
          <t>VÄRMLANDS LÄN</t>
        </is>
      </c>
      <c r="E991" t="inlineStr">
        <is>
          <t>TORSBY</t>
        </is>
      </c>
      <c r="G991" t="n">
        <v>3.2</v>
      </c>
      <c r="H991" t="n">
        <v>0</v>
      </c>
      <c r="I991" t="n">
        <v>0</v>
      </c>
      <c r="J991" t="n">
        <v>0</v>
      </c>
      <c r="K991" t="n">
        <v>0</v>
      </c>
      <c r="L991" t="n">
        <v>0</v>
      </c>
      <c r="M991" t="n">
        <v>0</v>
      </c>
      <c r="N991" t="n">
        <v>0</v>
      </c>
      <c r="O991" t="n">
        <v>0</v>
      </c>
      <c r="P991" t="n">
        <v>0</v>
      </c>
      <c r="Q991" t="n">
        <v>0</v>
      </c>
      <c r="R991" s="2" t="inlineStr"/>
    </row>
    <row r="992" ht="15" customHeight="1">
      <c r="A992" t="inlineStr">
        <is>
          <t>A 14145-2022</t>
        </is>
      </c>
      <c r="B992" s="1" t="n">
        <v>44651</v>
      </c>
      <c r="C992" s="1" t="n">
        <v>45822</v>
      </c>
      <c r="D992" t="inlineStr">
        <is>
          <t>VÄRMLANDS LÄN</t>
        </is>
      </c>
      <c r="E992" t="inlineStr">
        <is>
          <t>TORSBY</t>
        </is>
      </c>
      <c r="G992" t="n">
        <v>2</v>
      </c>
      <c r="H992" t="n">
        <v>0</v>
      </c>
      <c r="I992" t="n">
        <v>0</v>
      </c>
      <c r="J992" t="n">
        <v>0</v>
      </c>
      <c r="K992" t="n">
        <v>0</v>
      </c>
      <c r="L992" t="n">
        <v>0</v>
      </c>
      <c r="M992" t="n">
        <v>0</v>
      </c>
      <c r="N992" t="n">
        <v>0</v>
      </c>
      <c r="O992" t="n">
        <v>0</v>
      </c>
      <c r="P992" t="n">
        <v>0</v>
      </c>
      <c r="Q992" t="n">
        <v>0</v>
      </c>
      <c r="R992" s="2" t="inlineStr"/>
    </row>
    <row r="993" ht="15" customHeight="1">
      <c r="A993" t="inlineStr">
        <is>
          <t>A 14168-2022</t>
        </is>
      </c>
      <c r="B993" s="1" t="n">
        <v>44651</v>
      </c>
      <c r="C993" s="1" t="n">
        <v>45822</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14320-2022</t>
        </is>
      </c>
      <c r="B994" s="1" t="n">
        <v>44652</v>
      </c>
      <c r="C994" s="1" t="n">
        <v>45822</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15461-2022</t>
        </is>
      </c>
      <c r="B995" s="1" t="n">
        <v>44661</v>
      </c>
      <c r="C995" s="1" t="n">
        <v>45822</v>
      </c>
      <c r="D995" t="inlineStr">
        <is>
          <t>VÄRMLANDS LÄN</t>
        </is>
      </c>
      <c r="E995" t="inlineStr">
        <is>
          <t>TORSBY</t>
        </is>
      </c>
      <c r="G995" t="n">
        <v>13.1</v>
      </c>
      <c r="H995" t="n">
        <v>0</v>
      </c>
      <c r="I995" t="n">
        <v>0</v>
      </c>
      <c r="J995" t="n">
        <v>0</v>
      </c>
      <c r="K995" t="n">
        <v>0</v>
      </c>
      <c r="L995" t="n">
        <v>0</v>
      </c>
      <c r="M995" t="n">
        <v>0</v>
      </c>
      <c r="N995" t="n">
        <v>0</v>
      </c>
      <c r="O995" t="n">
        <v>0</v>
      </c>
      <c r="P995" t="n">
        <v>0</v>
      </c>
      <c r="Q995" t="n">
        <v>0</v>
      </c>
      <c r="R995" s="2" t="inlineStr"/>
    </row>
    <row r="996" ht="15" customHeight="1">
      <c r="A996" t="inlineStr">
        <is>
          <t>A 15460-2022</t>
        </is>
      </c>
      <c r="B996" s="1" t="n">
        <v>44661</v>
      </c>
      <c r="C996" s="1" t="n">
        <v>45822</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16080-2022</t>
        </is>
      </c>
      <c r="B997" s="1" t="n">
        <v>44665</v>
      </c>
      <c r="C997" s="1" t="n">
        <v>45822</v>
      </c>
      <c r="D997" t="inlineStr">
        <is>
          <t>VÄRMLANDS LÄN</t>
        </is>
      </c>
      <c r="E997" t="inlineStr">
        <is>
          <t>TORSBY</t>
        </is>
      </c>
      <c r="G997" t="n">
        <v>1.3</v>
      </c>
      <c r="H997" t="n">
        <v>0</v>
      </c>
      <c r="I997" t="n">
        <v>0</v>
      </c>
      <c r="J997" t="n">
        <v>0</v>
      </c>
      <c r="K997" t="n">
        <v>0</v>
      </c>
      <c r="L997" t="n">
        <v>0</v>
      </c>
      <c r="M997" t="n">
        <v>0</v>
      </c>
      <c r="N997" t="n">
        <v>0</v>
      </c>
      <c r="O997" t="n">
        <v>0</v>
      </c>
      <c r="P997" t="n">
        <v>0</v>
      </c>
      <c r="Q997" t="n">
        <v>0</v>
      </c>
      <c r="R997" s="2" t="inlineStr"/>
    </row>
    <row r="998" ht="15" customHeight="1">
      <c r="A998" t="inlineStr">
        <is>
          <t>A 16010-2022</t>
        </is>
      </c>
      <c r="B998" s="1" t="n">
        <v>44665</v>
      </c>
      <c r="C998" s="1" t="n">
        <v>45822</v>
      </c>
      <c r="D998" t="inlineStr">
        <is>
          <t>VÄRMLANDS LÄN</t>
        </is>
      </c>
      <c r="E998" t="inlineStr">
        <is>
          <t>TORSBY</t>
        </is>
      </c>
      <c r="F998" t="inlineStr">
        <is>
          <t>Bergvik skog väst AB</t>
        </is>
      </c>
      <c r="G998" t="n">
        <v>18.7</v>
      </c>
      <c r="H998" t="n">
        <v>0</v>
      </c>
      <c r="I998" t="n">
        <v>0</v>
      </c>
      <c r="J998" t="n">
        <v>0</v>
      </c>
      <c r="K998" t="n">
        <v>0</v>
      </c>
      <c r="L998" t="n">
        <v>0</v>
      </c>
      <c r="M998" t="n">
        <v>0</v>
      </c>
      <c r="N998" t="n">
        <v>0</v>
      </c>
      <c r="O998" t="n">
        <v>0</v>
      </c>
      <c r="P998" t="n">
        <v>0</v>
      </c>
      <c r="Q998" t="n">
        <v>0</v>
      </c>
      <c r="R998" s="2" t="inlineStr"/>
    </row>
    <row r="999" ht="15" customHeight="1">
      <c r="A999" t="inlineStr">
        <is>
          <t>A 16425-2022</t>
        </is>
      </c>
      <c r="B999" s="1" t="n">
        <v>44671</v>
      </c>
      <c r="C999" s="1" t="n">
        <v>45822</v>
      </c>
      <c r="D999" t="inlineStr">
        <is>
          <t>VÄRMLANDS LÄN</t>
        </is>
      </c>
      <c r="E999" t="inlineStr">
        <is>
          <t>TORSBY</t>
        </is>
      </c>
      <c r="G999" t="n">
        <v>3</v>
      </c>
      <c r="H999" t="n">
        <v>0</v>
      </c>
      <c r="I999" t="n">
        <v>0</v>
      </c>
      <c r="J999" t="n">
        <v>0</v>
      </c>
      <c r="K999" t="n">
        <v>0</v>
      </c>
      <c r="L999" t="n">
        <v>0</v>
      </c>
      <c r="M999" t="n">
        <v>0</v>
      </c>
      <c r="N999" t="n">
        <v>0</v>
      </c>
      <c r="O999" t="n">
        <v>0</v>
      </c>
      <c r="P999" t="n">
        <v>0</v>
      </c>
      <c r="Q999" t="n">
        <v>0</v>
      </c>
      <c r="R999" s="2" t="inlineStr"/>
    </row>
    <row r="1000" ht="15" customHeight="1">
      <c r="A1000" t="inlineStr">
        <is>
          <t>A 16498-2022</t>
        </is>
      </c>
      <c r="B1000" s="1" t="n">
        <v>44671</v>
      </c>
      <c r="C1000" s="1" t="n">
        <v>45822</v>
      </c>
      <c r="D1000" t="inlineStr">
        <is>
          <t>VÄRMLANDS LÄN</t>
        </is>
      </c>
      <c r="E1000" t="inlineStr">
        <is>
          <t>TORSBY</t>
        </is>
      </c>
      <c r="F1000" t="inlineStr">
        <is>
          <t>Kommuner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17765-2022</t>
        </is>
      </c>
      <c r="B1001" s="1" t="n">
        <v>44681</v>
      </c>
      <c r="C1001" s="1" t="n">
        <v>45822</v>
      </c>
      <c r="D1001" t="inlineStr">
        <is>
          <t>VÄRMLANDS LÄN</t>
        </is>
      </c>
      <c r="E1001" t="inlineStr">
        <is>
          <t>TORSBY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18101-2022</t>
        </is>
      </c>
      <c r="B1002" s="1" t="n">
        <v>44684</v>
      </c>
      <c r="C1002" s="1" t="n">
        <v>45822</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18105-2022</t>
        </is>
      </c>
      <c r="B1003" s="1" t="n">
        <v>44684</v>
      </c>
      <c r="C1003" s="1" t="n">
        <v>45822</v>
      </c>
      <c r="D1003" t="inlineStr">
        <is>
          <t>VÄRMLANDS LÄN</t>
        </is>
      </c>
      <c r="E1003" t="inlineStr">
        <is>
          <t>TORSBY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18099-2022</t>
        </is>
      </c>
      <c r="B1004" s="1" t="n">
        <v>44684</v>
      </c>
      <c r="C1004" s="1" t="n">
        <v>45822</v>
      </c>
      <c r="D1004" t="inlineStr">
        <is>
          <t>VÄRMLANDS LÄN</t>
        </is>
      </c>
      <c r="E1004" t="inlineStr">
        <is>
          <t>TORSBY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18347-2022</t>
        </is>
      </c>
      <c r="B1005" s="1" t="n">
        <v>44685</v>
      </c>
      <c r="C1005" s="1" t="n">
        <v>45822</v>
      </c>
      <c r="D1005" t="inlineStr">
        <is>
          <t>VÄRMLANDS LÄN</t>
        </is>
      </c>
      <c r="E1005" t="inlineStr">
        <is>
          <t>TORSBY</t>
        </is>
      </c>
      <c r="F1005" t="inlineStr">
        <is>
          <t>Bergvik skog väst AB</t>
        </is>
      </c>
      <c r="G1005" t="n">
        <v>14.6</v>
      </c>
      <c r="H1005" t="n">
        <v>0</v>
      </c>
      <c r="I1005" t="n">
        <v>0</v>
      </c>
      <c r="J1005" t="n">
        <v>0</v>
      </c>
      <c r="K1005" t="n">
        <v>0</v>
      </c>
      <c r="L1005" t="n">
        <v>0</v>
      </c>
      <c r="M1005" t="n">
        <v>0</v>
      </c>
      <c r="N1005" t="n">
        <v>0</v>
      </c>
      <c r="O1005" t="n">
        <v>0</v>
      </c>
      <c r="P1005" t="n">
        <v>0</v>
      </c>
      <c r="Q1005" t="n">
        <v>0</v>
      </c>
      <c r="R1005" s="2" t="inlineStr"/>
    </row>
    <row r="1006" ht="15" customHeight="1">
      <c r="A1006" t="inlineStr">
        <is>
          <t>A 18628-2022</t>
        </is>
      </c>
      <c r="B1006" s="1" t="n">
        <v>44687</v>
      </c>
      <c r="C1006" s="1" t="n">
        <v>45822</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18779-2022</t>
        </is>
      </c>
      <c r="B1007" s="1" t="n">
        <v>44689</v>
      </c>
      <c r="C1007" s="1" t="n">
        <v>45822</v>
      </c>
      <c r="D1007" t="inlineStr">
        <is>
          <t>VÄRMLANDS LÄN</t>
        </is>
      </c>
      <c r="E1007" t="inlineStr">
        <is>
          <t>TORSBY</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18897-2022</t>
        </is>
      </c>
      <c r="B1008" s="1" t="n">
        <v>44690</v>
      </c>
      <c r="C1008" s="1" t="n">
        <v>45822</v>
      </c>
      <c r="D1008" t="inlineStr">
        <is>
          <t>VÄRMLANDS LÄN</t>
        </is>
      </c>
      <c r="E1008" t="inlineStr">
        <is>
          <t>TORSBY</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18877-2022</t>
        </is>
      </c>
      <c r="B1009" s="1" t="n">
        <v>44690</v>
      </c>
      <c r="C1009" s="1" t="n">
        <v>45822</v>
      </c>
      <c r="D1009" t="inlineStr">
        <is>
          <t>VÄRMLANDS LÄN</t>
        </is>
      </c>
      <c r="E1009" t="inlineStr">
        <is>
          <t>TORSBY</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18903-2022</t>
        </is>
      </c>
      <c r="B1010" s="1" t="n">
        <v>44690</v>
      </c>
      <c r="C1010" s="1" t="n">
        <v>45822</v>
      </c>
      <c r="D1010" t="inlineStr">
        <is>
          <t>VÄRMLANDS LÄN</t>
        </is>
      </c>
      <c r="E1010" t="inlineStr">
        <is>
          <t>TORSBY</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19171-2022</t>
        </is>
      </c>
      <c r="B1011" s="1" t="n">
        <v>44691</v>
      </c>
      <c r="C1011" s="1" t="n">
        <v>45822</v>
      </c>
      <c r="D1011" t="inlineStr">
        <is>
          <t>VÄRMLANDS LÄN</t>
        </is>
      </c>
      <c r="E1011" t="inlineStr">
        <is>
          <t>TORSBY</t>
        </is>
      </c>
      <c r="F1011" t="inlineStr">
        <is>
          <t>Bergvik skog väst AB</t>
        </is>
      </c>
      <c r="G1011" t="n">
        <v>23.3</v>
      </c>
      <c r="H1011" t="n">
        <v>0</v>
      </c>
      <c r="I1011" t="n">
        <v>0</v>
      </c>
      <c r="J1011" t="n">
        <v>0</v>
      </c>
      <c r="K1011" t="n">
        <v>0</v>
      </c>
      <c r="L1011" t="n">
        <v>0</v>
      </c>
      <c r="M1011" t="n">
        <v>0</v>
      </c>
      <c r="N1011" t="n">
        <v>0</v>
      </c>
      <c r="O1011" t="n">
        <v>0</v>
      </c>
      <c r="P1011" t="n">
        <v>0</v>
      </c>
      <c r="Q1011" t="n">
        <v>0</v>
      </c>
      <c r="R1011" s="2" t="inlineStr"/>
    </row>
    <row r="1012" ht="15" customHeight="1">
      <c r="A1012" t="inlineStr">
        <is>
          <t>A 19307-2022</t>
        </is>
      </c>
      <c r="B1012" s="1" t="n">
        <v>44692</v>
      </c>
      <c r="C1012" s="1" t="n">
        <v>45822</v>
      </c>
      <c r="D1012" t="inlineStr">
        <is>
          <t>VÄRMLANDS LÄN</t>
        </is>
      </c>
      <c r="E1012" t="inlineStr">
        <is>
          <t>TORSBY</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19489-2022</t>
        </is>
      </c>
      <c r="B1013" s="1" t="n">
        <v>44693</v>
      </c>
      <c r="C1013" s="1" t="n">
        <v>45822</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19632-2022</t>
        </is>
      </c>
      <c r="B1014" s="1" t="n">
        <v>44694</v>
      </c>
      <c r="C1014" s="1" t="n">
        <v>45822</v>
      </c>
      <c r="D1014" t="inlineStr">
        <is>
          <t>VÄRMLANDS LÄN</t>
        </is>
      </c>
      <c r="E1014" t="inlineStr">
        <is>
          <t>TORSBY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19614-2022</t>
        </is>
      </c>
      <c r="B1015" s="1" t="n">
        <v>44694</v>
      </c>
      <c r="C1015" s="1" t="n">
        <v>45822</v>
      </c>
      <c r="D1015" t="inlineStr">
        <is>
          <t>VÄRMLANDS LÄN</t>
        </is>
      </c>
      <c r="E1015" t="inlineStr">
        <is>
          <t>TORSBY</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20045-2022</t>
        </is>
      </c>
      <c r="B1016" s="1" t="n">
        <v>44697</v>
      </c>
      <c r="C1016" s="1" t="n">
        <v>45822</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20046-2022</t>
        </is>
      </c>
      <c r="B1017" s="1" t="n">
        <v>44697</v>
      </c>
      <c r="C1017" s="1" t="n">
        <v>45822</v>
      </c>
      <c r="D1017" t="inlineStr">
        <is>
          <t>VÄRMLANDS LÄN</t>
        </is>
      </c>
      <c r="E1017" t="inlineStr">
        <is>
          <t>TORSBY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20009-2022</t>
        </is>
      </c>
      <c r="B1018" s="1" t="n">
        <v>44697</v>
      </c>
      <c r="C1018" s="1" t="n">
        <v>45822</v>
      </c>
      <c r="D1018" t="inlineStr">
        <is>
          <t>VÄRMLANDS LÄN</t>
        </is>
      </c>
      <c r="E1018" t="inlineStr">
        <is>
          <t>TORSBY</t>
        </is>
      </c>
      <c r="G1018" t="n">
        <v>14.4</v>
      </c>
      <c r="H1018" t="n">
        <v>0</v>
      </c>
      <c r="I1018" t="n">
        <v>0</v>
      </c>
      <c r="J1018" t="n">
        <v>0</v>
      </c>
      <c r="K1018" t="n">
        <v>0</v>
      </c>
      <c r="L1018" t="n">
        <v>0</v>
      </c>
      <c r="M1018" t="n">
        <v>0</v>
      </c>
      <c r="N1018" t="n">
        <v>0</v>
      </c>
      <c r="O1018" t="n">
        <v>0</v>
      </c>
      <c r="P1018" t="n">
        <v>0</v>
      </c>
      <c r="Q1018" t="n">
        <v>0</v>
      </c>
      <c r="R1018" s="2" t="inlineStr"/>
    </row>
    <row r="1019" ht="15" customHeight="1">
      <c r="A1019" t="inlineStr">
        <is>
          <t>A 20168-2022</t>
        </is>
      </c>
      <c r="B1019" s="1" t="n">
        <v>44698</v>
      </c>
      <c r="C1019" s="1" t="n">
        <v>45822</v>
      </c>
      <c r="D1019" t="inlineStr">
        <is>
          <t>VÄRMLANDS LÄN</t>
        </is>
      </c>
      <c r="E1019" t="inlineStr">
        <is>
          <t>TORSBY</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20175-2022</t>
        </is>
      </c>
      <c r="B1020" s="1" t="n">
        <v>44698</v>
      </c>
      <c r="C1020" s="1" t="n">
        <v>45822</v>
      </c>
      <c r="D1020" t="inlineStr">
        <is>
          <t>VÄRMLANDS LÄN</t>
        </is>
      </c>
      <c r="E1020" t="inlineStr">
        <is>
          <t>TORSBY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20174-2022</t>
        </is>
      </c>
      <c r="B1021" s="1" t="n">
        <v>44698</v>
      </c>
      <c r="C1021" s="1" t="n">
        <v>45822</v>
      </c>
      <c r="D1021" t="inlineStr">
        <is>
          <t>VÄRMLANDS LÄN</t>
        </is>
      </c>
      <c r="E1021" t="inlineStr">
        <is>
          <t>TORSBY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20382-2022</t>
        </is>
      </c>
      <c r="B1022" s="1" t="n">
        <v>44699</v>
      </c>
      <c r="C1022" s="1" t="n">
        <v>45822</v>
      </c>
      <c r="D1022" t="inlineStr">
        <is>
          <t>VÄRMLANDS LÄN</t>
        </is>
      </c>
      <c r="E1022" t="inlineStr">
        <is>
          <t>TORSBY</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20819-2022</t>
        </is>
      </c>
      <c r="B1023" s="1" t="n">
        <v>44699</v>
      </c>
      <c r="C1023" s="1" t="n">
        <v>45822</v>
      </c>
      <c r="D1023" t="inlineStr">
        <is>
          <t>VÄRMLANDS LÄN</t>
        </is>
      </c>
      <c r="E1023" t="inlineStr">
        <is>
          <t>TORSBY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20881-2022</t>
        </is>
      </c>
      <c r="B1024" s="1" t="n">
        <v>44701</v>
      </c>
      <c r="C1024" s="1" t="n">
        <v>45822</v>
      </c>
      <c r="D1024" t="inlineStr">
        <is>
          <t>VÄRMLANDS LÄN</t>
        </is>
      </c>
      <c r="E1024" t="inlineStr">
        <is>
          <t>TORSBY</t>
        </is>
      </c>
      <c r="F1024" t="inlineStr">
        <is>
          <t>Bergvik skog väst AB</t>
        </is>
      </c>
      <c r="G1024" t="n">
        <v>17.2</v>
      </c>
      <c r="H1024" t="n">
        <v>0</v>
      </c>
      <c r="I1024" t="n">
        <v>0</v>
      </c>
      <c r="J1024" t="n">
        <v>0</v>
      </c>
      <c r="K1024" t="n">
        <v>0</v>
      </c>
      <c r="L1024" t="n">
        <v>0</v>
      </c>
      <c r="M1024" t="n">
        <v>0</v>
      </c>
      <c r="N1024" t="n">
        <v>0</v>
      </c>
      <c r="O1024" t="n">
        <v>0</v>
      </c>
      <c r="P1024" t="n">
        <v>0</v>
      </c>
      <c r="Q1024" t="n">
        <v>0</v>
      </c>
      <c r="R1024" s="2" t="inlineStr"/>
    </row>
    <row r="1025" ht="15" customHeight="1">
      <c r="A1025" t="inlineStr">
        <is>
          <t>A 20907-2022</t>
        </is>
      </c>
      <c r="B1025" s="1" t="n">
        <v>44701</v>
      </c>
      <c r="C1025" s="1" t="n">
        <v>45822</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20899-2022</t>
        </is>
      </c>
      <c r="B1026" s="1" t="n">
        <v>44701</v>
      </c>
      <c r="C1026" s="1" t="n">
        <v>45822</v>
      </c>
      <c r="D1026" t="inlineStr">
        <is>
          <t>VÄRMLANDS LÄN</t>
        </is>
      </c>
      <c r="E1026" t="inlineStr">
        <is>
          <t>TORSBY</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21094-2022</t>
        </is>
      </c>
      <c r="B1027" s="1" t="n">
        <v>44704</v>
      </c>
      <c r="C1027" s="1" t="n">
        <v>45822</v>
      </c>
      <c r="D1027" t="inlineStr">
        <is>
          <t>VÄRMLANDS LÄN</t>
        </is>
      </c>
      <c r="E1027" t="inlineStr">
        <is>
          <t>TORSBY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21070-2022</t>
        </is>
      </c>
      <c r="B1028" s="1" t="n">
        <v>44704</v>
      </c>
      <c r="C1028" s="1" t="n">
        <v>45822</v>
      </c>
      <c r="D1028" t="inlineStr">
        <is>
          <t>VÄRMLANDS LÄN</t>
        </is>
      </c>
      <c r="E1028" t="inlineStr">
        <is>
          <t>TORSBY</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21089-2022</t>
        </is>
      </c>
      <c r="B1029" s="1" t="n">
        <v>44704</v>
      </c>
      <c r="C1029" s="1" t="n">
        <v>45822</v>
      </c>
      <c r="D1029" t="inlineStr">
        <is>
          <t>VÄRMLANDS LÄN</t>
        </is>
      </c>
      <c r="E1029" t="inlineStr">
        <is>
          <t>TORSBY</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21516-2022</t>
        </is>
      </c>
      <c r="B1030" s="1" t="n">
        <v>44706</v>
      </c>
      <c r="C1030" s="1" t="n">
        <v>45822</v>
      </c>
      <c r="D1030" t="inlineStr">
        <is>
          <t>VÄRMLANDS LÄN</t>
        </is>
      </c>
      <c r="E1030" t="inlineStr">
        <is>
          <t>TORSBY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21465-2022</t>
        </is>
      </c>
      <c r="B1031" s="1" t="n">
        <v>44706</v>
      </c>
      <c r="C1031" s="1" t="n">
        <v>45822</v>
      </c>
      <c r="D1031" t="inlineStr">
        <is>
          <t>VÄRMLANDS LÄN</t>
        </is>
      </c>
      <c r="E1031" t="inlineStr">
        <is>
          <t>TORSBY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21521-2022</t>
        </is>
      </c>
      <c r="B1032" s="1" t="n">
        <v>44706</v>
      </c>
      <c r="C1032" s="1" t="n">
        <v>45822</v>
      </c>
      <c r="D1032" t="inlineStr">
        <is>
          <t>VÄRMLANDS LÄN</t>
        </is>
      </c>
      <c r="E1032" t="inlineStr">
        <is>
          <t>TORSBY</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22158-2022</t>
        </is>
      </c>
      <c r="B1033" s="1" t="n">
        <v>44708</v>
      </c>
      <c r="C1033" s="1" t="n">
        <v>45822</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22124-2022</t>
        </is>
      </c>
      <c r="B1034" s="1" t="n">
        <v>44712</v>
      </c>
      <c r="C1034" s="1" t="n">
        <v>45822</v>
      </c>
      <c r="D1034" t="inlineStr">
        <is>
          <t>VÄRMLANDS LÄN</t>
        </is>
      </c>
      <c r="E1034" t="inlineStr">
        <is>
          <t>TORSBY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22635-2022</t>
        </is>
      </c>
      <c r="B1035" s="1" t="n">
        <v>44714</v>
      </c>
      <c r="C1035" s="1" t="n">
        <v>45822</v>
      </c>
      <c r="D1035" t="inlineStr">
        <is>
          <t>VÄRMLANDS LÄN</t>
        </is>
      </c>
      <c r="E1035" t="inlineStr">
        <is>
          <t>TORSBY</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22662-2022</t>
        </is>
      </c>
      <c r="B1036" s="1" t="n">
        <v>44714</v>
      </c>
      <c r="C1036" s="1" t="n">
        <v>45822</v>
      </c>
      <c r="D1036" t="inlineStr">
        <is>
          <t>VÄRMLANDS LÄN</t>
        </is>
      </c>
      <c r="E1036" t="inlineStr">
        <is>
          <t>TORSBY</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22826-2022</t>
        </is>
      </c>
      <c r="B1037" s="1" t="n">
        <v>44714</v>
      </c>
      <c r="C1037" s="1" t="n">
        <v>45822</v>
      </c>
      <c r="D1037" t="inlineStr">
        <is>
          <t>VÄRMLANDS LÄN</t>
        </is>
      </c>
      <c r="E1037" t="inlineStr">
        <is>
          <t>TORSBY</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22823-2022</t>
        </is>
      </c>
      <c r="B1038" s="1" t="n">
        <v>44714</v>
      </c>
      <c r="C1038" s="1" t="n">
        <v>45822</v>
      </c>
      <c r="D1038" t="inlineStr">
        <is>
          <t>VÄRMLANDS LÄN</t>
        </is>
      </c>
      <c r="E1038" t="inlineStr">
        <is>
          <t>TORSBY</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23185-2022</t>
        </is>
      </c>
      <c r="B1039" s="1" t="n">
        <v>44719</v>
      </c>
      <c r="C1039" s="1" t="n">
        <v>45822</v>
      </c>
      <c r="D1039" t="inlineStr">
        <is>
          <t>VÄRMLANDS LÄN</t>
        </is>
      </c>
      <c r="E1039" t="inlineStr">
        <is>
          <t>TORSBY</t>
        </is>
      </c>
      <c r="F1039" t="inlineStr">
        <is>
          <t>Naturvårdsverket</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23011-2022</t>
        </is>
      </c>
      <c r="B1040" s="1" t="n">
        <v>44719</v>
      </c>
      <c r="C1040" s="1" t="n">
        <v>45822</v>
      </c>
      <c r="D1040" t="inlineStr">
        <is>
          <t>VÄRMLANDS LÄN</t>
        </is>
      </c>
      <c r="E1040" t="inlineStr">
        <is>
          <t>TORSBY</t>
        </is>
      </c>
      <c r="F1040" t="inlineStr">
        <is>
          <t>Bergvik skog väst AB</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23264-2022</t>
        </is>
      </c>
      <c r="B1041" s="1" t="n">
        <v>44720</v>
      </c>
      <c r="C1041" s="1" t="n">
        <v>45822</v>
      </c>
      <c r="D1041" t="inlineStr">
        <is>
          <t>VÄRMLANDS LÄN</t>
        </is>
      </c>
      <c r="E1041" t="inlineStr">
        <is>
          <t>TORSBY</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23343-2022</t>
        </is>
      </c>
      <c r="B1042" s="1" t="n">
        <v>44720</v>
      </c>
      <c r="C1042" s="1" t="n">
        <v>45822</v>
      </c>
      <c r="D1042" t="inlineStr">
        <is>
          <t>VÄRMLANDS LÄN</t>
        </is>
      </c>
      <c r="E1042" t="inlineStr">
        <is>
          <t>TORSBY</t>
        </is>
      </c>
      <c r="F1042" t="inlineStr">
        <is>
          <t>Bergvik skog väst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23401-2022</t>
        </is>
      </c>
      <c r="B1043" s="1" t="n">
        <v>44720</v>
      </c>
      <c r="C1043" s="1" t="n">
        <v>45822</v>
      </c>
      <c r="D1043" t="inlineStr">
        <is>
          <t>VÄRMLANDS LÄN</t>
        </is>
      </c>
      <c r="E1043" t="inlineStr">
        <is>
          <t>TORSBY</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23405-2022</t>
        </is>
      </c>
      <c r="B1044" s="1" t="n">
        <v>44720</v>
      </c>
      <c r="C1044" s="1" t="n">
        <v>45822</v>
      </c>
      <c r="D1044" t="inlineStr">
        <is>
          <t>VÄRMLANDS LÄN</t>
        </is>
      </c>
      <c r="E1044" t="inlineStr">
        <is>
          <t>TORSBY</t>
        </is>
      </c>
      <c r="F1044" t="inlineStr">
        <is>
          <t>Bergvik skog väst AB</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23803-2022</t>
        </is>
      </c>
      <c r="B1045" s="1" t="n">
        <v>44720</v>
      </c>
      <c r="C1045" s="1" t="n">
        <v>45822</v>
      </c>
      <c r="D1045" t="inlineStr">
        <is>
          <t>VÄRMLANDS LÄN</t>
        </is>
      </c>
      <c r="E1045" t="inlineStr">
        <is>
          <t>TORSBY</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23804-2022</t>
        </is>
      </c>
      <c r="B1046" s="1" t="n">
        <v>44722</v>
      </c>
      <c r="C1046" s="1" t="n">
        <v>45822</v>
      </c>
      <c r="D1046" t="inlineStr">
        <is>
          <t>VÄRMLANDS LÄN</t>
        </is>
      </c>
      <c r="E1046" t="inlineStr">
        <is>
          <t>TORSBY</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23823-2022</t>
        </is>
      </c>
      <c r="B1047" s="1" t="n">
        <v>44722</v>
      </c>
      <c r="C1047" s="1" t="n">
        <v>45822</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23735-2022</t>
        </is>
      </c>
      <c r="B1048" s="1" t="n">
        <v>44722</v>
      </c>
      <c r="C1048" s="1" t="n">
        <v>45822</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23818-2022</t>
        </is>
      </c>
      <c r="B1049" s="1" t="n">
        <v>44722</v>
      </c>
      <c r="C1049" s="1" t="n">
        <v>45822</v>
      </c>
      <c r="D1049" t="inlineStr">
        <is>
          <t>VÄRMLANDS LÄN</t>
        </is>
      </c>
      <c r="E1049" t="inlineStr">
        <is>
          <t>TORSBY</t>
        </is>
      </c>
      <c r="G1049" t="n">
        <v>23.5</v>
      </c>
      <c r="H1049" t="n">
        <v>0</v>
      </c>
      <c r="I1049" t="n">
        <v>0</v>
      </c>
      <c r="J1049" t="n">
        <v>0</v>
      </c>
      <c r="K1049" t="n">
        <v>0</v>
      </c>
      <c r="L1049" t="n">
        <v>0</v>
      </c>
      <c r="M1049" t="n">
        <v>0</v>
      </c>
      <c r="N1049" t="n">
        <v>0</v>
      </c>
      <c r="O1049" t="n">
        <v>0</v>
      </c>
      <c r="P1049" t="n">
        <v>0</v>
      </c>
      <c r="Q1049" t="n">
        <v>0</v>
      </c>
      <c r="R1049" s="2" t="inlineStr"/>
    </row>
    <row r="1050" ht="15" customHeight="1">
      <c r="A1050" t="inlineStr">
        <is>
          <t>A 23732-2022</t>
        </is>
      </c>
      <c r="B1050" s="1" t="n">
        <v>44722</v>
      </c>
      <c r="C1050" s="1" t="n">
        <v>45822</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23746-2022</t>
        </is>
      </c>
      <c r="B1051" s="1" t="n">
        <v>44722</v>
      </c>
      <c r="C1051" s="1" t="n">
        <v>45822</v>
      </c>
      <c r="D1051" t="inlineStr">
        <is>
          <t>VÄRMLANDS LÄN</t>
        </is>
      </c>
      <c r="E1051" t="inlineStr">
        <is>
          <t>TORSBY</t>
        </is>
      </c>
      <c r="F1051" t="inlineStr">
        <is>
          <t>Bergvik skog väst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23851-2022</t>
        </is>
      </c>
      <c r="B1052" s="1" t="n">
        <v>44722</v>
      </c>
      <c r="C1052" s="1" t="n">
        <v>45822</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24960-2022</t>
        </is>
      </c>
      <c r="B1053" s="1" t="n">
        <v>44728</v>
      </c>
      <c r="C1053" s="1" t="n">
        <v>45822</v>
      </c>
      <c r="D1053" t="inlineStr">
        <is>
          <t>VÄRMLANDS LÄN</t>
        </is>
      </c>
      <c r="E1053" t="inlineStr">
        <is>
          <t>TORSBY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25537-2022</t>
        </is>
      </c>
      <c r="B1054" s="1" t="n">
        <v>44732</v>
      </c>
      <c r="C1054" s="1" t="n">
        <v>45822</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26686-2022</t>
        </is>
      </c>
      <c r="B1055" s="1" t="n">
        <v>44739</v>
      </c>
      <c r="C1055" s="1" t="n">
        <v>45822</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26842-2022</t>
        </is>
      </c>
      <c r="B1056" s="1" t="n">
        <v>44740</v>
      </c>
      <c r="C1056" s="1" t="n">
        <v>45822</v>
      </c>
      <c r="D1056" t="inlineStr">
        <is>
          <t>VÄRMLANDS LÄN</t>
        </is>
      </c>
      <c r="E1056" t="inlineStr">
        <is>
          <t>TORSBY</t>
        </is>
      </c>
      <c r="F1056" t="inlineStr">
        <is>
          <t>Bergvik skog väst AB</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26988-2022</t>
        </is>
      </c>
      <c r="B1057" s="1" t="n">
        <v>44740</v>
      </c>
      <c r="C1057" s="1" t="n">
        <v>45822</v>
      </c>
      <c r="D1057" t="inlineStr">
        <is>
          <t>VÄRMLANDS LÄN</t>
        </is>
      </c>
      <c r="E1057" t="inlineStr">
        <is>
          <t>TORSBY</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27223-2022</t>
        </is>
      </c>
      <c r="B1058" s="1" t="n">
        <v>44741</v>
      </c>
      <c r="C1058" s="1" t="n">
        <v>45822</v>
      </c>
      <c r="D1058" t="inlineStr">
        <is>
          <t>VÄRMLANDS LÄN</t>
        </is>
      </c>
      <c r="E1058" t="inlineStr">
        <is>
          <t>TORSBY</t>
        </is>
      </c>
      <c r="F1058" t="inlineStr">
        <is>
          <t>Bergvik skog väst AB</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27686-2022</t>
        </is>
      </c>
      <c r="B1059" s="1" t="n">
        <v>44743</v>
      </c>
      <c r="C1059" s="1" t="n">
        <v>45822</v>
      </c>
      <c r="D1059" t="inlineStr">
        <is>
          <t>VÄRMLANDS LÄN</t>
        </is>
      </c>
      <c r="E1059" t="inlineStr">
        <is>
          <t>TORSBY</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28008-2022</t>
        </is>
      </c>
      <c r="B1060" s="1" t="n">
        <v>44746</v>
      </c>
      <c r="C1060" s="1" t="n">
        <v>45822</v>
      </c>
      <c r="D1060" t="inlineStr">
        <is>
          <t>VÄRMLANDS LÄN</t>
        </is>
      </c>
      <c r="E1060" t="inlineStr">
        <is>
          <t>TORSBY</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28016-2022</t>
        </is>
      </c>
      <c r="B1061" s="1" t="n">
        <v>44746</v>
      </c>
      <c r="C1061" s="1" t="n">
        <v>45822</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28113-2022</t>
        </is>
      </c>
      <c r="B1062" s="1" t="n">
        <v>44746</v>
      </c>
      <c r="C1062" s="1" t="n">
        <v>45822</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28172-2022</t>
        </is>
      </c>
      <c r="B1063" s="1" t="n">
        <v>44746</v>
      </c>
      <c r="C1063" s="1" t="n">
        <v>45822</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28471-2022</t>
        </is>
      </c>
      <c r="B1064" s="1" t="n">
        <v>44747</v>
      </c>
      <c r="C1064" s="1" t="n">
        <v>45822</v>
      </c>
      <c r="D1064" t="inlineStr">
        <is>
          <t>VÄRMLANDS LÄN</t>
        </is>
      </c>
      <c r="E1064" t="inlineStr">
        <is>
          <t>TORSBY</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28955-2022</t>
        </is>
      </c>
      <c r="B1065" s="1" t="n">
        <v>44749</v>
      </c>
      <c r="C1065" s="1" t="n">
        <v>45822</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29142-2022</t>
        </is>
      </c>
      <c r="B1066" s="1" t="n">
        <v>44750</v>
      </c>
      <c r="C1066" s="1" t="n">
        <v>45822</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29509-2022</t>
        </is>
      </c>
      <c r="B1067" s="1" t="n">
        <v>44753</v>
      </c>
      <c r="C1067" s="1" t="n">
        <v>45822</v>
      </c>
      <c r="D1067" t="inlineStr">
        <is>
          <t>VÄRMLANDS LÄN</t>
        </is>
      </c>
      <c r="E1067" t="inlineStr">
        <is>
          <t>TORSBY</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29596-2022</t>
        </is>
      </c>
      <c r="B1068" s="1" t="n">
        <v>44754</v>
      </c>
      <c r="C1068" s="1" t="n">
        <v>45822</v>
      </c>
      <c r="D1068" t="inlineStr">
        <is>
          <t>VÄRMLANDS LÄN</t>
        </is>
      </c>
      <c r="E1068" t="inlineStr">
        <is>
          <t>TORSBY</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29717-2022</t>
        </is>
      </c>
      <c r="B1069" s="1" t="n">
        <v>44755</v>
      </c>
      <c r="C1069" s="1" t="n">
        <v>45822</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29720-2022</t>
        </is>
      </c>
      <c r="B1070" s="1" t="n">
        <v>44755</v>
      </c>
      <c r="C1070" s="1" t="n">
        <v>45822</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29721-2022</t>
        </is>
      </c>
      <c r="B1071" s="1" t="n">
        <v>44755</v>
      </c>
      <c r="C1071" s="1" t="n">
        <v>45822</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29901-2022</t>
        </is>
      </c>
      <c r="B1072" s="1" t="n">
        <v>44756</v>
      </c>
      <c r="C1072" s="1" t="n">
        <v>45822</v>
      </c>
      <c r="D1072" t="inlineStr">
        <is>
          <t>VÄRMLANDS LÄN</t>
        </is>
      </c>
      <c r="E1072" t="inlineStr">
        <is>
          <t>TORSBY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29908-2022</t>
        </is>
      </c>
      <c r="B1073" s="1" t="n">
        <v>44756</v>
      </c>
      <c r="C1073" s="1" t="n">
        <v>45822</v>
      </c>
      <c r="D1073" t="inlineStr">
        <is>
          <t>VÄRMLANDS LÄN</t>
        </is>
      </c>
      <c r="E1073" t="inlineStr">
        <is>
          <t>TORSBY</t>
        </is>
      </c>
      <c r="F1073" t="inlineStr">
        <is>
          <t>Kommuner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29921-2022</t>
        </is>
      </c>
      <c r="B1074" s="1" t="n">
        <v>44756</v>
      </c>
      <c r="C1074" s="1" t="n">
        <v>45822</v>
      </c>
      <c r="D1074" t="inlineStr">
        <is>
          <t>VÄRMLANDS LÄN</t>
        </is>
      </c>
      <c r="E1074" t="inlineStr">
        <is>
          <t>TORSBY</t>
        </is>
      </c>
      <c r="F1074" t="inlineStr">
        <is>
          <t>Kommuner</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29990-2022</t>
        </is>
      </c>
      <c r="B1075" s="1" t="n">
        <v>44756</v>
      </c>
      <c r="C1075" s="1" t="n">
        <v>45822</v>
      </c>
      <c r="D1075" t="inlineStr">
        <is>
          <t>VÄRMLANDS LÄN</t>
        </is>
      </c>
      <c r="E1075" t="inlineStr">
        <is>
          <t>TORSBY</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30326-2022</t>
        </is>
      </c>
      <c r="B1076" s="1" t="n">
        <v>44760</v>
      </c>
      <c r="C1076" s="1" t="n">
        <v>45822</v>
      </c>
      <c r="D1076" t="inlineStr">
        <is>
          <t>VÄRMLANDS LÄN</t>
        </is>
      </c>
      <c r="E1076" t="inlineStr">
        <is>
          <t>TORSBY</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30612-2022</t>
        </is>
      </c>
      <c r="B1077" s="1" t="n">
        <v>44763</v>
      </c>
      <c r="C1077" s="1" t="n">
        <v>45822</v>
      </c>
      <c r="D1077" t="inlineStr">
        <is>
          <t>VÄRMLANDS LÄN</t>
        </is>
      </c>
      <c r="E1077" t="inlineStr">
        <is>
          <t>TORSBY</t>
        </is>
      </c>
      <c r="F1077" t="inlineStr">
        <is>
          <t>Kommuner</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32003-2022</t>
        </is>
      </c>
      <c r="B1078" s="1" t="n">
        <v>44778</v>
      </c>
      <c r="C1078" s="1" t="n">
        <v>45822</v>
      </c>
      <c r="D1078" t="inlineStr">
        <is>
          <t>VÄRMLANDS LÄN</t>
        </is>
      </c>
      <c r="E1078" t="inlineStr">
        <is>
          <t>TORSBY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32438-2022</t>
        </is>
      </c>
      <c r="B1079" s="1" t="n">
        <v>44782</v>
      </c>
      <c r="C1079" s="1" t="n">
        <v>45822</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32444-2022</t>
        </is>
      </c>
      <c r="B1080" s="1" t="n">
        <v>44782</v>
      </c>
      <c r="C1080" s="1" t="n">
        <v>45822</v>
      </c>
      <c r="D1080" t="inlineStr">
        <is>
          <t>VÄRMLANDS LÄN</t>
        </is>
      </c>
      <c r="E1080" t="inlineStr">
        <is>
          <t>TORSBY</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32400-2022</t>
        </is>
      </c>
      <c r="B1081" s="1" t="n">
        <v>44782</v>
      </c>
      <c r="C1081" s="1" t="n">
        <v>45822</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32496-2022</t>
        </is>
      </c>
      <c r="B1082" s="1" t="n">
        <v>44782</v>
      </c>
      <c r="C1082" s="1" t="n">
        <v>45822</v>
      </c>
      <c r="D1082" t="inlineStr">
        <is>
          <t>VÄRMLANDS LÄN</t>
        </is>
      </c>
      <c r="E1082" t="inlineStr">
        <is>
          <t>TORSBY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33069-2022</t>
        </is>
      </c>
      <c r="B1083" s="1" t="n">
        <v>44785</v>
      </c>
      <c r="C1083" s="1" t="n">
        <v>45822</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33181-2022</t>
        </is>
      </c>
      <c r="B1084" s="1" t="n">
        <v>44785</v>
      </c>
      <c r="C1084" s="1" t="n">
        <v>45822</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33254-2022</t>
        </is>
      </c>
      <c r="B1085" s="1" t="n">
        <v>44787</v>
      </c>
      <c r="C1085" s="1" t="n">
        <v>45822</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33251-2022</t>
        </is>
      </c>
      <c r="B1086" s="1" t="n">
        <v>44787</v>
      </c>
      <c r="C1086" s="1" t="n">
        <v>45822</v>
      </c>
      <c r="D1086" t="inlineStr">
        <is>
          <t>VÄRMLANDS LÄN</t>
        </is>
      </c>
      <c r="E1086" t="inlineStr">
        <is>
          <t>TORSBY</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33579-2022</t>
        </is>
      </c>
      <c r="B1087" s="1" t="n">
        <v>44789</v>
      </c>
      <c r="C1087" s="1" t="n">
        <v>45822</v>
      </c>
      <c r="D1087" t="inlineStr">
        <is>
          <t>VÄRMLANDS LÄN</t>
        </is>
      </c>
      <c r="E1087" t="inlineStr">
        <is>
          <t>TORSBY</t>
        </is>
      </c>
      <c r="F1087" t="inlineStr">
        <is>
          <t>Bergvik skog väst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33802-2022</t>
        </is>
      </c>
      <c r="B1088" s="1" t="n">
        <v>44790</v>
      </c>
      <c r="C1088" s="1" t="n">
        <v>45822</v>
      </c>
      <c r="D1088" t="inlineStr">
        <is>
          <t>VÄRMLANDS LÄN</t>
        </is>
      </c>
      <c r="E1088" t="inlineStr">
        <is>
          <t>TORSBY</t>
        </is>
      </c>
      <c r="F1088" t="inlineStr">
        <is>
          <t>Bergvik skog väst AB</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33960-2022</t>
        </is>
      </c>
      <c r="B1089" s="1" t="n">
        <v>44790</v>
      </c>
      <c r="C1089" s="1" t="n">
        <v>45822</v>
      </c>
      <c r="D1089" t="inlineStr">
        <is>
          <t>VÄRMLANDS LÄN</t>
        </is>
      </c>
      <c r="E1089" t="inlineStr">
        <is>
          <t>TORSBY</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33958-2022</t>
        </is>
      </c>
      <c r="B1090" s="1" t="n">
        <v>44790</v>
      </c>
      <c r="C1090" s="1" t="n">
        <v>45822</v>
      </c>
      <c r="D1090" t="inlineStr">
        <is>
          <t>VÄRMLANDS LÄN</t>
        </is>
      </c>
      <c r="E1090" t="inlineStr">
        <is>
          <t>TORSBY</t>
        </is>
      </c>
      <c r="G1090" t="n">
        <v>13.2</v>
      </c>
      <c r="H1090" t="n">
        <v>0</v>
      </c>
      <c r="I1090" t="n">
        <v>0</v>
      </c>
      <c r="J1090" t="n">
        <v>0</v>
      </c>
      <c r="K1090" t="n">
        <v>0</v>
      </c>
      <c r="L1090" t="n">
        <v>0</v>
      </c>
      <c r="M1090" t="n">
        <v>0</v>
      </c>
      <c r="N1090" t="n">
        <v>0</v>
      </c>
      <c r="O1090" t="n">
        <v>0</v>
      </c>
      <c r="P1090" t="n">
        <v>0</v>
      </c>
      <c r="Q1090" t="n">
        <v>0</v>
      </c>
      <c r="R1090" s="2" t="inlineStr"/>
    </row>
    <row r="1091" ht="15" customHeight="1">
      <c r="A1091" t="inlineStr">
        <is>
          <t>A 33943-2022</t>
        </is>
      </c>
      <c r="B1091" s="1" t="n">
        <v>44790</v>
      </c>
      <c r="C1091" s="1" t="n">
        <v>45822</v>
      </c>
      <c r="D1091" t="inlineStr">
        <is>
          <t>VÄRMLANDS LÄN</t>
        </is>
      </c>
      <c r="E1091" t="inlineStr">
        <is>
          <t>TORSBY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33959-2022</t>
        </is>
      </c>
      <c r="B1092" s="1" t="n">
        <v>44790</v>
      </c>
      <c r="C1092" s="1" t="n">
        <v>45822</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34371-2022</t>
        </is>
      </c>
      <c r="B1093" s="1" t="n">
        <v>44792</v>
      </c>
      <c r="C1093" s="1" t="n">
        <v>45822</v>
      </c>
      <c r="D1093" t="inlineStr">
        <is>
          <t>VÄRMLANDS LÄN</t>
        </is>
      </c>
      <c r="E1093" t="inlineStr">
        <is>
          <t>TORSBY</t>
        </is>
      </c>
      <c r="F1093" t="inlineStr">
        <is>
          <t>Bergvik skog väst AB</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34378-2022</t>
        </is>
      </c>
      <c r="B1094" s="1" t="n">
        <v>44792</v>
      </c>
      <c r="C1094" s="1" t="n">
        <v>45822</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34434-2022</t>
        </is>
      </c>
      <c r="B1095" s="1" t="n">
        <v>44792</v>
      </c>
      <c r="C1095" s="1" t="n">
        <v>45822</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34440-2022</t>
        </is>
      </c>
      <c r="B1096" s="1" t="n">
        <v>44792</v>
      </c>
      <c r="C1096" s="1" t="n">
        <v>45822</v>
      </c>
      <c r="D1096" t="inlineStr">
        <is>
          <t>VÄRMLANDS LÄN</t>
        </is>
      </c>
      <c r="E1096" t="inlineStr">
        <is>
          <t>TORSBY</t>
        </is>
      </c>
      <c r="F1096" t="inlineStr">
        <is>
          <t>Bergvik skog väst AB</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34581-2022</t>
        </is>
      </c>
      <c r="B1097" s="1" t="n">
        <v>44792</v>
      </c>
      <c r="C1097" s="1" t="n">
        <v>45822</v>
      </c>
      <c r="D1097" t="inlineStr">
        <is>
          <t>VÄRMLANDS LÄN</t>
        </is>
      </c>
      <c r="E1097" t="inlineStr">
        <is>
          <t>TORSBY</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34568-2022</t>
        </is>
      </c>
      <c r="B1098" s="1" t="n">
        <v>44795</v>
      </c>
      <c r="C1098" s="1" t="n">
        <v>45822</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34662-2022</t>
        </is>
      </c>
      <c r="B1099" s="1" t="n">
        <v>44795</v>
      </c>
      <c r="C1099" s="1" t="n">
        <v>45822</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34667-2022</t>
        </is>
      </c>
      <c r="B1100" s="1" t="n">
        <v>44795</v>
      </c>
      <c r="C1100" s="1" t="n">
        <v>45822</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34655-2022</t>
        </is>
      </c>
      <c r="B1101" s="1" t="n">
        <v>44795</v>
      </c>
      <c r="C1101" s="1" t="n">
        <v>45822</v>
      </c>
      <c r="D1101" t="inlineStr">
        <is>
          <t>VÄRMLANDS LÄN</t>
        </is>
      </c>
      <c r="E1101" t="inlineStr">
        <is>
          <t>TORSBY</t>
        </is>
      </c>
      <c r="G1101" t="n">
        <v>12.8</v>
      </c>
      <c r="H1101" t="n">
        <v>0</v>
      </c>
      <c r="I1101" t="n">
        <v>0</v>
      </c>
      <c r="J1101" t="n">
        <v>0</v>
      </c>
      <c r="K1101" t="n">
        <v>0</v>
      </c>
      <c r="L1101" t="n">
        <v>0</v>
      </c>
      <c r="M1101" t="n">
        <v>0</v>
      </c>
      <c r="N1101" t="n">
        <v>0</v>
      </c>
      <c r="O1101" t="n">
        <v>0</v>
      </c>
      <c r="P1101" t="n">
        <v>0</v>
      </c>
      <c r="Q1101" t="n">
        <v>0</v>
      </c>
      <c r="R1101" s="2" t="inlineStr"/>
    </row>
    <row r="1102" ht="15" customHeight="1">
      <c r="A1102" t="inlineStr">
        <is>
          <t>A 34908-2022</t>
        </is>
      </c>
      <c r="B1102" s="1" t="n">
        <v>44796</v>
      </c>
      <c r="C1102" s="1" t="n">
        <v>45822</v>
      </c>
      <c r="D1102" t="inlineStr">
        <is>
          <t>VÄRMLANDS LÄN</t>
        </is>
      </c>
      <c r="E1102" t="inlineStr">
        <is>
          <t>TORSBY</t>
        </is>
      </c>
      <c r="F1102" t="inlineStr">
        <is>
          <t>Bergvik skog väst AB</t>
        </is>
      </c>
      <c r="G1102" t="n">
        <v>33.4</v>
      </c>
      <c r="H1102" t="n">
        <v>0</v>
      </c>
      <c r="I1102" t="n">
        <v>0</v>
      </c>
      <c r="J1102" t="n">
        <v>0</v>
      </c>
      <c r="K1102" t="n">
        <v>0</v>
      </c>
      <c r="L1102" t="n">
        <v>0</v>
      </c>
      <c r="M1102" t="n">
        <v>0</v>
      </c>
      <c r="N1102" t="n">
        <v>0</v>
      </c>
      <c r="O1102" t="n">
        <v>0</v>
      </c>
      <c r="P1102" t="n">
        <v>0</v>
      </c>
      <c r="Q1102" t="n">
        <v>0</v>
      </c>
      <c r="R1102" s="2" t="inlineStr"/>
    </row>
    <row r="1103" ht="15" customHeight="1">
      <c r="A1103" t="inlineStr">
        <is>
          <t>A 35134-2022</t>
        </is>
      </c>
      <c r="B1103" s="1" t="n">
        <v>44797</v>
      </c>
      <c r="C1103" s="1" t="n">
        <v>45822</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35132-2022</t>
        </is>
      </c>
      <c r="B1104" s="1" t="n">
        <v>44797</v>
      </c>
      <c r="C1104" s="1" t="n">
        <v>45822</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35606-2022</t>
        </is>
      </c>
      <c r="B1105" s="1" t="n">
        <v>44799</v>
      </c>
      <c r="C1105" s="1" t="n">
        <v>45822</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35595-2022</t>
        </is>
      </c>
      <c r="B1106" s="1" t="n">
        <v>44799</v>
      </c>
      <c r="C1106" s="1" t="n">
        <v>45822</v>
      </c>
      <c r="D1106" t="inlineStr">
        <is>
          <t>VÄRMLANDS LÄN</t>
        </is>
      </c>
      <c r="E1106" t="inlineStr">
        <is>
          <t>TORSBY</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35724-2022</t>
        </is>
      </c>
      <c r="B1107" s="1" t="n">
        <v>44799</v>
      </c>
      <c r="C1107" s="1" t="n">
        <v>45822</v>
      </c>
      <c r="D1107" t="inlineStr">
        <is>
          <t>VÄRMLANDS LÄN</t>
        </is>
      </c>
      <c r="E1107" t="inlineStr">
        <is>
          <t>TORSBY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35711-2022</t>
        </is>
      </c>
      <c r="B1108" s="1" t="n">
        <v>44799</v>
      </c>
      <c r="C1108" s="1" t="n">
        <v>45822</v>
      </c>
      <c r="D1108" t="inlineStr">
        <is>
          <t>VÄRMLANDS LÄN</t>
        </is>
      </c>
      <c r="E1108" t="inlineStr">
        <is>
          <t>TORSBY</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35851-2022</t>
        </is>
      </c>
      <c r="B1109" s="1" t="n">
        <v>44802</v>
      </c>
      <c r="C1109" s="1" t="n">
        <v>45822</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36290-2022</t>
        </is>
      </c>
      <c r="B1110" s="1" t="n">
        <v>44803</v>
      </c>
      <c r="C1110" s="1" t="n">
        <v>45822</v>
      </c>
      <c r="D1110" t="inlineStr">
        <is>
          <t>VÄRMLANDS LÄN</t>
        </is>
      </c>
      <c r="E1110" t="inlineStr">
        <is>
          <t>TORSBY</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36318-2022</t>
        </is>
      </c>
      <c r="B1111" s="1" t="n">
        <v>44803</v>
      </c>
      <c r="C1111" s="1" t="n">
        <v>45822</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36514-2022</t>
        </is>
      </c>
      <c r="B1112" s="1" t="n">
        <v>44804</v>
      </c>
      <c r="C1112" s="1" t="n">
        <v>45822</v>
      </c>
      <c r="D1112" t="inlineStr">
        <is>
          <t>VÄRMLANDS LÄN</t>
        </is>
      </c>
      <c r="E1112" t="inlineStr">
        <is>
          <t>TORSBY</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36547-2022</t>
        </is>
      </c>
      <c r="B1113" s="1" t="n">
        <v>44804</v>
      </c>
      <c r="C1113" s="1" t="n">
        <v>45822</v>
      </c>
      <c r="D1113" t="inlineStr">
        <is>
          <t>VÄRMLANDS LÄN</t>
        </is>
      </c>
      <c r="E1113" t="inlineStr">
        <is>
          <t>TORSBY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36545-2022</t>
        </is>
      </c>
      <c r="B1114" s="1" t="n">
        <v>44804</v>
      </c>
      <c r="C1114" s="1" t="n">
        <v>45822</v>
      </c>
      <c r="D1114" t="inlineStr">
        <is>
          <t>VÄRMLANDS LÄN</t>
        </is>
      </c>
      <c r="E1114" t="inlineStr">
        <is>
          <t>TORSBY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36527-2022</t>
        </is>
      </c>
      <c r="B1115" s="1" t="n">
        <v>44804</v>
      </c>
      <c r="C1115" s="1" t="n">
        <v>45822</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36537-2022</t>
        </is>
      </c>
      <c r="B1116" s="1" t="n">
        <v>44804</v>
      </c>
      <c r="C1116" s="1" t="n">
        <v>45822</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36582-2022</t>
        </is>
      </c>
      <c r="B1117" s="1" t="n">
        <v>44804</v>
      </c>
      <c r="C1117" s="1" t="n">
        <v>45822</v>
      </c>
      <c r="D1117" t="inlineStr">
        <is>
          <t>VÄRMLANDS LÄN</t>
        </is>
      </c>
      <c r="E1117" t="inlineStr">
        <is>
          <t>TORSBY</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36562-2022</t>
        </is>
      </c>
      <c r="B1118" s="1" t="n">
        <v>44804</v>
      </c>
      <c r="C1118" s="1" t="n">
        <v>45822</v>
      </c>
      <c r="D1118" t="inlineStr">
        <is>
          <t>VÄRMLANDS LÄN</t>
        </is>
      </c>
      <c r="E1118" t="inlineStr">
        <is>
          <t>TORSBY</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36572-2022</t>
        </is>
      </c>
      <c r="B1119" s="1" t="n">
        <v>44804</v>
      </c>
      <c r="C1119" s="1" t="n">
        <v>45822</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36587-2022</t>
        </is>
      </c>
      <c r="B1120" s="1" t="n">
        <v>44804</v>
      </c>
      <c r="C1120" s="1" t="n">
        <v>45822</v>
      </c>
      <c r="D1120" t="inlineStr">
        <is>
          <t>VÄRMLANDS LÄN</t>
        </is>
      </c>
      <c r="E1120" t="inlineStr">
        <is>
          <t>TORSBY</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37148-2022</t>
        </is>
      </c>
      <c r="B1121" s="1" t="n">
        <v>44806</v>
      </c>
      <c r="C1121" s="1" t="n">
        <v>45822</v>
      </c>
      <c r="D1121" t="inlineStr">
        <is>
          <t>VÄRMLANDS LÄN</t>
        </is>
      </c>
      <c r="E1121" t="inlineStr">
        <is>
          <t>TORSBY</t>
        </is>
      </c>
      <c r="F1121" t="inlineStr">
        <is>
          <t>Kommuner</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37279-2022</t>
        </is>
      </c>
      <c r="B1122" s="1" t="n">
        <v>44807</v>
      </c>
      <c r="C1122" s="1" t="n">
        <v>45822</v>
      </c>
      <c r="D1122" t="inlineStr">
        <is>
          <t>VÄRMLANDS LÄN</t>
        </is>
      </c>
      <c r="E1122" t="inlineStr">
        <is>
          <t>TORSBY</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37401-2022</t>
        </is>
      </c>
      <c r="B1123" s="1" t="n">
        <v>44809</v>
      </c>
      <c r="C1123" s="1" t="n">
        <v>45822</v>
      </c>
      <c r="D1123" t="inlineStr">
        <is>
          <t>VÄRMLANDS LÄN</t>
        </is>
      </c>
      <c r="E1123" t="inlineStr">
        <is>
          <t>TORSBY</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37449-2022</t>
        </is>
      </c>
      <c r="B1124" s="1" t="n">
        <v>44809</v>
      </c>
      <c r="C1124" s="1" t="n">
        <v>45822</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37340-2022</t>
        </is>
      </c>
      <c r="B1125" s="1" t="n">
        <v>44809</v>
      </c>
      <c r="C1125" s="1" t="n">
        <v>45822</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37752-2022</t>
        </is>
      </c>
      <c r="B1126" s="1" t="n">
        <v>44810</v>
      </c>
      <c r="C1126" s="1" t="n">
        <v>45822</v>
      </c>
      <c r="D1126" t="inlineStr">
        <is>
          <t>VÄRMLANDS LÄN</t>
        </is>
      </c>
      <c r="E1126" t="inlineStr">
        <is>
          <t>TORSBY</t>
        </is>
      </c>
      <c r="F1126" t="inlineStr">
        <is>
          <t>Kyrkan</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37814-2022</t>
        </is>
      </c>
      <c r="B1127" s="1" t="n">
        <v>44810</v>
      </c>
      <c r="C1127" s="1" t="n">
        <v>45822</v>
      </c>
      <c r="D1127" t="inlineStr">
        <is>
          <t>VÄRMLANDS LÄN</t>
        </is>
      </c>
      <c r="E1127" t="inlineStr">
        <is>
          <t>TORSBY</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37754-2022</t>
        </is>
      </c>
      <c r="B1128" s="1" t="n">
        <v>44810</v>
      </c>
      <c r="C1128" s="1" t="n">
        <v>45822</v>
      </c>
      <c r="D1128" t="inlineStr">
        <is>
          <t>VÄRMLANDS LÄN</t>
        </is>
      </c>
      <c r="E1128" t="inlineStr">
        <is>
          <t>TORSBY</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37913-2022</t>
        </is>
      </c>
      <c r="B1129" s="1" t="n">
        <v>44811</v>
      </c>
      <c r="C1129" s="1" t="n">
        <v>45822</v>
      </c>
      <c r="D1129" t="inlineStr">
        <is>
          <t>VÄRMLANDS LÄN</t>
        </is>
      </c>
      <c r="E1129" t="inlineStr">
        <is>
          <t>TORSBY</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37929-2022</t>
        </is>
      </c>
      <c r="B1130" s="1" t="n">
        <v>44811</v>
      </c>
      <c r="C1130" s="1" t="n">
        <v>45822</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37917-2022</t>
        </is>
      </c>
      <c r="B1131" s="1" t="n">
        <v>44811</v>
      </c>
      <c r="C1131" s="1" t="n">
        <v>45822</v>
      </c>
      <c r="D1131" t="inlineStr">
        <is>
          <t>VÄRMLANDS LÄN</t>
        </is>
      </c>
      <c r="E1131" t="inlineStr">
        <is>
          <t>TORSBY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37937-2022</t>
        </is>
      </c>
      <c r="B1132" s="1" t="n">
        <v>44811</v>
      </c>
      <c r="C1132" s="1" t="n">
        <v>45822</v>
      </c>
      <c r="D1132" t="inlineStr">
        <is>
          <t>VÄRMLANDS LÄN</t>
        </is>
      </c>
      <c r="E1132" t="inlineStr">
        <is>
          <t>TORSBY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37985-2022</t>
        </is>
      </c>
      <c r="B1133" s="1" t="n">
        <v>44811</v>
      </c>
      <c r="C1133" s="1" t="n">
        <v>45822</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38033-2022</t>
        </is>
      </c>
      <c r="B1134" s="1" t="n">
        <v>44811</v>
      </c>
      <c r="C1134" s="1" t="n">
        <v>45822</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38200-2022</t>
        </is>
      </c>
      <c r="B1135" s="1" t="n">
        <v>44812</v>
      </c>
      <c r="C1135" s="1" t="n">
        <v>45822</v>
      </c>
      <c r="D1135" t="inlineStr">
        <is>
          <t>VÄRMLANDS LÄN</t>
        </is>
      </c>
      <c r="E1135" t="inlineStr">
        <is>
          <t>TORSBY</t>
        </is>
      </c>
      <c r="F1135" t="inlineStr">
        <is>
          <t>Bergvik skog väst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38179-2022</t>
        </is>
      </c>
      <c r="B1136" s="1" t="n">
        <v>44812</v>
      </c>
      <c r="C1136" s="1" t="n">
        <v>45822</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38378-2022</t>
        </is>
      </c>
      <c r="B1137" s="1" t="n">
        <v>44812</v>
      </c>
      <c r="C1137" s="1" t="n">
        <v>45822</v>
      </c>
      <c r="D1137" t="inlineStr">
        <is>
          <t>VÄRMLANDS LÄN</t>
        </is>
      </c>
      <c r="E1137" t="inlineStr">
        <is>
          <t>TORSBY</t>
        </is>
      </c>
      <c r="F1137" t="inlineStr">
        <is>
          <t>Bergvik skog väst AB</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38486-2022</t>
        </is>
      </c>
      <c r="B1138" s="1" t="n">
        <v>44813</v>
      </c>
      <c r="C1138" s="1" t="n">
        <v>45822</v>
      </c>
      <c r="D1138" t="inlineStr">
        <is>
          <t>VÄRMLANDS LÄN</t>
        </is>
      </c>
      <c r="E1138" t="inlineStr">
        <is>
          <t>TORSBY</t>
        </is>
      </c>
      <c r="F1138" t="inlineStr">
        <is>
          <t>Bergvik skog väst AB</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38699-2022</t>
        </is>
      </c>
      <c r="B1139" s="1" t="n">
        <v>44814</v>
      </c>
      <c r="C1139" s="1" t="n">
        <v>45822</v>
      </c>
      <c r="D1139" t="inlineStr">
        <is>
          <t>VÄRMLANDS LÄN</t>
        </is>
      </c>
      <c r="E1139" t="inlineStr">
        <is>
          <t>TORSBY</t>
        </is>
      </c>
      <c r="F1139" t="inlineStr">
        <is>
          <t>Bergvik skog väst AB</t>
        </is>
      </c>
      <c r="G1139" t="n">
        <v>22.6</v>
      </c>
      <c r="H1139" t="n">
        <v>0</v>
      </c>
      <c r="I1139" t="n">
        <v>0</v>
      </c>
      <c r="J1139" t="n">
        <v>0</v>
      </c>
      <c r="K1139" t="n">
        <v>0</v>
      </c>
      <c r="L1139" t="n">
        <v>0</v>
      </c>
      <c r="M1139" t="n">
        <v>0</v>
      </c>
      <c r="N1139" t="n">
        <v>0</v>
      </c>
      <c r="O1139" t="n">
        <v>0</v>
      </c>
      <c r="P1139" t="n">
        <v>0</v>
      </c>
      <c r="Q1139" t="n">
        <v>0</v>
      </c>
      <c r="R1139" s="2" t="inlineStr"/>
    </row>
    <row r="1140" ht="15" customHeight="1">
      <c r="A1140" t="inlineStr">
        <is>
          <t>A 38882-2022</t>
        </is>
      </c>
      <c r="B1140" s="1" t="n">
        <v>44816</v>
      </c>
      <c r="C1140" s="1" t="n">
        <v>45822</v>
      </c>
      <c r="D1140" t="inlineStr">
        <is>
          <t>VÄRMLANDS LÄN</t>
        </is>
      </c>
      <c r="E1140" t="inlineStr">
        <is>
          <t>TORSBY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38914-2022</t>
        </is>
      </c>
      <c r="B1141" s="1" t="n">
        <v>44816</v>
      </c>
      <c r="C1141" s="1" t="n">
        <v>45822</v>
      </c>
      <c r="D1141" t="inlineStr">
        <is>
          <t>VÄRMLANDS LÄN</t>
        </is>
      </c>
      <c r="E1141" t="inlineStr">
        <is>
          <t>TORSBY</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39069-2022</t>
        </is>
      </c>
      <c r="B1142" s="1" t="n">
        <v>44816</v>
      </c>
      <c r="C1142" s="1" t="n">
        <v>45822</v>
      </c>
      <c r="D1142" t="inlineStr">
        <is>
          <t>VÄRMLANDS LÄN</t>
        </is>
      </c>
      <c r="E1142" t="inlineStr">
        <is>
          <t>TORSBY</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39186-2022</t>
        </is>
      </c>
      <c r="B1143" s="1" t="n">
        <v>44817</v>
      </c>
      <c r="C1143" s="1" t="n">
        <v>45822</v>
      </c>
      <c r="D1143" t="inlineStr">
        <is>
          <t>VÄRMLANDS LÄN</t>
        </is>
      </c>
      <c r="E1143" t="inlineStr">
        <is>
          <t>TORSBY</t>
        </is>
      </c>
      <c r="F1143" t="inlineStr">
        <is>
          <t>Bergvik skog väst AB</t>
        </is>
      </c>
      <c r="G1143" t="n">
        <v>20.3</v>
      </c>
      <c r="H1143" t="n">
        <v>0</v>
      </c>
      <c r="I1143" t="n">
        <v>0</v>
      </c>
      <c r="J1143" t="n">
        <v>0</v>
      </c>
      <c r="K1143" t="n">
        <v>0</v>
      </c>
      <c r="L1143" t="n">
        <v>0</v>
      </c>
      <c r="M1143" t="n">
        <v>0</v>
      </c>
      <c r="N1143" t="n">
        <v>0</v>
      </c>
      <c r="O1143" t="n">
        <v>0</v>
      </c>
      <c r="P1143" t="n">
        <v>0</v>
      </c>
      <c r="Q1143" t="n">
        <v>0</v>
      </c>
      <c r="R1143" s="2" t="inlineStr"/>
    </row>
    <row r="1144" ht="15" customHeight="1">
      <c r="A1144" t="inlineStr">
        <is>
          <t>A 39216-2022</t>
        </is>
      </c>
      <c r="B1144" s="1" t="n">
        <v>44817</v>
      </c>
      <c r="C1144" s="1" t="n">
        <v>45822</v>
      </c>
      <c r="D1144" t="inlineStr">
        <is>
          <t>VÄRMLANDS LÄN</t>
        </is>
      </c>
      <c r="E1144" t="inlineStr">
        <is>
          <t>TORSBY</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39215-2022</t>
        </is>
      </c>
      <c r="B1145" s="1" t="n">
        <v>44817</v>
      </c>
      <c r="C1145" s="1" t="n">
        <v>45822</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39221-2022</t>
        </is>
      </c>
      <c r="B1146" s="1" t="n">
        <v>44817</v>
      </c>
      <c r="C1146" s="1" t="n">
        <v>45822</v>
      </c>
      <c r="D1146" t="inlineStr">
        <is>
          <t>VÄRMLANDS LÄN</t>
        </is>
      </c>
      <c r="E1146" t="inlineStr">
        <is>
          <t>TORSBY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39217-2022</t>
        </is>
      </c>
      <c r="B1147" s="1" t="n">
        <v>44817</v>
      </c>
      <c r="C1147" s="1" t="n">
        <v>45822</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39781-2022</t>
        </is>
      </c>
      <c r="B1148" s="1" t="n">
        <v>44819</v>
      </c>
      <c r="C1148" s="1" t="n">
        <v>45822</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39780-2022</t>
        </is>
      </c>
      <c r="B1149" s="1" t="n">
        <v>44819</v>
      </c>
      <c r="C1149" s="1" t="n">
        <v>45822</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40009-2022</t>
        </is>
      </c>
      <c r="B1150" s="1" t="n">
        <v>44820</v>
      </c>
      <c r="C1150" s="1" t="n">
        <v>45822</v>
      </c>
      <c r="D1150" t="inlineStr">
        <is>
          <t>VÄRMLANDS LÄN</t>
        </is>
      </c>
      <c r="E1150" t="inlineStr">
        <is>
          <t>TORSBY</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40036-2022</t>
        </is>
      </c>
      <c r="B1151" s="1" t="n">
        <v>44820</v>
      </c>
      <c r="C1151" s="1" t="n">
        <v>45822</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40221-2022</t>
        </is>
      </c>
      <c r="B1152" s="1" t="n">
        <v>44820</v>
      </c>
      <c r="C1152" s="1" t="n">
        <v>45822</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40353-2022</t>
        </is>
      </c>
      <c r="B1153" s="1" t="n">
        <v>44823</v>
      </c>
      <c r="C1153" s="1" t="n">
        <v>45822</v>
      </c>
      <c r="D1153" t="inlineStr">
        <is>
          <t>VÄRMLANDS LÄN</t>
        </is>
      </c>
      <c r="E1153" t="inlineStr">
        <is>
          <t>TORSBY</t>
        </is>
      </c>
      <c r="F1153" t="inlineStr">
        <is>
          <t>Bergvik skog väst AB</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41264-2022</t>
        </is>
      </c>
      <c r="B1154" s="1" t="n">
        <v>44823</v>
      </c>
      <c r="C1154" s="1" t="n">
        <v>45822</v>
      </c>
      <c r="D1154" t="inlineStr">
        <is>
          <t>VÄRMLANDS LÄN</t>
        </is>
      </c>
      <c r="E1154" t="inlineStr">
        <is>
          <t>TORSBY</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41295-2022</t>
        </is>
      </c>
      <c r="B1155" s="1" t="n">
        <v>44823</v>
      </c>
      <c r="C1155" s="1" t="n">
        <v>45822</v>
      </c>
      <c r="D1155" t="inlineStr">
        <is>
          <t>VÄRMLANDS LÄN</t>
        </is>
      </c>
      <c r="E1155" t="inlineStr">
        <is>
          <t>TORSBY</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40718-2022</t>
        </is>
      </c>
      <c r="B1156" s="1" t="n">
        <v>44824</v>
      </c>
      <c r="C1156" s="1" t="n">
        <v>45822</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40788-2022</t>
        </is>
      </c>
      <c r="B1157" s="1" t="n">
        <v>44824</v>
      </c>
      <c r="C1157" s="1" t="n">
        <v>45822</v>
      </c>
      <c r="D1157" t="inlineStr">
        <is>
          <t>VÄRMLANDS LÄN</t>
        </is>
      </c>
      <c r="E1157" t="inlineStr">
        <is>
          <t>TORSBY</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40997-2022</t>
        </is>
      </c>
      <c r="B1158" s="1" t="n">
        <v>44825</v>
      </c>
      <c r="C1158" s="1" t="n">
        <v>45822</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41065-2022</t>
        </is>
      </c>
      <c r="B1159" s="1" t="n">
        <v>44825</v>
      </c>
      <c r="C1159" s="1" t="n">
        <v>45822</v>
      </c>
      <c r="D1159" t="inlineStr">
        <is>
          <t>VÄRMLANDS LÄN</t>
        </is>
      </c>
      <c r="E1159" t="inlineStr">
        <is>
          <t>TORSBY</t>
        </is>
      </c>
      <c r="F1159" t="inlineStr">
        <is>
          <t>Kommuner</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41130-2022</t>
        </is>
      </c>
      <c r="B1160" s="1" t="n">
        <v>44825</v>
      </c>
      <c r="C1160" s="1" t="n">
        <v>45822</v>
      </c>
      <c r="D1160" t="inlineStr">
        <is>
          <t>VÄRMLANDS LÄN</t>
        </is>
      </c>
      <c r="E1160" t="inlineStr">
        <is>
          <t>TORSBY</t>
        </is>
      </c>
      <c r="F1160" t="inlineStr">
        <is>
          <t>Kyrkan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41315-2022</t>
        </is>
      </c>
      <c r="B1161" s="1" t="n">
        <v>44826</v>
      </c>
      <c r="C1161" s="1" t="n">
        <v>45822</v>
      </c>
      <c r="D1161" t="inlineStr">
        <is>
          <t>VÄRMLANDS LÄN</t>
        </is>
      </c>
      <c r="E1161" t="inlineStr">
        <is>
          <t>TORSBY</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41322-2022</t>
        </is>
      </c>
      <c r="B1162" s="1" t="n">
        <v>44826</v>
      </c>
      <c r="C1162" s="1" t="n">
        <v>45822</v>
      </c>
      <c r="D1162" t="inlineStr">
        <is>
          <t>VÄRMLANDS LÄN</t>
        </is>
      </c>
      <c r="E1162" t="inlineStr">
        <is>
          <t>TORSBY</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41781-2022</t>
        </is>
      </c>
      <c r="B1163" s="1" t="n">
        <v>44827</v>
      </c>
      <c r="C1163" s="1" t="n">
        <v>45822</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41675-2022</t>
        </is>
      </c>
      <c r="B1164" s="1" t="n">
        <v>44827</v>
      </c>
      <c r="C1164" s="1" t="n">
        <v>45822</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41590-2022</t>
        </is>
      </c>
      <c r="B1165" s="1" t="n">
        <v>44827</v>
      </c>
      <c r="C1165" s="1" t="n">
        <v>45822</v>
      </c>
      <c r="D1165" t="inlineStr">
        <is>
          <t>VÄRMLANDS LÄN</t>
        </is>
      </c>
      <c r="E1165" t="inlineStr">
        <is>
          <t>TORSBY</t>
        </is>
      </c>
      <c r="F1165" t="inlineStr">
        <is>
          <t>Bergvik skog väst AB</t>
        </is>
      </c>
      <c r="G1165" t="n">
        <v>42.5</v>
      </c>
      <c r="H1165" t="n">
        <v>0</v>
      </c>
      <c r="I1165" t="n">
        <v>0</v>
      </c>
      <c r="J1165" t="n">
        <v>0</v>
      </c>
      <c r="K1165" t="n">
        <v>0</v>
      </c>
      <c r="L1165" t="n">
        <v>0</v>
      </c>
      <c r="M1165" t="n">
        <v>0</v>
      </c>
      <c r="N1165" t="n">
        <v>0</v>
      </c>
      <c r="O1165" t="n">
        <v>0</v>
      </c>
      <c r="P1165" t="n">
        <v>0</v>
      </c>
      <c r="Q1165" t="n">
        <v>0</v>
      </c>
      <c r="R1165" s="2" t="inlineStr"/>
    </row>
    <row r="1166" ht="15" customHeight="1">
      <c r="A1166" t="inlineStr">
        <is>
          <t>A 41995-2022</t>
        </is>
      </c>
      <c r="B1166" s="1" t="n">
        <v>44830</v>
      </c>
      <c r="C1166" s="1" t="n">
        <v>45822</v>
      </c>
      <c r="D1166" t="inlineStr">
        <is>
          <t>VÄRMLANDS LÄN</t>
        </is>
      </c>
      <c r="E1166" t="inlineStr">
        <is>
          <t>TORSBY</t>
        </is>
      </c>
      <c r="F1166" t="inlineStr">
        <is>
          <t>Bergvik skog väst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42588-2022</t>
        </is>
      </c>
      <c r="B1167" s="1" t="n">
        <v>44831</v>
      </c>
      <c r="C1167" s="1" t="n">
        <v>45822</v>
      </c>
      <c r="D1167" t="inlineStr">
        <is>
          <t>VÄRMLANDS LÄN</t>
        </is>
      </c>
      <c r="E1167" t="inlineStr">
        <is>
          <t>TORSBY</t>
        </is>
      </c>
      <c r="F1167" t="inlineStr">
        <is>
          <t>Bergvik skog väst AB</t>
        </is>
      </c>
      <c r="G1167" t="n">
        <v>41.4</v>
      </c>
      <c r="H1167" t="n">
        <v>0</v>
      </c>
      <c r="I1167" t="n">
        <v>0</v>
      </c>
      <c r="J1167" t="n">
        <v>0</v>
      </c>
      <c r="K1167" t="n">
        <v>0</v>
      </c>
      <c r="L1167" t="n">
        <v>0</v>
      </c>
      <c r="M1167" t="n">
        <v>0</v>
      </c>
      <c r="N1167" t="n">
        <v>0</v>
      </c>
      <c r="O1167" t="n">
        <v>0</v>
      </c>
      <c r="P1167" t="n">
        <v>0</v>
      </c>
      <c r="Q1167" t="n">
        <v>0</v>
      </c>
      <c r="R1167" s="2" t="inlineStr"/>
    </row>
    <row r="1168" ht="15" customHeight="1">
      <c r="A1168" t="inlineStr">
        <is>
          <t>A 42784-2022</t>
        </is>
      </c>
      <c r="B1168" s="1" t="n">
        <v>44832</v>
      </c>
      <c r="C1168" s="1" t="n">
        <v>45822</v>
      </c>
      <c r="D1168" t="inlineStr">
        <is>
          <t>VÄRMLANDS LÄN</t>
        </is>
      </c>
      <c r="E1168" t="inlineStr">
        <is>
          <t>TORSBY</t>
        </is>
      </c>
      <c r="F1168" t="inlineStr">
        <is>
          <t>Bergvik skog väst AB</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42701-2022</t>
        </is>
      </c>
      <c r="B1169" s="1" t="n">
        <v>44832</v>
      </c>
      <c r="C1169" s="1" t="n">
        <v>45822</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43022-2022</t>
        </is>
      </c>
      <c r="B1170" s="1" t="n">
        <v>44833</v>
      </c>
      <c r="C1170" s="1" t="n">
        <v>45822</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43111-2022</t>
        </is>
      </c>
      <c r="B1171" s="1" t="n">
        <v>44833</v>
      </c>
      <c r="C1171" s="1" t="n">
        <v>45822</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43248-2022</t>
        </is>
      </c>
      <c r="B1172" s="1" t="n">
        <v>44834</v>
      </c>
      <c r="C1172" s="1" t="n">
        <v>45822</v>
      </c>
      <c r="D1172" t="inlineStr">
        <is>
          <t>VÄRMLANDS LÄN</t>
        </is>
      </c>
      <c r="E1172" t="inlineStr">
        <is>
          <t>TORSBY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43289-2022</t>
        </is>
      </c>
      <c r="B1173" s="1" t="n">
        <v>44834</v>
      </c>
      <c r="C1173" s="1" t="n">
        <v>45822</v>
      </c>
      <c r="D1173" t="inlineStr">
        <is>
          <t>VÄRMLANDS LÄN</t>
        </is>
      </c>
      <c r="E1173" t="inlineStr">
        <is>
          <t>TORSBY</t>
        </is>
      </c>
      <c r="G1173" t="n">
        <v>11.2</v>
      </c>
      <c r="H1173" t="n">
        <v>0</v>
      </c>
      <c r="I1173" t="n">
        <v>0</v>
      </c>
      <c r="J1173" t="n">
        <v>0</v>
      </c>
      <c r="K1173" t="n">
        <v>0</v>
      </c>
      <c r="L1173" t="n">
        <v>0</v>
      </c>
      <c r="M1173" t="n">
        <v>0</v>
      </c>
      <c r="N1173" t="n">
        <v>0</v>
      </c>
      <c r="O1173" t="n">
        <v>0</v>
      </c>
      <c r="P1173" t="n">
        <v>0</v>
      </c>
      <c r="Q1173" t="n">
        <v>0</v>
      </c>
      <c r="R1173" s="2" t="inlineStr"/>
    </row>
    <row r="1174" ht="15" customHeight="1">
      <c r="A1174" t="inlineStr">
        <is>
          <t>A 43465-2022</t>
        </is>
      </c>
      <c r="B1174" s="1" t="n">
        <v>44836</v>
      </c>
      <c r="C1174" s="1" t="n">
        <v>45822</v>
      </c>
      <c r="D1174" t="inlineStr">
        <is>
          <t>VÄRMLANDS LÄN</t>
        </is>
      </c>
      <c r="E1174" t="inlineStr">
        <is>
          <t>TORSBY</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43943-2022</t>
        </is>
      </c>
      <c r="B1175" s="1" t="n">
        <v>44838</v>
      </c>
      <c r="C1175" s="1" t="n">
        <v>45822</v>
      </c>
      <c r="D1175" t="inlineStr">
        <is>
          <t>VÄRMLANDS LÄN</t>
        </is>
      </c>
      <c r="E1175" t="inlineStr">
        <is>
          <t>TORSBY</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43989-2022</t>
        </is>
      </c>
      <c r="B1176" s="1" t="n">
        <v>44838</v>
      </c>
      <c r="C1176" s="1" t="n">
        <v>45822</v>
      </c>
      <c r="D1176" t="inlineStr">
        <is>
          <t>VÄRMLANDS LÄN</t>
        </is>
      </c>
      <c r="E1176" t="inlineStr">
        <is>
          <t>TORSBY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44214-2022</t>
        </is>
      </c>
      <c r="B1177" s="1" t="n">
        <v>44838</v>
      </c>
      <c r="C1177" s="1" t="n">
        <v>45822</v>
      </c>
      <c r="D1177" t="inlineStr">
        <is>
          <t>VÄRMLANDS LÄN</t>
        </is>
      </c>
      <c r="E1177" t="inlineStr">
        <is>
          <t>TORSBY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44340-2022</t>
        </is>
      </c>
      <c r="B1178" s="1" t="n">
        <v>44838</v>
      </c>
      <c r="C1178" s="1" t="n">
        <v>45822</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44170-2022</t>
        </is>
      </c>
      <c r="B1179" s="1" t="n">
        <v>44838</v>
      </c>
      <c r="C1179" s="1" t="n">
        <v>45822</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44149-2022</t>
        </is>
      </c>
      <c r="B1180" s="1" t="n">
        <v>44839</v>
      </c>
      <c r="C1180" s="1" t="n">
        <v>45822</v>
      </c>
      <c r="D1180" t="inlineStr">
        <is>
          <t>VÄRMLANDS LÄN</t>
        </is>
      </c>
      <c r="E1180" t="inlineStr">
        <is>
          <t>TORSBY</t>
        </is>
      </c>
      <c r="F1180" t="inlineStr">
        <is>
          <t>Bergvik skog väst AB</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44196-2022</t>
        </is>
      </c>
      <c r="B1181" s="1" t="n">
        <v>44839</v>
      </c>
      <c r="C1181" s="1" t="n">
        <v>45822</v>
      </c>
      <c r="D1181" t="inlineStr">
        <is>
          <t>VÄRMLANDS LÄN</t>
        </is>
      </c>
      <c r="E1181" t="inlineStr">
        <is>
          <t>TORSBY</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44327-2022</t>
        </is>
      </c>
      <c r="B1182" s="1" t="n">
        <v>44839</v>
      </c>
      <c r="C1182" s="1" t="n">
        <v>45822</v>
      </c>
      <c r="D1182" t="inlineStr">
        <is>
          <t>VÄRMLANDS LÄN</t>
        </is>
      </c>
      <c r="E1182" t="inlineStr">
        <is>
          <t>TORSBY</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44841-2022</t>
        </is>
      </c>
      <c r="B1183" s="1" t="n">
        <v>44839</v>
      </c>
      <c r="C1183" s="1" t="n">
        <v>45822</v>
      </c>
      <c r="D1183" t="inlineStr">
        <is>
          <t>VÄRMLANDS LÄN</t>
        </is>
      </c>
      <c r="E1183" t="inlineStr">
        <is>
          <t>TORSBY</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44879-2022</t>
        </is>
      </c>
      <c r="B1184" s="1" t="n">
        <v>44839</v>
      </c>
      <c r="C1184" s="1" t="n">
        <v>45822</v>
      </c>
      <c r="D1184" t="inlineStr">
        <is>
          <t>VÄRMLANDS LÄN</t>
        </is>
      </c>
      <c r="E1184" t="inlineStr">
        <is>
          <t>TORSBY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44498-2022</t>
        </is>
      </c>
      <c r="B1185" s="1" t="n">
        <v>44840</v>
      </c>
      <c r="C1185" s="1" t="n">
        <v>45822</v>
      </c>
      <c r="D1185" t="inlineStr">
        <is>
          <t>VÄRMLANDS LÄN</t>
        </is>
      </c>
      <c r="E1185" t="inlineStr">
        <is>
          <t>TORSBY</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44516-2022</t>
        </is>
      </c>
      <c r="B1186" s="1" t="n">
        <v>44840</v>
      </c>
      <c r="C1186" s="1" t="n">
        <v>45822</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44517-2022</t>
        </is>
      </c>
      <c r="B1187" s="1" t="n">
        <v>44840</v>
      </c>
      <c r="C1187" s="1" t="n">
        <v>45822</v>
      </c>
      <c r="D1187" t="inlineStr">
        <is>
          <t>VÄRMLANDS LÄN</t>
        </is>
      </c>
      <c r="E1187" t="inlineStr">
        <is>
          <t>TORSBY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44532-2022</t>
        </is>
      </c>
      <c r="B1188" s="1" t="n">
        <v>44840</v>
      </c>
      <c r="C1188" s="1" t="n">
        <v>45822</v>
      </c>
      <c r="D1188" t="inlineStr">
        <is>
          <t>VÄRMLANDS LÄN</t>
        </is>
      </c>
      <c r="E1188" t="inlineStr">
        <is>
          <t>TORSBY</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44708-2022</t>
        </is>
      </c>
      <c r="B1189" s="1" t="n">
        <v>44840</v>
      </c>
      <c r="C1189" s="1" t="n">
        <v>45822</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45056-2022</t>
        </is>
      </c>
      <c r="B1190" s="1" t="n">
        <v>44841</v>
      </c>
      <c r="C1190" s="1" t="n">
        <v>45822</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45303-2022</t>
        </is>
      </c>
      <c r="B1191" s="1" t="n">
        <v>44844</v>
      </c>
      <c r="C1191" s="1" t="n">
        <v>45822</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45368-2022</t>
        </is>
      </c>
      <c r="B1192" s="1" t="n">
        <v>44844</v>
      </c>
      <c r="C1192" s="1" t="n">
        <v>45822</v>
      </c>
      <c r="D1192" t="inlineStr">
        <is>
          <t>VÄRMLANDS LÄN</t>
        </is>
      </c>
      <c r="E1192" t="inlineStr">
        <is>
          <t>TORSBY</t>
        </is>
      </c>
      <c r="F1192" t="inlineStr">
        <is>
          <t>Bergvik skog väst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45328-2022</t>
        </is>
      </c>
      <c r="B1193" s="1" t="n">
        <v>44844</v>
      </c>
      <c r="C1193" s="1" t="n">
        <v>45822</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45325-2022</t>
        </is>
      </c>
      <c r="B1194" s="1" t="n">
        <v>44844</v>
      </c>
      <c r="C1194" s="1" t="n">
        <v>45822</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45369-2022</t>
        </is>
      </c>
      <c r="B1195" s="1" t="n">
        <v>44844</v>
      </c>
      <c r="C1195" s="1" t="n">
        <v>45822</v>
      </c>
      <c r="D1195" t="inlineStr">
        <is>
          <t>VÄRMLANDS LÄN</t>
        </is>
      </c>
      <c r="E1195" t="inlineStr">
        <is>
          <t>TORSBY</t>
        </is>
      </c>
      <c r="F1195" t="inlineStr">
        <is>
          <t>Bergvik skog väst AB</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45809-2022</t>
        </is>
      </c>
      <c r="B1196" s="1" t="n">
        <v>44844</v>
      </c>
      <c r="C1196" s="1" t="n">
        <v>45822</v>
      </c>
      <c r="D1196" t="inlineStr">
        <is>
          <t>VÄRMLANDS LÄN</t>
        </is>
      </c>
      <c r="E1196" t="inlineStr">
        <is>
          <t>TORSBY</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45666-2022</t>
        </is>
      </c>
      <c r="B1197" s="1" t="n">
        <v>44845</v>
      </c>
      <c r="C1197" s="1" t="n">
        <v>45822</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46551-2022</t>
        </is>
      </c>
      <c r="B1198" s="1" t="n">
        <v>44848</v>
      </c>
      <c r="C1198" s="1" t="n">
        <v>45822</v>
      </c>
      <c r="D1198" t="inlineStr">
        <is>
          <t>VÄRMLANDS LÄN</t>
        </is>
      </c>
      <c r="E1198" t="inlineStr">
        <is>
          <t>TORSBY</t>
        </is>
      </c>
      <c r="F1198" t="inlineStr">
        <is>
          <t>Bergvik skog väst AB</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47167-2022</t>
        </is>
      </c>
      <c r="B1199" s="1" t="n">
        <v>44852</v>
      </c>
      <c r="C1199" s="1" t="n">
        <v>45822</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47141-2022</t>
        </is>
      </c>
      <c r="B1200" s="1" t="n">
        <v>44852</v>
      </c>
      <c r="C1200" s="1" t="n">
        <v>45822</v>
      </c>
      <c r="D1200" t="inlineStr">
        <is>
          <t>VÄRMLANDS LÄN</t>
        </is>
      </c>
      <c r="E1200" t="inlineStr">
        <is>
          <t>TORSBY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47206-2022</t>
        </is>
      </c>
      <c r="B1201" s="1" t="n">
        <v>44852</v>
      </c>
      <c r="C1201" s="1" t="n">
        <v>45822</v>
      </c>
      <c r="D1201" t="inlineStr">
        <is>
          <t>VÄRMLANDS LÄN</t>
        </is>
      </c>
      <c r="E1201" t="inlineStr">
        <is>
          <t>TORSBY</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47466-2022</t>
        </is>
      </c>
      <c r="B1202" s="1" t="n">
        <v>44852</v>
      </c>
      <c r="C1202" s="1" t="n">
        <v>45822</v>
      </c>
      <c r="D1202" t="inlineStr">
        <is>
          <t>VÄRMLANDS LÄN</t>
        </is>
      </c>
      <c r="E1202" t="inlineStr">
        <is>
          <t>TORSBY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48328-2022</t>
        </is>
      </c>
      <c r="B1203" s="1" t="n">
        <v>44853</v>
      </c>
      <c r="C1203" s="1" t="n">
        <v>45822</v>
      </c>
      <c r="D1203" t="inlineStr">
        <is>
          <t>VÄRMLANDS LÄN</t>
        </is>
      </c>
      <c r="E1203" t="inlineStr">
        <is>
          <t>TORSBY</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48356-2022</t>
        </is>
      </c>
      <c r="B1204" s="1" t="n">
        <v>44853</v>
      </c>
      <c r="C1204" s="1" t="n">
        <v>45822</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48320-2022</t>
        </is>
      </c>
      <c r="B1205" s="1" t="n">
        <v>44853</v>
      </c>
      <c r="C1205" s="1" t="n">
        <v>45822</v>
      </c>
      <c r="D1205" t="inlineStr">
        <is>
          <t>VÄRMLANDS LÄN</t>
        </is>
      </c>
      <c r="E1205" t="inlineStr">
        <is>
          <t>TORSBY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47694-2022</t>
        </is>
      </c>
      <c r="B1206" s="1" t="n">
        <v>44854</v>
      </c>
      <c r="C1206" s="1" t="n">
        <v>45822</v>
      </c>
      <c r="D1206" t="inlineStr">
        <is>
          <t>VÄRMLANDS LÄN</t>
        </is>
      </c>
      <c r="E1206" t="inlineStr">
        <is>
          <t>TORSBY</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48239-2022</t>
        </is>
      </c>
      <c r="B1207" s="1" t="n">
        <v>44858</v>
      </c>
      <c r="C1207" s="1" t="n">
        <v>45822</v>
      </c>
      <c r="D1207" t="inlineStr">
        <is>
          <t>VÄRMLANDS LÄN</t>
        </is>
      </c>
      <c r="E1207" t="inlineStr">
        <is>
          <t>TORSBY</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48712-2022</t>
        </is>
      </c>
      <c r="B1208" s="1" t="n">
        <v>44859</v>
      </c>
      <c r="C1208" s="1" t="n">
        <v>45822</v>
      </c>
      <c r="D1208" t="inlineStr">
        <is>
          <t>VÄRMLANDS LÄN</t>
        </is>
      </c>
      <c r="E1208" t="inlineStr">
        <is>
          <t>TORSBY</t>
        </is>
      </c>
      <c r="F1208" t="inlineStr">
        <is>
          <t>Bergvik skog väst AB</t>
        </is>
      </c>
      <c r="G1208" t="n">
        <v>22.7</v>
      </c>
      <c r="H1208" t="n">
        <v>0</v>
      </c>
      <c r="I1208" t="n">
        <v>0</v>
      </c>
      <c r="J1208" t="n">
        <v>0</v>
      </c>
      <c r="K1208" t="n">
        <v>0</v>
      </c>
      <c r="L1208" t="n">
        <v>0</v>
      </c>
      <c r="M1208" t="n">
        <v>0</v>
      </c>
      <c r="N1208" t="n">
        <v>0</v>
      </c>
      <c r="O1208" t="n">
        <v>0</v>
      </c>
      <c r="P1208" t="n">
        <v>0</v>
      </c>
      <c r="Q1208" t="n">
        <v>0</v>
      </c>
      <c r="R1208" s="2" t="inlineStr"/>
    </row>
    <row r="1209" ht="15" customHeight="1">
      <c r="A1209" t="inlineStr">
        <is>
          <t>A 49699-2022</t>
        </is>
      </c>
      <c r="B1209" s="1" t="n">
        <v>44859</v>
      </c>
      <c r="C1209" s="1" t="n">
        <v>45822</v>
      </c>
      <c r="D1209" t="inlineStr">
        <is>
          <t>VÄRMLANDS LÄN</t>
        </is>
      </c>
      <c r="E1209" t="inlineStr">
        <is>
          <t>TORSBY</t>
        </is>
      </c>
      <c r="F1209" t="inlineStr">
        <is>
          <t>Kyrkan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49814-2022</t>
        </is>
      </c>
      <c r="B1210" s="1" t="n">
        <v>44859</v>
      </c>
      <c r="C1210" s="1" t="n">
        <v>45822</v>
      </c>
      <c r="D1210" t="inlineStr">
        <is>
          <t>VÄRMLANDS LÄN</t>
        </is>
      </c>
      <c r="E1210" t="inlineStr">
        <is>
          <t>TORSBY</t>
        </is>
      </c>
      <c r="F1210" t="inlineStr">
        <is>
          <t>Kyrkan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49608-2022</t>
        </is>
      </c>
      <c r="B1211" s="1" t="n">
        <v>44859</v>
      </c>
      <c r="C1211" s="1" t="n">
        <v>45822</v>
      </c>
      <c r="D1211" t="inlineStr">
        <is>
          <t>VÄRMLANDS LÄN</t>
        </is>
      </c>
      <c r="E1211" t="inlineStr">
        <is>
          <t>TORSBY</t>
        </is>
      </c>
      <c r="F1211" t="inlineStr">
        <is>
          <t>Kyrkan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49073-2022</t>
        </is>
      </c>
      <c r="B1212" s="1" t="n">
        <v>44860</v>
      </c>
      <c r="C1212" s="1" t="n">
        <v>45822</v>
      </c>
      <c r="D1212" t="inlineStr">
        <is>
          <t>VÄRMLANDS LÄN</t>
        </is>
      </c>
      <c r="E1212" t="inlineStr">
        <is>
          <t>TORSBY</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49206-2022</t>
        </is>
      </c>
      <c r="B1213" s="1" t="n">
        <v>44861</v>
      </c>
      <c r="C1213" s="1" t="n">
        <v>45822</v>
      </c>
      <c r="D1213" t="inlineStr">
        <is>
          <t>VÄRMLANDS LÄN</t>
        </is>
      </c>
      <c r="E1213" t="inlineStr">
        <is>
          <t>TORSBY</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49346-2022</t>
        </is>
      </c>
      <c r="B1214" s="1" t="n">
        <v>44861</v>
      </c>
      <c r="C1214" s="1" t="n">
        <v>45822</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50390-2022</t>
        </is>
      </c>
      <c r="B1215" s="1" t="n">
        <v>44861</v>
      </c>
      <c r="C1215" s="1" t="n">
        <v>45822</v>
      </c>
      <c r="D1215" t="inlineStr">
        <is>
          <t>VÄRMLANDS LÄN</t>
        </is>
      </c>
      <c r="E1215" t="inlineStr">
        <is>
          <t>TORSBY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49795-2022</t>
        </is>
      </c>
      <c r="B1216" s="1" t="n">
        <v>44862</v>
      </c>
      <c r="C1216" s="1" t="n">
        <v>45822</v>
      </c>
      <c r="D1216" t="inlineStr">
        <is>
          <t>VÄRMLANDS LÄN</t>
        </is>
      </c>
      <c r="E1216" t="inlineStr">
        <is>
          <t>TORSBY</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49810-2022</t>
        </is>
      </c>
      <c r="B1217" s="1" t="n">
        <v>44862</v>
      </c>
      <c r="C1217" s="1" t="n">
        <v>45822</v>
      </c>
      <c r="D1217" t="inlineStr">
        <is>
          <t>VÄRMLANDS LÄN</t>
        </is>
      </c>
      <c r="E1217" t="inlineStr">
        <is>
          <t>TORSBY</t>
        </is>
      </c>
      <c r="F1217" t="inlineStr">
        <is>
          <t>Bergvik skog väst AB</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49957-2022</t>
        </is>
      </c>
      <c r="B1218" s="1" t="n">
        <v>44865</v>
      </c>
      <c r="C1218" s="1" t="n">
        <v>45822</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49983-2022</t>
        </is>
      </c>
      <c r="B1219" s="1" t="n">
        <v>44865</v>
      </c>
      <c r="C1219" s="1" t="n">
        <v>45822</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49970-2022</t>
        </is>
      </c>
      <c r="B1220" s="1" t="n">
        <v>44865</v>
      </c>
      <c r="C1220" s="1" t="n">
        <v>45822</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49959-2022</t>
        </is>
      </c>
      <c r="B1221" s="1" t="n">
        <v>44865</v>
      </c>
      <c r="C1221" s="1" t="n">
        <v>45822</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50280-2022</t>
        </is>
      </c>
      <c r="B1222" s="1" t="n">
        <v>44865</v>
      </c>
      <c r="C1222" s="1" t="n">
        <v>45822</v>
      </c>
      <c r="D1222" t="inlineStr">
        <is>
          <t>VÄRMLANDS LÄN</t>
        </is>
      </c>
      <c r="E1222" t="inlineStr">
        <is>
          <t>TORSBY</t>
        </is>
      </c>
      <c r="F1222" t="inlineStr">
        <is>
          <t>Bergvik skog väst AB</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50417-2022</t>
        </is>
      </c>
      <c r="B1223" s="1" t="n">
        <v>44866</v>
      </c>
      <c r="C1223" s="1" t="n">
        <v>45822</v>
      </c>
      <c r="D1223" t="inlineStr">
        <is>
          <t>VÄRMLANDS LÄN</t>
        </is>
      </c>
      <c r="E1223" t="inlineStr">
        <is>
          <t>TORSBY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50436-2022</t>
        </is>
      </c>
      <c r="B1224" s="1" t="n">
        <v>44866</v>
      </c>
      <c r="C1224" s="1" t="n">
        <v>45822</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50434-2022</t>
        </is>
      </c>
      <c r="B1225" s="1" t="n">
        <v>44866</v>
      </c>
      <c r="C1225" s="1" t="n">
        <v>45822</v>
      </c>
      <c r="D1225" t="inlineStr">
        <is>
          <t>VÄRMLANDS LÄN</t>
        </is>
      </c>
      <c r="E1225" t="inlineStr">
        <is>
          <t>TORSBY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50953-2022</t>
        </is>
      </c>
      <c r="B1226" s="1" t="n">
        <v>44866</v>
      </c>
      <c r="C1226" s="1" t="n">
        <v>45822</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50789-2022</t>
        </is>
      </c>
      <c r="B1227" s="1" t="n">
        <v>44867</v>
      </c>
      <c r="C1227" s="1" t="n">
        <v>45822</v>
      </c>
      <c r="D1227" t="inlineStr">
        <is>
          <t>VÄRMLANDS LÄN</t>
        </is>
      </c>
      <c r="E1227" t="inlineStr">
        <is>
          <t>TORSBY</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51124-2022</t>
        </is>
      </c>
      <c r="B1228" s="1" t="n">
        <v>44868</v>
      </c>
      <c r="C1228" s="1" t="n">
        <v>45822</v>
      </c>
      <c r="D1228" t="inlineStr">
        <is>
          <t>VÄRMLANDS LÄN</t>
        </is>
      </c>
      <c r="E1228" t="inlineStr">
        <is>
          <t>TORSBY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51439-2022</t>
        </is>
      </c>
      <c r="B1229" s="1" t="n">
        <v>44869</v>
      </c>
      <c r="C1229" s="1" t="n">
        <v>45822</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51490-2022</t>
        </is>
      </c>
      <c r="B1230" s="1" t="n">
        <v>44869</v>
      </c>
      <c r="C1230" s="1" t="n">
        <v>45822</v>
      </c>
      <c r="D1230" t="inlineStr">
        <is>
          <t>VÄRMLANDS LÄN</t>
        </is>
      </c>
      <c r="E1230" t="inlineStr">
        <is>
          <t>TORSBY</t>
        </is>
      </c>
      <c r="F1230" t="inlineStr">
        <is>
          <t>Bergvik skog väst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51489-2022</t>
        </is>
      </c>
      <c r="B1231" s="1" t="n">
        <v>44869</v>
      </c>
      <c r="C1231" s="1" t="n">
        <v>45822</v>
      </c>
      <c r="D1231" t="inlineStr">
        <is>
          <t>VÄRMLANDS LÄN</t>
        </is>
      </c>
      <c r="E1231" t="inlineStr">
        <is>
          <t>TORSBY</t>
        </is>
      </c>
      <c r="F1231" t="inlineStr">
        <is>
          <t>Bergvik skog väst AB</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51847-2022</t>
        </is>
      </c>
      <c r="B1232" s="1" t="n">
        <v>44872</v>
      </c>
      <c r="C1232" s="1" t="n">
        <v>45822</v>
      </c>
      <c r="D1232" t="inlineStr">
        <is>
          <t>VÄRMLANDS LÄN</t>
        </is>
      </c>
      <c r="E1232" t="inlineStr">
        <is>
          <t>TORSBY</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51843-2022</t>
        </is>
      </c>
      <c r="B1233" s="1" t="n">
        <v>44872</v>
      </c>
      <c r="C1233" s="1" t="n">
        <v>45822</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51911-2022</t>
        </is>
      </c>
      <c r="B1234" s="1" t="n">
        <v>44872</v>
      </c>
      <c r="C1234" s="1" t="n">
        <v>45822</v>
      </c>
      <c r="D1234" t="inlineStr">
        <is>
          <t>VÄRMLANDS LÄN</t>
        </is>
      </c>
      <c r="E1234" t="inlineStr">
        <is>
          <t>TORSBY</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52921-2022</t>
        </is>
      </c>
      <c r="B1235" s="1" t="n">
        <v>44872</v>
      </c>
      <c r="C1235" s="1" t="n">
        <v>45822</v>
      </c>
      <c r="D1235" t="inlineStr">
        <is>
          <t>VÄRMLANDS LÄN</t>
        </is>
      </c>
      <c r="E1235" t="inlineStr">
        <is>
          <t>TORSBY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52901-2022</t>
        </is>
      </c>
      <c r="B1236" s="1" t="n">
        <v>44872</v>
      </c>
      <c r="C1236" s="1" t="n">
        <v>45822</v>
      </c>
      <c r="D1236" t="inlineStr">
        <is>
          <t>VÄRMLANDS LÄN</t>
        </is>
      </c>
      <c r="E1236" t="inlineStr">
        <is>
          <t>TORSBY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52286-2022</t>
        </is>
      </c>
      <c r="B1237" s="1" t="n">
        <v>44873</v>
      </c>
      <c r="C1237" s="1" t="n">
        <v>45822</v>
      </c>
      <c r="D1237" t="inlineStr">
        <is>
          <t>VÄRMLANDS LÄN</t>
        </is>
      </c>
      <c r="E1237" t="inlineStr">
        <is>
          <t>TORSBY</t>
        </is>
      </c>
      <c r="F1237" t="inlineStr">
        <is>
          <t>Bergvik skog väst AB</t>
        </is>
      </c>
      <c r="G1237" t="n">
        <v>51.4</v>
      </c>
      <c r="H1237" t="n">
        <v>0</v>
      </c>
      <c r="I1237" t="n">
        <v>0</v>
      </c>
      <c r="J1237" t="n">
        <v>0</v>
      </c>
      <c r="K1237" t="n">
        <v>0</v>
      </c>
      <c r="L1237" t="n">
        <v>0</v>
      </c>
      <c r="M1237" t="n">
        <v>0</v>
      </c>
      <c r="N1237" t="n">
        <v>0</v>
      </c>
      <c r="O1237" t="n">
        <v>0</v>
      </c>
      <c r="P1237" t="n">
        <v>0</v>
      </c>
      <c r="Q1237" t="n">
        <v>0</v>
      </c>
      <c r="R1237" s="2" t="inlineStr"/>
    </row>
    <row r="1238" ht="15" customHeight="1">
      <c r="A1238" t="inlineStr">
        <is>
          <t>A 52393-2022</t>
        </is>
      </c>
      <c r="B1238" s="1" t="n">
        <v>44874</v>
      </c>
      <c r="C1238" s="1" t="n">
        <v>45822</v>
      </c>
      <c r="D1238" t="inlineStr">
        <is>
          <t>VÄRMLANDS LÄN</t>
        </is>
      </c>
      <c r="E1238" t="inlineStr">
        <is>
          <t>TORSBY</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52546-2022</t>
        </is>
      </c>
      <c r="B1239" s="1" t="n">
        <v>44874</v>
      </c>
      <c r="C1239" s="1" t="n">
        <v>45822</v>
      </c>
      <c r="D1239" t="inlineStr">
        <is>
          <t>VÄRMLANDS LÄN</t>
        </is>
      </c>
      <c r="E1239" t="inlineStr">
        <is>
          <t>TORSBY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52386-2022</t>
        </is>
      </c>
      <c r="B1240" s="1" t="n">
        <v>44874</v>
      </c>
      <c r="C1240" s="1" t="n">
        <v>45822</v>
      </c>
      <c r="D1240" t="inlineStr">
        <is>
          <t>VÄRMLANDS LÄN</t>
        </is>
      </c>
      <c r="E1240" t="inlineStr">
        <is>
          <t>TORSBY</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52543-2022</t>
        </is>
      </c>
      <c r="B1241" s="1" t="n">
        <v>44874</v>
      </c>
      <c r="C1241" s="1" t="n">
        <v>45822</v>
      </c>
      <c r="D1241" t="inlineStr">
        <is>
          <t>VÄRMLANDS LÄN</t>
        </is>
      </c>
      <c r="E1241" t="inlineStr">
        <is>
          <t>TORSBY</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52447-2022</t>
        </is>
      </c>
      <c r="B1242" s="1" t="n">
        <v>44874</v>
      </c>
      <c r="C1242" s="1" t="n">
        <v>45822</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52483-2022</t>
        </is>
      </c>
      <c r="B1243" s="1" t="n">
        <v>44874</v>
      </c>
      <c r="C1243" s="1" t="n">
        <v>45822</v>
      </c>
      <c r="D1243" t="inlineStr">
        <is>
          <t>VÄRMLANDS LÄN</t>
        </is>
      </c>
      <c r="E1243" t="inlineStr">
        <is>
          <t>TORSBY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52913-2022</t>
        </is>
      </c>
      <c r="B1244" s="1" t="n">
        <v>44875</v>
      </c>
      <c r="C1244" s="1" t="n">
        <v>45822</v>
      </c>
      <c r="D1244" t="inlineStr">
        <is>
          <t>VÄRMLANDS LÄN</t>
        </is>
      </c>
      <c r="E1244" t="inlineStr">
        <is>
          <t>TORSBY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52919-2022</t>
        </is>
      </c>
      <c r="B1245" s="1" t="n">
        <v>44875</v>
      </c>
      <c r="C1245" s="1" t="n">
        <v>45822</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53044-2022</t>
        </is>
      </c>
      <c r="B1246" s="1" t="n">
        <v>44876</v>
      </c>
      <c r="C1246" s="1" t="n">
        <v>45822</v>
      </c>
      <c r="D1246" t="inlineStr">
        <is>
          <t>VÄRMLANDS LÄN</t>
        </is>
      </c>
      <c r="E1246" t="inlineStr">
        <is>
          <t>TORSBY</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53076-2022</t>
        </is>
      </c>
      <c r="B1247" s="1" t="n">
        <v>44876</v>
      </c>
      <c r="C1247" s="1" t="n">
        <v>45822</v>
      </c>
      <c r="D1247" t="inlineStr">
        <is>
          <t>VÄRMLANDS LÄN</t>
        </is>
      </c>
      <c r="E1247" t="inlineStr">
        <is>
          <t>TORSBY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53988-2022</t>
        </is>
      </c>
      <c r="B1248" s="1" t="n">
        <v>44876</v>
      </c>
      <c r="C1248" s="1" t="n">
        <v>45822</v>
      </c>
      <c r="D1248" t="inlineStr">
        <is>
          <t>VÄRMLANDS LÄN</t>
        </is>
      </c>
      <c r="E1248" t="inlineStr">
        <is>
          <t>TORSBY</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53381-2022</t>
        </is>
      </c>
      <c r="B1249" s="1" t="n">
        <v>44879</v>
      </c>
      <c r="C1249" s="1" t="n">
        <v>45822</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53492-2022</t>
        </is>
      </c>
      <c r="B1250" s="1" t="n">
        <v>44879</v>
      </c>
      <c r="C1250" s="1" t="n">
        <v>45822</v>
      </c>
      <c r="D1250" t="inlineStr">
        <is>
          <t>VÄRMLANDS LÄN</t>
        </is>
      </c>
      <c r="E1250" t="inlineStr">
        <is>
          <t>TORSBY</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53781-2022</t>
        </is>
      </c>
      <c r="B1251" s="1" t="n">
        <v>44880</v>
      </c>
      <c r="C1251" s="1" t="n">
        <v>45822</v>
      </c>
      <c r="D1251" t="inlineStr">
        <is>
          <t>VÄRMLANDS LÄN</t>
        </is>
      </c>
      <c r="E1251" t="inlineStr">
        <is>
          <t>TORSBY</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53906-2022</t>
        </is>
      </c>
      <c r="B1252" s="1" t="n">
        <v>44880</v>
      </c>
      <c r="C1252" s="1" t="n">
        <v>45822</v>
      </c>
      <c r="D1252" t="inlineStr">
        <is>
          <t>VÄRMLANDS LÄN</t>
        </is>
      </c>
      <c r="E1252" t="inlineStr">
        <is>
          <t>TORSBY</t>
        </is>
      </c>
      <c r="F1252" t="inlineStr">
        <is>
          <t>Bergvik skog väst AB</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54452-2022</t>
        </is>
      </c>
      <c r="B1253" s="1" t="n">
        <v>44880</v>
      </c>
      <c r="C1253" s="1" t="n">
        <v>45822</v>
      </c>
      <c r="D1253" t="inlineStr">
        <is>
          <t>VÄRMLANDS LÄN</t>
        </is>
      </c>
      <c r="E1253" t="inlineStr">
        <is>
          <t>TORSBY</t>
        </is>
      </c>
      <c r="F1253" t="inlineStr">
        <is>
          <t>Kyrkan</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54028-2022</t>
        </is>
      </c>
      <c r="B1254" s="1" t="n">
        <v>44881</v>
      </c>
      <c r="C1254" s="1" t="n">
        <v>45822</v>
      </c>
      <c r="D1254" t="inlineStr">
        <is>
          <t>VÄRMLANDS LÄN</t>
        </is>
      </c>
      <c r="E1254" t="inlineStr">
        <is>
          <t>TORSBY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54143-2022</t>
        </is>
      </c>
      <c r="B1255" s="1" t="n">
        <v>44881</v>
      </c>
      <c r="C1255" s="1" t="n">
        <v>45822</v>
      </c>
      <c r="D1255" t="inlineStr">
        <is>
          <t>VÄRMLANDS LÄN</t>
        </is>
      </c>
      <c r="E1255" t="inlineStr">
        <is>
          <t>TORSBY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54160-2022</t>
        </is>
      </c>
      <c r="B1256" s="1" t="n">
        <v>44881</v>
      </c>
      <c r="C1256" s="1" t="n">
        <v>45822</v>
      </c>
      <c r="D1256" t="inlineStr">
        <is>
          <t>VÄRMLANDS LÄN</t>
        </is>
      </c>
      <c r="E1256" t="inlineStr">
        <is>
          <t>TORSBY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54811-2022</t>
        </is>
      </c>
      <c r="B1257" s="1" t="n">
        <v>44883</v>
      </c>
      <c r="C1257" s="1" t="n">
        <v>45822</v>
      </c>
      <c r="D1257" t="inlineStr">
        <is>
          <t>VÄRMLANDS LÄN</t>
        </is>
      </c>
      <c r="E1257" t="inlineStr">
        <is>
          <t>TORSBY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54865-2022</t>
        </is>
      </c>
      <c r="B1258" s="1" t="n">
        <v>44884</v>
      </c>
      <c r="C1258" s="1" t="n">
        <v>45822</v>
      </c>
      <c r="D1258" t="inlineStr">
        <is>
          <t>VÄRMLANDS LÄN</t>
        </is>
      </c>
      <c r="E1258" t="inlineStr">
        <is>
          <t>TORSBY</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54885-2022</t>
        </is>
      </c>
      <c r="B1259" s="1" t="n">
        <v>44886</v>
      </c>
      <c r="C1259" s="1" t="n">
        <v>45822</v>
      </c>
      <c r="D1259" t="inlineStr">
        <is>
          <t>VÄRMLANDS LÄN</t>
        </is>
      </c>
      <c r="E1259" t="inlineStr">
        <is>
          <t>TORSBY</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55068-2022</t>
        </is>
      </c>
      <c r="B1260" s="1" t="n">
        <v>44886</v>
      </c>
      <c r="C1260" s="1" t="n">
        <v>45822</v>
      </c>
      <c r="D1260" t="inlineStr">
        <is>
          <t>VÄRMLANDS LÄN</t>
        </is>
      </c>
      <c r="E1260" t="inlineStr">
        <is>
          <t>TORSBY</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55092-2022</t>
        </is>
      </c>
      <c r="B1261" s="1" t="n">
        <v>44886</v>
      </c>
      <c r="C1261" s="1" t="n">
        <v>45822</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55104-2022</t>
        </is>
      </c>
      <c r="B1262" s="1" t="n">
        <v>44886</v>
      </c>
      <c r="C1262" s="1" t="n">
        <v>45822</v>
      </c>
      <c r="D1262" t="inlineStr">
        <is>
          <t>VÄRMLANDS LÄN</t>
        </is>
      </c>
      <c r="E1262" t="inlineStr">
        <is>
          <t>TORSBY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55428-2022</t>
        </is>
      </c>
      <c r="B1263" s="1" t="n">
        <v>44887</v>
      </c>
      <c r="C1263" s="1" t="n">
        <v>45822</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55475-2022</t>
        </is>
      </c>
      <c r="B1264" s="1" t="n">
        <v>44887</v>
      </c>
      <c r="C1264" s="1" t="n">
        <v>45822</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55436-2022</t>
        </is>
      </c>
      <c r="B1265" s="1" t="n">
        <v>44887</v>
      </c>
      <c r="C1265" s="1" t="n">
        <v>45822</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55575-2022</t>
        </is>
      </c>
      <c r="B1266" s="1" t="n">
        <v>44888</v>
      </c>
      <c r="C1266" s="1" t="n">
        <v>45822</v>
      </c>
      <c r="D1266" t="inlineStr">
        <is>
          <t>VÄRMLANDS LÄN</t>
        </is>
      </c>
      <c r="E1266" t="inlineStr">
        <is>
          <t>TORSBY</t>
        </is>
      </c>
      <c r="F1266" t="inlineStr">
        <is>
          <t>Bergvik skog väst AB</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55981-2022</t>
        </is>
      </c>
      <c r="B1267" s="1" t="n">
        <v>44889</v>
      </c>
      <c r="C1267" s="1" t="n">
        <v>45822</v>
      </c>
      <c r="D1267" t="inlineStr">
        <is>
          <t>VÄRMLANDS LÄN</t>
        </is>
      </c>
      <c r="E1267" t="inlineStr">
        <is>
          <t>TORSBY</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55939-2022</t>
        </is>
      </c>
      <c r="B1268" s="1" t="n">
        <v>44889</v>
      </c>
      <c r="C1268" s="1" t="n">
        <v>45822</v>
      </c>
      <c r="D1268" t="inlineStr">
        <is>
          <t>VÄRMLANDS LÄN</t>
        </is>
      </c>
      <c r="E1268" t="inlineStr">
        <is>
          <t>TORSBY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55947-2022</t>
        </is>
      </c>
      <c r="B1269" s="1" t="n">
        <v>44889</v>
      </c>
      <c r="C1269" s="1" t="n">
        <v>45822</v>
      </c>
      <c r="D1269" t="inlineStr">
        <is>
          <t>VÄRMLANDS LÄN</t>
        </is>
      </c>
      <c r="E1269" t="inlineStr">
        <is>
          <t>TORSBY</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56281-2022</t>
        </is>
      </c>
      <c r="B1270" s="1" t="n">
        <v>44890</v>
      </c>
      <c r="C1270" s="1" t="n">
        <v>45822</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56361-2022</t>
        </is>
      </c>
      <c r="B1271" s="1" t="n">
        <v>44890</v>
      </c>
      <c r="C1271" s="1" t="n">
        <v>45822</v>
      </c>
      <c r="D1271" t="inlineStr">
        <is>
          <t>VÄRMLANDS LÄN</t>
        </is>
      </c>
      <c r="E1271" t="inlineStr">
        <is>
          <t>TORSBY</t>
        </is>
      </c>
      <c r="F1271" t="inlineStr">
        <is>
          <t>Bergvik skog väst AB</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56432-2022</t>
        </is>
      </c>
      <c r="B1272" s="1" t="n">
        <v>44891</v>
      </c>
      <c r="C1272" s="1" t="n">
        <v>45822</v>
      </c>
      <c r="D1272" t="inlineStr">
        <is>
          <t>VÄRMLANDS LÄN</t>
        </is>
      </c>
      <c r="E1272" t="inlineStr">
        <is>
          <t>TORSBY</t>
        </is>
      </c>
      <c r="F1272" t="inlineStr">
        <is>
          <t>Bergvik skog väst AB</t>
        </is>
      </c>
      <c r="G1272" t="n">
        <v>37.4</v>
      </c>
      <c r="H1272" t="n">
        <v>0</v>
      </c>
      <c r="I1272" t="n">
        <v>0</v>
      </c>
      <c r="J1272" t="n">
        <v>0</v>
      </c>
      <c r="K1272" t="n">
        <v>0</v>
      </c>
      <c r="L1272" t="n">
        <v>0</v>
      </c>
      <c r="M1272" t="n">
        <v>0</v>
      </c>
      <c r="N1272" t="n">
        <v>0</v>
      </c>
      <c r="O1272" t="n">
        <v>0</v>
      </c>
      <c r="P1272" t="n">
        <v>0</v>
      </c>
      <c r="Q1272" t="n">
        <v>0</v>
      </c>
      <c r="R1272" s="2" t="inlineStr"/>
    </row>
    <row r="1273" ht="15" customHeight="1">
      <c r="A1273" t="inlineStr">
        <is>
          <t>A 56434-2022</t>
        </is>
      </c>
      <c r="B1273" s="1" t="n">
        <v>44891</v>
      </c>
      <c r="C1273" s="1" t="n">
        <v>45822</v>
      </c>
      <c r="D1273" t="inlineStr">
        <is>
          <t>VÄRMLANDS LÄN</t>
        </is>
      </c>
      <c r="E1273" t="inlineStr">
        <is>
          <t>TORSBY</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56473-2022</t>
        </is>
      </c>
      <c r="B1274" s="1" t="n">
        <v>44893</v>
      </c>
      <c r="C1274" s="1" t="n">
        <v>45822</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57072-2022</t>
        </is>
      </c>
      <c r="B1275" s="1" t="n">
        <v>44895</v>
      </c>
      <c r="C1275" s="1" t="n">
        <v>45822</v>
      </c>
      <c r="D1275" t="inlineStr">
        <is>
          <t>VÄRMLANDS LÄN</t>
        </is>
      </c>
      <c r="E1275" t="inlineStr">
        <is>
          <t>TORSBY</t>
        </is>
      </c>
      <c r="F1275" t="inlineStr">
        <is>
          <t>Övriga statliga verk och myndigheter</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57176-2022</t>
        </is>
      </c>
      <c r="B1276" s="1" t="n">
        <v>44895</v>
      </c>
      <c r="C1276" s="1" t="n">
        <v>45822</v>
      </c>
      <c r="D1276" t="inlineStr">
        <is>
          <t>VÄRMLANDS LÄN</t>
        </is>
      </c>
      <c r="E1276" t="inlineStr">
        <is>
          <t>TORSBY</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57071-2022</t>
        </is>
      </c>
      <c r="B1277" s="1" t="n">
        <v>44895</v>
      </c>
      <c r="C1277" s="1" t="n">
        <v>45822</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57172-2022</t>
        </is>
      </c>
      <c r="B1278" s="1" t="n">
        <v>44895</v>
      </c>
      <c r="C1278" s="1" t="n">
        <v>45822</v>
      </c>
      <c r="D1278" t="inlineStr">
        <is>
          <t>VÄRMLANDS LÄN</t>
        </is>
      </c>
      <c r="E1278" t="inlineStr">
        <is>
          <t>TORSBY</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57408-2022</t>
        </is>
      </c>
      <c r="B1279" s="1" t="n">
        <v>44896</v>
      </c>
      <c r="C1279" s="1" t="n">
        <v>45822</v>
      </c>
      <c r="D1279" t="inlineStr">
        <is>
          <t>VÄRMLANDS LÄN</t>
        </is>
      </c>
      <c r="E1279" t="inlineStr">
        <is>
          <t>TORSBY</t>
        </is>
      </c>
      <c r="F1279" t="inlineStr">
        <is>
          <t>Bergvik skog väst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57418-2022</t>
        </is>
      </c>
      <c r="B1280" s="1" t="n">
        <v>44896</v>
      </c>
      <c r="C1280" s="1" t="n">
        <v>45822</v>
      </c>
      <c r="D1280" t="inlineStr">
        <is>
          <t>VÄRMLANDS LÄN</t>
        </is>
      </c>
      <c r="E1280" t="inlineStr">
        <is>
          <t>TORSBY</t>
        </is>
      </c>
      <c r="F1280" t="inlineStr">
        <is>
          <t>Bergvik skog väst AB</t>
        </is>
      </c>
      <c r="G1280" t="n">
        <v>21.8</v>
      </c>
      <c r="H1280" t="n">
        <v>0</v>
      </c>
      <c r="I1280" t="n">
        <v>0</v>
      </c>
      <c r="J1280" t="n">
        <v>0</v>
      </c>
      <c r="K1280" t="n">
        <v>0</v>
      </c>
      <c r="L1280" t="n">
        <v>0</v>
      </c>
      <c r="M1280" t="n">
        <v>0</v>
      </c>
      <c r="N1280" t="n">
        <v>0</v>
      </c>
      <c r="O1280" t="n">
        <v>0</v>
      </c>
      <c r="P1280" t="n">
        <v>0</v>
      </c>
      <c r="Q1280" t="n">
        <v>0</v>
      </c>
      <c r="R1280" s="2" t="inlineStr"/>
    </row>
    <row r="1281" ht="15" customHeight="1">
      <c r="A1281" t="inlineStr">
        <is>
          <t>A 57393-2022</t>
        </is>
      </c>
      <c r="B1281" s="1" t="n">
        <v>44896</v>
      </c>
      <c r="C1281" s="1" t="n">
        <v>45822</v>
      </c>
      <c r="D1281" t="inlineStr">
        <is>
          <t>VÄRMLANDS LÄN</t>
        </is>
      </c>
      <c r="E1281" t="inlineStr">
        <is>
          <t>TORSBY</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57452-2022</t>
        </is>
      </c>
      <c r="B1282" s="1" t="n">
        <v>44896</v>
      </c>
      <c r="C1282" s="1" t="n">
        <v>45822</v>
      </c>
      <c r="D1282" t="inlineStr">
        <is>
          <t>VÄRMLANDS LÄN</t>
        </is>
      </c>
      <c r="E1282" t="inlineStr">
        <is>
          <t>TORSBY</t>
        </is>
      </c>
      <c r="F1282" t="inlineStr">
        <is>
          <t>Bergvik skog väst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57708-2022</t>
        </is>
      </c>
      <c r="B1283" s="1" t="n">
        <v>44897</v>
      </c>
      <c r="C1283" s="1" t="n">
        <v>45822</v>
      </c>
      <c r="D1283" t="inlineStr">
        <is>
          <t>VÄRMLANDS LÄN</t>
        </is>
      </c>
      <c r="E1283" t="inlineStr">
        <is>
          <t>TORSBY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57726-2022</t>
        </is>
      </c>
      <c r="B1284" s="1" t="n">
        <v>44897</v>
      </c>
      <c r="C1284" s="1" t="n">
        <v>45822</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57721-2022</t>
        </is>
      </c>
      <c r="B1285" s="1" t="n">
        <v>44897</v>
      </c>
      <c r="C1285" s="1" t="n">
        <v>45822</v>
      </c>
      <c r="D1285" t="inlineStr">
        <is>
          <t>VÄRMLANDS LÄN</t>
        </is>
      </c>
      <c r="E1285" t="inlineStr">
        <is>
          <t>TORSBY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57867-2022</t>
        </is>
      </c>
      <c r="B1286" s="1" t="n">
        <v>44899</v>
      </c>
      <c r="C1286" s="1" t="n">
        <v>45822</v>
      </c>
      <c r="D1286" t="inlineStr">
        <is>
          <t>VÄRMLANDS LÄN</t>
        </is>
      </c>
      <c r="E1286" t="inlineStr">
        <is>
          <t>TORSBY</t>
        </is>
      </c>
      <c r="F1286" t="inlineStr">
        <is>
          <t>Bergvik skog väst AB</t>
        </is>
      </c>
      <c r="G1286" t="n">
        <v>21.8</v>
      </c>
      <c r="H1286" t="n">
        <v>0</v>
      </c>
      <c r="I1286" t="n">
        <v>0</v>
      </c>
      <c r="J1286" t="n">
        <v>0</v>
      </c>
      <c r="K1286" t="n">
        <v>0</v>
      </c>
      <c r="L1286" t="n">
        <v>0</v>
      </c>
      <c r="M1286" t="n">
        <v>0</v>
      </c>
      <c r="N1286" t="n">
        <v>0</v>
      </c>
      <c r="O1286" t="n">
        <v>0</v>
      </c>
      <c r="P1286" t="n">
        <v>0</v>
      </c>
      <c r="Q1286" t="n">
        <v>0</v>
      </c>
      <c r="R1286" s="2" t="inlineStr"/>
    </row>
    <row r="1287" ht="15" customHeight="1">
      <c r="A1287" t="inlineStr">
        <is>
          <t>A 57937-2022</t>
        </is>
      </c>
      <c r="B1287" s="1" t="n">
        <v>44900</v>
      </c>
      <c r="C1287" s="1" t="n">
        <v>45822</v>
      </c>
      <c r="D1287" t="inlineStr">
        <is>
          <t>VÄRMLANDS LÄN</t>
        </is>
      </c>
      <c r="E1287" t="inlineStr">
        <is>
          <t>TORSBY</t>
        </is>
      </c>
      <c r="F1287" t="inlineStr">
        <is>
          <t>Bergvik skog väst AB</t>
        </is>
      </c>
      <c r="G1287" t="n">
        <v>14.2</v>
      </c>
      <c r="H1287" t="n">
        <v>0</v>
      </c>
      <c r="I1287" t="n">
        <v>0</v>
      </c>
      <c r="J1287" t="n">
        <v>0</v>
      </c>
      <c r="K1287" t="n">
        <v>0</v>
      </c>
      <c r="L1287" t="n">
        <v>0</v>
      </c>
      <c r="M1287" t="n">
        <v>0</v>
      </c>
      <c r="N1287" t="n">
        <v>0</v>
      </c>
      <c r="O1287" t="n">
        <v>0</v>
      </c>
      <c r="P1287" t="n">
        <v>0</v>
      </c>
      <c r="Q1287" t="n">
        <v>0</v>
      </c>
      <c r="R1287" s="2" t="inlineStr"/>
    </row>
    <row r="1288" ht="15" customHeight="1">
      <c r="A1288" t="inlineStr">
        <is>
          <t>A 58225-2022</t>
        </is>
      </c>
      <c r="B1288" s="1" t="n">
        <v>44901</v>
      </c>
      <c r="C1288" s="1" t="n">
        <v>45822</v>
      </c>
      <c r="D1288" t="inlineStr">
        <is>
          <t>VÄRMLANDS LÄN</t>
        </is>
      </c>
      <c r="E1288" t="inlineStr">
        <is>
          <t>TORSBY</t>
        </is>
      </c>
      <c r="G1288" t="n">
        <v>11.7</v>
      </c>
      <c r="H1288" t="n">
        <v>0</v>
      </c>
      <c r="I1288" t="n">
        <v>0</v>
      </c>
      <c r="J1288" t="n">
        <v>0</v>
      </c>
      <c r="K1288" t="n">
        <v>0</v>
      </c>
      <c r="L1288" t="n">
        <v>0</v>
      </c>
      <c r="M1288" t="n">
        <v>0</v>
      </c>
      <c r="N1288" t="n">
        <v>0</v>
      </c>
      <c r="O1288" t="n">
        <v>0</v>
      </c>
      <c r="P1288" t="n">
        <v>0</v>
      </c>
      <c r="Q1288" t="n">
        <v>0</v>
      </c>
      <c r="R1288" s="2" t="inlineStr"/>
    </row>
    <row r="1289" ht="15" customHeight="1">
      <c r="A1289" t="inlineStr">
        <is>
          <t>A 58276-2022</t>
        </is>
      </c>
      <c r="B1289" s="1" t="n">
        <v>44901</v>
      </c>
      <c r="C1289" s="1" t="n">
        <v>45822</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58956-2022</t>
        </is>
      </c>
      <c r="B1290" s="1" t="n">
        <v>44903</v>
      </c>
      <c r="C1290" s="1" t="n">
        <v>45822</v>
      </c>
      <c r="D1290" t="inlineStr">
        <is>
          <t>VÄRMLANDS LÄN</t>
        </is>
      </c>
      <c r="E1290" t="inlineStr">
        <is>
          <t>TORSBY</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58869-2022</t>
        </is>
      </c>
      <c r="B1291" s="1" t="n">
        <v>44903</v>
      </c>
      <c r="C1291" s="1" t="n">
        <v>45822</v>
      </c>
      <c r="D1291" t="inlineStr">
        <is>
          <t>VÄRMLANDS LÄN</t>
        </is>
      </c>
      <c r="E1291" t="inlineStr">
        <is>
          <t>TORSBY</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58951-2022</t>
        </is>
      </c>
      <c r="B1292" s="1" t="n">
        <v>44903</v>
      </c>
      <c r="C1292" s="1" t="n">
        <v>45822</v>
      </c>
      <c r="D1292" t="inlineStr">
        <is>
          <t>VÄRMLANDS LÄN</t>
        </is>
      </c>
      <c r="E1292" t="inlineStr">
        <is>
          <t>TORSBY</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59097-2022</t>
        </is>
      </c>
      <c r="B1293" s="1" t="n">
        <v>44904</v>
      </c>
      <c r="C1293" s="1" t="n">
        <v>45822</v>
      </c>
      <c r="D1293" t="inlineStr">
        <is>
          <t>VÄRMLANDS LÄN</t>
        </is>
      </c>
      <c r="E1293" t="inlineStr">
        <is>
          <t>TORSBY</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59096-2022</t>
        </is>
      </c>
      <c r="B1294" s="1" t="n">
        <v>44904</v>
      </c>
      <c r="C1294" s="1" t="n">
        <v>45822</v>
      </c>
      <c r="D1294" t="inlineStr">
        <is>
          <t>VÄRMLANDS LÄN</t>
        </is>
      </c>
      <c r="E1294" t="inlineStr">
        <is>
          <t>TORSBY</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59778-2022</t>
        </is>
      </c>
      <c r="B1295" s="1" t="n">
        <v>44908</v>
      </c>
      <c r="C1295" s="1" t="n">
        <v>45822</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60240-2022</t>
        </is>
      </c>
      <c r="B1296" s="1" t="n">
        <v>44910</v>
      </c>
      <c r="C1296" s="1" t="n">
        <v>45822</v>
      </c>
      <c r="D1296" t="inlineStr">
        <is>
          <t>VÄRMLANDS LÄN</t>
        </is>
      </c>
      <c r="E1296" t="inlineStr">
        <is>
          <t>TORSBY</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61432-2022</t>
        </is>
      </c>
      <c r="B1297" s="1" t="n">
        <v>44910</v>
      </c>
      <c r="C1297" s="1" t="n">
        <v>45822</v>
      </c>
      <c r="D1297" t="inlineStr">
        <is>
          <t>VÄRMLANDS LÄN</t>
        </is>
      </c>
      <c r="E1297" t="inlineStr">
        <is>
          <t>TORSBY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61428-2022</t>
        </is>
      </c>
      <c r="B1298" s="1" t="n">
        <v>44910</v>
      </c>
      <c r="C1298" s="1" t="n">
        <v>45822</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60737-2022</t>
        </is>
      </c>
      <c r="B1299" s="1" t="n">
        <v>44913</v>
      </c>
      <c r="C1299" s="1" t="n">
        <v>45822</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60823-2022</t>
        </is>
      </c>
      <c r="B1300" s="1" t="n">
        <v>44914</v>
      </c>
      <c r="C1300" s="1" t="n">
        <v>45822</v>
      </c>
      <c r="D1300" t="inlineStr">
        <is>
          <t>VÄRMLANDS LÄN</t>
        </is>
      </c>
      <c r="E1300" t="inlineStr">
        <is>
          <t>TORSBY</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61128-2022</t>
        </is>
      </c>
      <c r="B1301" s="1" t="n">
        <v>44915</v>
      </c>
      <c r="C1301" s="1" t="n">
        <v>45822</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61151-2022</t>
        </is>
      </c>
      <c r="B1302" s="1" t="n">
        <v>44915</v>
      </c>
      <c r="C1302" s="1" t="n">
        <v>45822</v>
      </c>
      <c r="D1302" t="inlineStr">
        <is>
          <t>VÄRMLANDS LÄN</t>
        </is>
      </c>
      <c r="E1302" t="inlineStr">
        <is>
          <t>TORSBY</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61286-2022</t>
        </is>
      </c>
      <c r="B1303" s="1" t="n">
        <v>44915</v>
      </c>
      <c r="C1303" s="1" t="n">
        <v>45822</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61321-2022</t>
        </is>
      </c>
      <c r="B1304" s="1" t="n">
        <v>44915</v>
      </c>
      <c r="C1304" s="1" t="n">
        <v>45822</v>
      </c>
      <c r="D1304" t="inlineStr">
        <is>
          <t>VÄRMLANDS LÄN</t>
        </is>
      </c>
      <c r="E1304" t="inlineStr">
        <is>
          <t>TORSBY</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61138-2022</t>
        </is>
      </c>
      <c r="B1305" s="1" t="n">
        <v>44915</v>
      </c>
      <c r="C1305" s="1" t="n">
        <v>45822</v>
      </c>
      <c r="D1305" t="inlineStr">
        <is>
          <t>VÄRMLANDS LÄN</t>
        </is>
      </c>
      <c r="E1305" t="inlineStr">
        <is>
          <t>TORSBY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61143-2022</t>
        </is>
      </c>
      <c r="B1306" s="1" t="n">
        <v>44915</v>
      </c>
      <c r="C1306" s="1" t="n">
        <v>45822</v>
      </c>
      <c r="D1306" t="inlineStr">
        <is>
          <t>VÄRMLANDS LÄN</t>
        </is>
      </c>
      <c r="E1306" t="inlineStr">
        <is>
          <t>TORSBY</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61290-2022</t>
        </is>
      </c>
      <c r="B1307" s="1" t="n">
        <v>44915</v>
      </c>
      <c r="C1307" s="1" t="n">
        <v>45822</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61367-2022</t>
        </is>
      </c>
      <c r="B1308" s="1" t="n">
        <v>44915</v>
      </c>
      <c r="C1308" s="1" t="n">
        <v>45822</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61135-2022</t>
        </is>
      </c>
      <c r="B1309" s="1" t="n">
        <v>44915</v>
      </c>
      <c r="C1309" s="1" t="n">
        <v>45822</v>
      </c>
      <c r="D1309" t="inlineStr">
        <is>
          <t>VÄRMLANDS LÄN</t>
        </is>
      </c>
      <c r="E1309" t="inlineStr">
        <is>
          <t>TORSBY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61510-2022</t>
        </is>
      </c>
      <c r="B1310" s="1" t="n">
        <v>44916</v>
      </c>
      <c r="C1310" s="1" t="n">
        <v>45822</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62006-2022</t>
        </is>
      </c>
      <c r="B1311" s="1" t="n">
        <v>44918</v>
      </c>
      <c r="C1311" s="1" t="n">
        <v>45822</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80-2023</t>
        </is>
      </c>
      <c r="B1312" s="1" t="n">
        <v>44918</v>
      </c>
      <c r="C1312" s="1" t="n">
        <v>45822</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345-2023</t>
        </is>
      </c>
      <c r="B1313" s="1" t="n">
        <v>44923</v>
      </c>
      <c r="C1313" s="1" t="n">
        <v>45822</v>
      </c>
      <c r="D1313" t="inlineStr">
        <is>
          <t>VÄRMLANDS LÄN</t>
        </is>
      </c>
      <c r="E1313" t="inlineStr">
        <is>
          <t>TORSBY</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363-2023</t>
        </is>
      </c>
      <c r="B1314" s="1" t="n">
        <v>44923</v>
      </c>
      <c r="C1314" s="1" t="n">
        <v>45822</v>
      </c>
      <c r="D1314" t="inlineStr">
        <is>
          <t>VÄRMLANDS LÄN</t>
        </is>
      </c>
      <c r="E1314" t="inlineStr">
        <is>
          <t>TORSBY</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62574-2022</t>
        </is>
      </c>
      <c r="B1315" s="1" t="n">
        <v>44924</v>
      </c>
      <c r="C1315" s="1" t="n">
        <v>45822</v>
      </c>
      <c r="D1315" t="inlineStr">
        <is>
          <t>VÄRMLANDS LÄN</t>
        </is>
      </c>
      <c r="E1315" t="inlineStr">
        <is>
          <t>TORSBY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522-2023</t>
        </is>
      </c>
      <c r="B1316" s="1" t="n">
        <v>44930</v>
      </c>
      <c r="C1316" s="1" t="n">
        <v>45822</v>
      </c>
      <c r="D1316" t="inlineStr">
        <is>
          <t>VÄRMLANDS LÄN</t>
        </is>
      </c>
      <c r="E1316" t="inlineStr">
        <is>
          <t>TORSBY</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1003-2023</t>
        </is>
      </c>
      <c r="B1317" s="1" t="n">
        <v>44935</v>
      </c>
      <c r="C1317" s="1" t="n">
        <v>45822</v>
      </c>
      <c r="D1317" t="inlineStr">
        <is>
          <t>VÄRMLANDS LÄN</t>
        </is>
      </c>
      <c r="E1317" t="inlineStr">
        <is>
          <t>TORSBY</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1120-2023</t>
        </is>
      </c>
      <c r="B1318" s="1" t="n">
        <v>44935</v>
      </c>
      <c r="C1318" s="1" t="n">
        <v>45822</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1166-2023</t>
        </is>
      </c>
      <c r="B1319" s="1" t="n">
        <v>44935</v>
      </c>
      <c r="C1319" s="1" t="n">
        <v>45822</v>
      </c>
      <c r="D1319" t="inlineStr">
        <is>
          <t>VÄRMLANDS LÄN</t>
        </is>
      </c>
      <c r="E1319" t="inlineStr">
        <is>
          <t>TORSBY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1123-2023</t>
        </is>
      </c>
      <c r="B1320" s="1" t="n">
        <v>44935</v>
      </c>
      <c r="C1320" s="1" t="n">
        <v>45822</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1386-2023</t>
        </is>
      </c>
      <c r="B1321" s="1" t="n">
        <v>44936</v>
      </c>
      <c r="C1321" s="1" t="n">
        <v>45822</v>
      </c>
      <c r="D1321" t="inlineStr">
        <is>
          <t>VÄRMLANDS LÄN</t>
        </is>
      </c>
      <c r="E1321" t="inlineStr">
        <is>
          <t>TORSBY</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1947-2023</t>
        </is>
      </c>
      <c r="B1322" s="1" t="n">
        <v>44939</v>
      </c>
      <c r="C1322" s="1" t="n">
        <v>45822</v>
      </c>
      <c r="D1322" t="inlineStr">
        <is>
          <t>VÄRMLANDS LÄN</t>
        </is>
      </c>
      <c r="E1322" t="inlineStr">
        <is>
          <t>TORSBY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1979-2023</t>
        </is>
      </c>
      <c r="B1323" s="1" t="n">
        <v>44939</v>
      </c>
      <c r="C1323" s="1" t="n">
        <v>45822</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2471-2023</t>
        </is>
      </c>
      <c r="B1324" s="1" t="n">
        <v>44943</v>
      </c>
      <c r="C1324" s="1" t="n">
        <v>45822</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2512-2023</t>
        </is>
      </c>
      <c r="B1325" s="1" t="n">
        <v>44943</v>
      </c>
      <c r="C1325" s="1" t="n">
        <v>45822</v>
      </c>
      <c r="D1325" t="inlineStr">
        <is>
          <t>VÄRMLANDS LÄN</t>
        </is>
      </c>
      <c r="E1325" t="inlineStr">
        <is>
          <t>TORSBY</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3098-2023</t>
        </is>
      </c>
      <c r="B1326" s="1" t="n">
        <v>44946</v>
      </c>
      <c r="C1326" s="1" t="n">
        <v>45822</v>
      </c>
      <c r="D1326" t="inlineStr">
        <is>
          <t>VÄRMLANDS LÄN</t>
        </is>
      </c>
      <c r="E1326" t="inlineStr">
        <is>
          <t>TORSBY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3103-2023</t>
        </is>
      </c>
      <c r="B1327" s="1" t="n">
        <v>44946</v>
      </c>
      <c r="C1327" s="1" t="n">
        <v>45822</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3256-2023</t>
        </is>
      </c>
      <c r="B1328" s="1" t="n">
        <v>44948</v>
      </c>
      <c r="C1328" s="1" t="n">
        <v>45822</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3421-2023</t>
        </is>
      </c>
      <c r="B1329" s="1" t="n">
        <v>44949</v>
      </c>
      <c r="C1329" s="1" t="n">
        <v>45822</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3489-2023</t>
        </is>
      </c>
      <c r="B1330" s="1" t="n">
        <v>44949</v>
      </c>
      <c r="C1330" s="1" t="n">
        <v>45822</v>
      </c>
      <c r="D1330" t="inlineStr">
        <is>
          <t>VÄRMLANDS LÄN</t>
        </is>
      </c>
      <c r="E1330" t="inlineStr">
        <is>
          <t>TORSBY</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3491-2023</t>
        </is>
      </c>
      <c r="B1331" s="1" t="n">
        <v>44949</v>
      </c>
      <c r="C1331" s="1" t="n">
        <v>45822</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3542-2023</t>
        </is>
      </c>
      <c r="B1332" s="1" t="n">
        <v>44950</v>
      </c>
      <c r="C1332" s="1" t="n">
        <v>45822</v>
      </c>
      <c r="D1332" t="inlineStr">
        <is>
          <t>VÄRMLANDS LÄN</t>
        </is>
      </c>
      <c r="E1332" t="inlineStr">
        <is>
          <t>TORSBY</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3666-2023</t>
        </is>
      </c>
      <c r="B1333" s="1" t="n">
        <v>44950</v>
      </c>
      <c r="C1333" s="1" t="n">
        <v>45822</v>
      </c>
      <c r="D1333" t="inlineStr">
        <is>
          <t>VÄRMLANDS LÄN</t>
        </is>
      </c>
      <c r="E1333" t="inlineStr">
        <is>
          <t>TORSBY</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3670-2023</t>
        </is>
      </c>
      <c r="B1334" s="1" t="n">
        <v>44950</v>
      </c>
      <c r="C1334" s="1" t="n">
        <v>45822</v>
      </c>
      <c r="D1334" t="inlineStr">
        <is>
          <t>VÄRMLANDS LÄN</t>
        </is>
      </c>
      <c r="E1334" t="inlineStr">
        <is>
          <t>TORSBY</t>
        </is>
      </c>
      <c r="G1334" t="n">
        <v>15.4</v>
      </c>
      <c r="H1334" t="n">
        <v>0</v>
      </c>
      <c r="I1334" t="n">
        <v>0</v>
      </c>
      <c r="J1334" t="n">
        <v>0</v>
      </c>
      <c r="K1334" t="n">
        <v>0</v>
      </c>
      <c r="L1334" t="n">
        <v>0</v>
      </c>
      <c r="M1334" t="n">
        <v>0</v>
      </c>
      <c r="N1334" t="n">
        <v>0</v>
      </c>
      <c r="O1334" t="n">
        <v>0</v>
      </c>
      <c r="P1334" t="n">
        <v>0</v>
      </c>
      <c r="Q1334" t="n">
        <v>0</v>
      </c>
      <c r="R1334" s="2" t="inlineStr"/>
    </row>
    <row r="1335" ht="15" customHeight="1">
      <c r="A1335" t="inlineStr">
        <is>
          <t>A 3667-2023</t>
        </is>
      </c>
      <c r="B1335" s="1" t="n">
        <v>44950</v>
      </c>
      <c r="C1335" s="1" t="n">
        <v>45822</v>
      </c>
      <c r="D1335" t="inlineStr">
        <is>
          <t>VÄRMLANDS LÄN</t>
        </is>
      </c>
      <c r="E1335" t="inlineStr">
        <is>
          <t>TORSBY</t>
        </is>
      </c>
      <c r="G1335" t="n">
        <v>21.2</v>
      </c>
      <c r="H1335" t="n">
        <v>0</v>
      </c>
      <c r="I1335" t="n">
        <v>0</v>
      </c>
      <c r="J1335" t="n">
        <v>0</v>
      </c>
      <c r="K1335" t="n">
        <v>0</v>
      </c>
      <c r="L1335" t="n">
        <v>0</v>
      </c>
      <c r="M1335" t="n">
        <v>0</v>
      </c>
      <c r="N1335" t="n">
        <v>0</v>
      </c>
      <c r="O1335" t="n">
        <v>0</v>
      </c>
      <c r="P1335" t="n">
        <v>0</v>
      </c>
      <c r="Q1335" t="n">
        <v>0</v>
      </c>
      <c r="R1335" s="2" t="inlineStr"/>
    </row>
    <row r="1336" ht="15" customHeight="1">
      <c r="A1336" t="inlineStr">
        <is>
          <t>A 3672-2023</t>
        </is>
      </c>
      <c r="B1336" s="1" t="n">
        <v>44950</v>
      </c>
      <c r="C1336" s="1" t="n">
        <v>45822</v>
      </c>
      <c r="D1336" t="inlineStr">
        <is>
          <t>VÄRMLANDS LÄN</t>
        </is>
      </c>
      <c r="E1336" t="inlineStr">
        <is>
          <t>TORSBY</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3881-2023</t>
        </is>
      </c>
      <c r="B1337" s="1" t="n">
        <v>44951</v>
      </c>
      <c r="C1337" s="1" t="n">
        <v>45822</v>
      </c>
      <c r="D1337" t="inlineStr">
        <is>
          <t>VÄRMLANDS LÄN</t>
        </is>
      </c>
      <c r="E1337" t="inlineStr">
        <is>
          <t>TORSBY</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4250-2023</t>
        </is>
      </c>
      <c r="B1338" s="1" t="n">
        <v>44953</v>
      </c>
      <c r="C1338" s="1" t="n">
        <v>45822</v>
      </c>
      <c r="D1338" t="inlineStr">
        <is>
          <t>VÄRMLANDS LÄN</t>
        </is>
      </c>
      <c r="E1338" t="inlineStr">
        <is>
          <t>TORSBY</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4236-2023</t>
        </is>
      </c>
      <c r="B1339" s="1" t="n">
        <v>44953</v>
      </c>
      <c r="C1339" s="1" t="n">
        <v>45822</v>
      </c>
      <c r="D1339" t="inlineStr">
        <is>
          <t>VÄRMLANDS LÄN</t>
        </is>
      </c>
      <c r="E1339" t="inlineStr">
        <is>
          <t>TORSBY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4433-2023</t>
        </is>
      </c>
      <c r="B1340" s="1" t="n">
        <v>44956</v>
      </c>
      <c r="C1340" s="1" t="n">
        <v>45822</v>
      </c>
      <c r="D1340" t="inlineStr">
        <is>
          <t>VÄRMLANDS LÄN</t>
        </is>
      </c>
      <c r="E1340" t="inlineStr">
        <is>
          <t>TORSBY</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4510-2023</t>
        </is>
      </c>
      <c r="B1341" s="1" t="n">
        <v>44956</v>
      </c>
      <c r="C1341" s="1" t="n">
        <v>45822</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4568-2023</t>
        </is>
      </c>
      <c r="B1342" s="1" t="n">
        <v>44956</v>
      </c>
      <c r="C1342" s="1" t="n">
        <v>45822</v>
      </c>
      <c r="D1342" t="inlineStr">
        <is>
          <t>VÄRMLANDS LÄN</t>
        </is>
      </c>
      <c r="E1342" t="inlineStr">
        <is>
          <t>TORSBY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4585-2023</t>
        </is>
      </c>
      <c r="B1343" s="1" t="n">
        <v>44956</v>
      </c>
      <c r="C1343" s="1" t="n">
        <v>45822</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4707-2023</t>
        </is>
      </c>
      <c r="B1344" s="1" t="n">
        <v>44957</v>
      </c>
      <c r="C1344" s="1" t="n">
        <v>45822</v>
      </c>
      <c r="D1344" t="inlineStr">
        <is>
          <t>VÄRMLANDS LÄN</t>
        </is>
      </c>
      <c r="E1344" t="inlineStr">
        <is>
          <t>TORSBY</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5216-2023</t>
        </is>
      </c>
      <c r="B1345" s="1" t="n">
        <v>44959</v>
      </c>
      <c r="C1345" s="1" t="n">
        <v>45822</v>
      </c>
      <c r="D1345" t="inlineStr">
        <is>
          <t>VÄRMLANDS LÄN</t>
        </is>
      </c>
      <c r="E1345" t="inlineStr">
        <is>
          <t>TORSBY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5492-2023</t>
        </is>
      </c>
      <c r="B1346" s="1" t="n">
        <v>44959</v>
      </c>
      <c r="C1346" s="1" t="n">
        <v>45822</v>
      </c>
      <c r="D1346" t="inlineStr">
        <is>
          <t>VÄRMLANDS LÄN</t>
        </is>
      </c>
      <c r="E1346" t="inlineStr">
        <is>
          <t>TORSBY</t>
        </is>
      </c>
      <c r="F1346" t="inlineStr">
        <is>
          <t>Övriga Aktiebolag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6708-2023</t>
        </is>
      </c>
      <c r="B1347" s="1" t="n">
        <v>44960</v>
      </c>
      <c r="C1347" s="1" t="n">
        <v>45822</v>
      </c>
      <c r="D1347" t="inlineStr">
        <is>
          <t>VÄRMLANDS LÄN</t>
        </is>
      </c>
      <c r="E1347" t="inlineStr">
        <is>
          <t>TORSBY</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6702-2023</t>
        </is>
      </c>
      <c r="B1348" s="1" t="n">
        <v>44960</v>
      </c>
      <c r="C1348" s="1" t="n">
        <v>45822</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6715-2023</t>
        </is>
      </c>
      <c r="B1349" s="1" t="n">
        <v>44960</v>
      </c>
      <c r="C1349" s="1" t="n">
        <v>45822</v>
      </c>
      <c r="D1349" t="inlineStr">
        <is>
          <t>VÄRMLANDS LÄN</t>
        </is>
      </c>
      <c r="E1349" t="inlineStr">
        <is>
          <t>TORSBY</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6711-2023</t>
        </is>
      </c>
      <c r="B1350" s="1" t="n">
        <v>44960</v>
      </c>
      <c r="C1350" s="1" t="n">
        <v>45822</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6713-2023</t>
        </is>
      </c>
      <c r="B1351" s="1" t="n">
        <v>44960</v>
      </c>
      <c r="C1351" s="1" t="n">
        <v>45822</v>
      </c>
      <c r="D1351" t="inlineStr">
        <is>
          <t>VÄRMLANDS LÄN</t>
        </is>
      </c>
      <c r="E1351" t="inlineStr">
        <is>
          <t>TORSBY</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5830-2023</t>
        </is>
      </c>
      <c r="B1352" s="1" t="n">
        <v>44963</v>
      </c>
      <c r="C1352" s="1" t="n">
        <v>45822</v>
      </c>
      <c r="D1352" t="inlineStr">
        <is>
          <t>VÄRMLANDS LÄN</t>
        </is>
      </c>
      <c r="E1352" t="inlineStr">
        <is>
          <t>TORSBY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5763-2023</t>
        </is>
      </c>
      <c r="B1353" s="1" t="n">
        <v>44963</v>
      </c>
      <c r="C1353" s="1" t="n">
        <v>45822</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6863-2023</t>
        </is>
      </c>
      <c r="B1354" s="1" t="n">
        <v>44964</v>
      </c>
      <c r="C1354" s="1" t="n">
        <v>45822</v>
      </c>
      <c r="D1354" t="inlineStr">
        <is>
          <t>VÄRMLANDS LÄN</t>
        </is>
      </c>
      <c r="E1354" t="inlineStr">
        <is>
          <t>TORSBY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7283-2023</t>
        </is>
      </c>
      <c r="B1355" s="1" t="n">
        <v>44970</v>
      </c>
      <c r="C1355" s="1" t="n">
        <v>45822</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7127-2023</t>
        </is>
      </c>
      <c r="B1356" s="1" t="n">
        <v>44970</v>
      </c>
      <c r="C1356" s="1" t="n">
        <v>45822</v>
      </c>
      <c r="D1356" t="inlineStr">
        <is>
          <t>VÄRMLANDS LÄN</t>
        </is>
      </c>
      <c r="E1356" t="inlineStr">
        <is>
          <t>TORSBY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7133-2023</t>
        </is>
      </c>
      <c r="B1357" s="1" t="n">
        <v>44970</v>
      </c>
      <c r="C1357" s="1" t="n">
        <v>45822</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7405-2023</t>
        </is>
      </c>
      <c r="B1358" s="1" t="n">
        <v>44971</v>
      </c>
      <c r="C1358" s="1" t="n">
        <v>45822</v>
      </c>
      <c r="D1358" t="inlineStr">
        <is>
          <t>VÄRMLANDS LÄN</t>
        </is>
      </c>
      <c r="E1358" t="inlineStr">
        <is>
          <t>TORSBY</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8194-2023</t>
        </is>
      </c>
      <c r="B1359" s="1" t="n">
        <v>44971</v>
      </c>
      <c r="C1359" s="1" t="n">
        <v>45822</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8192-2023</t>
        </is>
      </c>
      <c r="B1360" s="1" t="n">
        <v>44971</v>
      </c>
      <c r="C1360" s="1" t="n">
        <v>45822</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7745-2023</t>
        </is>
      </c>
      <c r="B1361" s="1" t="n">
        <v>44973</v>
      </c>
      <c r="C1361" s="1" t="n">
        <v>45822</v>
      </c>
      <c r="D1361" t="inlineStr">
        <is>
          <t>VÄRMLANDS LÄN</t>
        </is>
      </c>
      <c r="E1361" t="inlineStr">
        <is>
          <t>TORSBY</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7753-2023</t>
        </is>
      </c>
      <c r="B1362" s="1" t="n">
        <v>44973</v>
      </c>
      <c r="C1362" s="1" t="n">
        <v>45822</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8016-2023</t>
        </is>
      </c>
      <c r="B1363" s="1" t="n">
        <v>44973</v>
      </c>
      <c r="C1363" s="1" t="n">
        <v>45822</v>
      </c>
      <c r="D1363" t="inlineStr">
        <is>
          <t>VÄRMLANDS LÄN</t>
        </is>
      </c>
      <c r="E1363" t="inlineStr">
        <is>
          <t>TORSBY</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8910-2023</t>
        </is>
      </c>
      <c r="B1364" s="1" t="n">
        <v>44973</v>
      </c>
      <c r="C1364" s="1" t="n">
        <v>45822</v>
      </c>
      <c r="D1364" t="inlineStr">
        <is>
          <t>VÄRMLANDS LÄN</t>
        </is>
      </c>
      <c r="E1364" t="inlineStr">
        <is>
          <t>TORSBY</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8012-2023</t>
        </is>
      </c>
      <c r="B1365" s="1" t="n">
        <v>44973</v>
      </c>
      <c r="C1365" s="1" t="n">
        <v>45822</v>
      </c>
      <c r="D1365" t="inlineStr">
        <is>
          <t>VÄRMLANDS LÄN</t>
        </is>
      </c>
      <c r="E1365" t="inlineStr">
        <is>
          <t>TORSBY</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8284-2023</t>
        </is>
      </c>
      <c r="B1366" s="1" t="n">
        <v>44974</v>
      </c>
      <c r="C1366" s="1" t="n">
        <v>45822</v>
      </c>
      <c r="D1366" t="inlineStr">
        <is>
          <t>VÄRMLANDS LÄN</t>
        </is>
      </c>
      <c r="E1366" t="inlineStr">
        <is>
          <t>TORSBY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8281-2023</t>
        </is>
      </c>
      <c r="B1367" s="1" t="n">
        <v>44974</v>
      </c>
      <c r="C1367" s="1" t="n">
        <v>45822</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8287-2023</t>
        </is>
      </c>
      <c r="B1368" s="1" t="n">
        <v>44974</v>
      </c>
      <c r="C1368" s="1" t="n">
        <v>45822</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8931-2023</t>
        </is>
      </c>
      <c r="B1369" s="1" t="n">
        <v>44974</v>
      </c>
      <c r="C1369" s="1" t="n">
        <v>45822</v>
      </c>
      <c r="D1369" t="inlineStr">
        <is>
          <t>VÄRMLANDS LÄN</t>
        </is>
      </c>
      <c r="E1369" t="inlineStr">
        <is>
          <t>TORSBY</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8928-2023</t>
        </is>
      </c>
      <c r="B1370" s="1" t="n">
        <v>44974</v>
      </c>
      <c r="C1370" s="1" t="n">
        <v>45822</v>
      </c>
      <c r="D1370" t="inlineStr">
        <is>
          <t>VÄRMLANDS LÄN</t>
        </is>
      </c>
      <c r="E1370" t="inlineStr">
        <is>
          <t>TORSBY</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8447-2023</t>
        </is>
      </c>
      <c r="B1371" s="1" t="n">
        <v>44977</v>
      </c>
      <c r="C1371" s="1" t="n">
        <v>45822</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9453-2023</t>
        </is>
      </c>
      <c r="B1372" s="1" t="n">
        <v>44977</v>
      </c>
      <c r="C1372" s="1" t="n">
        <v>45822</v>
      </c>
      <c r="D1372" t="inlineStr">
        <is>
          <t>VÄRMLANDS LÄN</t>
        </is>
      </c>
      <c r="E1372" t="inlineStr">
        <is>
          <t>TORSBY</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8819-2023</t>
        </is>
      </c>
      <c r="B1373" s="1" t="n">
        <v>44978</v>
      </c>
      <c r="C1373" s="1" t="n">
        <v>45822</v>
      </c>
      <c r="D1373" t="inlineStr">
        <is>
          <t>VÄRMLANDS LÄN</t>
        </is>
      </c>
      <c r="E1373" t="inlineStr">
        <is>
          <t>TORSBY</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9067-2023</t>
        </is>
      </c>
      <c r="B1374" s="1" t="n">
        <v>44979</v>
      </c>
      <c r="C1374" s="1" t="n">
        <v>45822</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9056-2023</t>
        </is>
      </c>
      <c r="B1375" s="1" t="n">
        <v>44979</v>
      </c>
      <c r="C1375" s="1" t="n">
        <v>45822</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10027-2023</t>
        </is>
      </c>
      <c r="B1376" s="1" t="n">
        <v>44979</v>
      </c>
      <c r="C1376" s="1" t="n">
        <v>45822</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10033-2023</t>
        </is>
      </c>
      <c r="B1377" s="1" t="n">
        <v>44979</v>
      </c>
      <c r="C1377" s="1" t="n">
        <v>45822</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10024-2023</t>
        </is>
      </c>
      <c r="B1378" s="1" t="n">
        <v>44979</v>
      </c>
      <c r="C1378" s="1" t="n">
        <v>45822</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9327-2023</t>
        </is>
      </c>
      <c r="B1379" s="1" t="n">
        <v>44980</v>
      </c>
      <c r="C1379" s="1" t="n">
        <v>45822</v>
      </c>
      <c r="D1379" t="inlineStr">
        <is>
          <t>VÄRMLANDS LÄN</t>
        </is>
      </c>
      <c r="E1379" t="inlineStr">
        <is>
          <t>TORSBY</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10479-2023</t>
        </is>
      </c>
      <c r="B1380" s="1" t="n">
        <v>44981</v>
      </c>
      <c r="C1380" s="1" t="n">
        <v>45822</v>
      </c>
      <c r="D1380" t="inlineStr">
        <is>
          <t>VÄRMLANDS LÄN</t>
        </is>
      </c>
      <c r="E1380" t="inlineStr">
        <is>
          <t>TORSBY</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10473-2023</t>
        </is>
      </c>
      <c r="B1381" s="1" t="n">
        <v>44981</v>
      </c>
      <c r="C1381" s="1" t="n">
        <v>45822</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10471-2023</t>
        </is>
      </c>
      <c r="B1382" s="1" t="n">
        <v>44981</v>
      </c>
      <c r="C1382" s="1" t="n">
        <v>45822</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9575-2023</t>
        </is>
      </c>
      <c r="B1383" s="1" t="n">
        <v>44982</v>
      </c>
      <c r="C1383" s="1" t="n">
        <v>45822</v>
      </c>
      <c r="D1383" t="inlineStr">
        <is>
          <t>VÄRMLANDS LÄN</t>
        </is>
      </c>
      <c r="E1383" t="inlineStr">
        <is>
          <t>TORSBY</t>
        </is>
      </c>
      <c r="F1383" t="inlineStr">
        <is>
          <t>Övriga statliga verk och myndigheter</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9574-2023</t>
        </is>
      </c>
      <c r="B1384" s="1" t="n">
        <v>44982</v>
      </c>
      <c r="C1384" s="1" t="n">
        <v>45822</v>
      </c>
      <c r="D1384" t="inlineStr">
        <is>
          <t>VÄRMLANDS LÄN</t>
        </is>
      </c>
      <c r="E1384" t="inlineStr">
        <is>
          <t>TORSBY</t>
        </is>
      </c>
      <c r="F1384" t="inlineStr">
        <is>
          <t>Övriga statliga verk och myndigheter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9578-2023</t>
        </is>
      </c>
      <c r="B1385" s="1" t="n">
        <v>44982</v>
      </c>
      <c r="C1385" s="1" t="n">
        <v>45822</v>
      </c>
      <c r="D1385" t="inlineStr">
        <is>
          <t>VÄRMLANDS LÄN</t>
        </is>
      </c>
      <c r="E1385" t="inlineStr">
        <is>
          <t>TORSBY</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10888-2023</t>
        </is>
      </c>
      <c r="B1386" s="1" t="n">
        <v>44985</v>
      </c>
      <c r="C1386" s="1" t="n">
        <v>45822</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10155-2023</t>
        </is>
      </c>
      <c r="B1387" s="1" t="n">
        <v>44986</v>
      </c>
      <c r="C1387" s="1" t="n">
        <v>45822</v>
      </c>
      <c r="D1387" t="inlineStr">
        <is>
          <t>VÄRMLANDS LÄN</t>
        </is>
      </c>
      <c r="E1387" t="inlineStr">
        <is>
          <t>TORSBY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10218-2023</t>
        </is>
      </c>
      <c r="B1388" s="1" t="n">
        <v>44986</v>
      </c>
      <c r="C1388" s="1" t="n">
        <v>45822</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10228-2023</t>
        </is>
      </c>
      <c r="B1389" s="1" t="n">
        <v>44986</v>
      </c>
      <c r="C1389" s="1" t="n">
        <v>45822</v>
      </c>
      <c r="D1389" t="inlineStr">
        <is>
          <t>VÄRMLANDS LÄN</t>
        </is>
      </c>
      <c r="E1389" t="inlineStr">
        <is>
          <t>TORSBY</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10662-2023</t>
        </is>
      </c>
      <c r="B1390" s="1" t="n">
        <v>44988</v>
      </c>
      <c r="C1390" s="1" t="n">
        <v>45822</v>
      </c>
      <c r="D1390" t="inlineStr">
        <is>
          <t>VÄRMLANDS LÄN</t>
        </is>
      </c>
      <c r="E1390" t="inlineStr">
        <is>
          <t>TORSBY</t>
        </is>
      </c>
      <c r="G1390" t="n">
        <v>9.9</v>
      </c>
      <c r="H1390" t="n">
        <v>0</v>
      </c>
      <c r="I1390" t="n">
        <v>0</v>
      </c>
      <c r="J1390" t="n">
        <v>0</v>
      </c>
      <c r="K1390" t="n">
        <v>0</v>
      </c>
      <c r="L1390" t="n">
        <v>0</v>
      </c>
      <c r="M1390" t="n">
        <v>0</v>
      </c>
      <c r="N1390" t="n">
        <v>0</v>
      </c>
      <c r="O1390" t="n">
        <v>0</v>
      </c>
      <c r="P1390" t="n">
        <v>0</v>
      </c>
      <c r="Q1390" t="n">
        <v>0</v>
      </c>
      <c r="R1390" s="2" t="inlineStr"/>
    </row>
    <row r="1391" ht="15" customHeight="1">
      <c r="A1391" t="inlineStr">
        <is>
          <t>A 10583-2023</t>
        </is>
      </c>
      <c r="B1391" s="1" t="n">
        <v>44988</v>
      </c>
      <c r="C1391" s="1" t="n">
        <v>45822</v>
      </c>
      <c r="D1391" t="inlineStr">
        <is>
          <t>VÄRMLANDS LÄN</t>
        </is>
      </c>
      <c r="E1391" t="inlineStr">
        <is>
          <t>TORSBY</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10666-2023</t>
        </is>
      </c>
      <c r="B1392" s="1" t="n">
        <v>44988</v>
      </c>
      <c r="C1392" s="1" t="n">
        <v>45822</v>
      </c>
      <c r="D1392" t="inlineStr">
        <is>
          <t>VÄRMLANDS LÄN</t>
        </is>
      </c>
      <c r="E1392" t="inlineStr">
        <is>
          <t>TORSBY</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10698-2023</t>
        </is>
      </c>
      <c r="B1393" s="1" t="n">
        <v>44988</v>
      </c>
      <c r="C1393" s="1" t="n">
        <v>45822</v>
      </c>
      <c r="D1393" t="inlineStr">
        <is>
          <t>VÄRMLANDS LÄN</t>
        </is>
      </c>
      <c r="E1393" t="inlineStr">
        <is>
          <t>TORSBY</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11364-2023</t>
        </is>
      </c>
      <c r="B1394" s="1" t="n">
        <v>44993</v>
      </c>
      <c r="C1394" s="1" t="n">
        <v>45822</v>
      </c>
      <c r="D1394" t="inlineStr">
        <is>
          <t>VÄRMLANDS LÄN</t>
        </is>
      </c>
      <c r="E1394" t="inlineStr">
        <is>
          <t>TORSBY</t>
        </is>
      </c>
      <c r="G1394" t="n">
        <v>31.9</v>
      </c>
      <c r="H1394" t="n">
        <v>0</v>
      </c>
      <c r="I1394" t="n">
        <v>0</v>
      </c>
      <c r="J1394" t="n">
        <v>0</v>
      </c>
      <c r="K1394" t="n">
        <v>0</v>
      </c>
      <c r="L1394" t="n">
        <v>0</v>
      </c>
      <c r="M1394" t="n">
        <v>0</v>
      </c>
      <c r="N1394" t="n">
        <v>0</v>
      </c>
      <c r="O1394" t="n">
        <v>0</v>
      </c>
      <c r="P1394" t="n">
        <v>0</v>
      </c>
      <c r="Q1394" t="n">
        <v>0</v>
      </c>
      <c r="R1394" s="2" t="inlineStr"/>
    </row>
    <row r="1395" ht="15" customHeight="1">
      <c r="A1395" t="inlineStr">
        <is>
          <t>A 11366-2023</t>
        </is>
      </c>
      <c r="B1395" s="1" t="n">
        <v>44993</v>
      </c>
      <c r="C1395" s="1" t="n">
        <v>45822</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12441-2023</t>
        </is>
      </c>
      <c r="B1396" s="1" t="n">
        <v>44999</v>
      </c>
      <c r="C1396" s="1" t="n">
        <v>45822</v>
      </c>
      <c r="D1396" t="inlineStr">
        <is>
          <t>VÄRMLANDS LÄN</t>
        </is>
      </c>
      <c r="E1396" t="inlineStr">
        <is>
          <t>TORSBY</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12453-2023</t>
        </is>
      </c>
      <c r="B1397" s="1" t="n">
        <v>44999</v>
      </c>
      <c r="C1397" s="1" t="n">
        <v>45822</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12458-2023</t>
        </is>
      </c>
      <c r="B1398" s="1" t="n">
        <v>44999</v>
      </c>
      <c r="C1398" s="1" t="n">
        <v>45822</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12467-2023</t>
        </is>
      </c>
      <c r="B1399" s="1" t="n">
        <v>44999</v>
      </c>
      <c r="C1399" s="1" t="n">
        <v>45822</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12689-2023</t>
        </is>
      </c>
      <c r="B1400" s="1" t="n">
        <v>45000</v>
      </c>
      <c r="C1400" s="1" t="n">
        <v>45822</v>
      </c>
      <c r="D1400" t="inlineStr">
        <is>
          <t>VÄRMLANDS LÄN</t>
        </is>
      </c>
      <c r="E1400" t="inlineStr">
        <is>
          <t>TORSBY</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12637-2023</t>
        </is>
      </c>
      <c r="B1401" s="1" t="n">
        <v>45000</v>
      </c>
      <c r="C1401" s="1" t="n">
        <v>45822</v>
      </c>
      <c r="D1401" t="inlineStr">
        <is>
          <t>VÄRMLANDS LÄN</t>
        </is>
      </c>
      <c r="E1401" t="inlineStr">
        <is>
          <t>TORSBY</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12670-2023</t>
        </is>
      </c>
      <c r="B1402" s="1" t="n">
        <v>45000</v>
      </c>
      <c r="C1402" s="1" t="n">
        <v>45822</v>
      </c>
      <c r="D1402" t="inlineStr">
        <is>
          <t>VÄRMLANDS LÄN</t>
        </is>
      </c>
      <c r="E1402" t="inlineStr">
        <is>
          <t>TORSBY</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12933-2023</t>
        </is>
      </c>
      <c r="B1403" s="1" t="n">
        <v>45001</v>
      </c>
      <c r="C1403" s="1" t="n">
        <v>45822</v>
      </c>
      <c r="D1403" t="inlineStr">
        <is>
          <t>VÄRMLANDS LÄN</t>
        </is>
      </c>
      <c r="E1403" t="inlineStr">
        <is>
          <t>TORSBY</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13054-2023</t>
        </is>
      </c>
      <c r="B1404" s="1" t="n">
        <v>45001</v>
      </c>
      <c r="C1404" s="1" t="n">
        <v>45822</v>
      </c>
      <c r="D1404" t="inlineStr">
        <is>
          <t>VÄRMLANDS LÄN</t>
        </is>
      </c>
      <c r="E1404" t="inlineStr">
        <is>
          <t>TORSBY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13048-2023</t>
        </is>
      </c>
      <c r="B1405" s="1" t="n">
        <v>45001</v>
      </c>
      <c r="C1405" s="1" t="n">
        <v>45822</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12968-2023</t>
        </is>
      </c>
      <c r="B1406" s="1" t="n">
        <v>45001</v>
      </c>
      <c r="C1406" s="1" t="n">
        <v>45822</v>
      </c>
      <c r="D1406" t="inlineStr">
        <is>
          <t>VÄRMLANDS LÄN</t>
        </is>
      </c>
      <c r="E1406" t="inlineStr">
        <is>
          <t>TORSBY</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13791-2023</t>
        </is>
      </c>
      <c r="B1407" s="1" t="n">
        <v>45005</v>
      </c>
      <c r="C1407" s="1" t="n">
        <v>45822</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13561-2023</t>
        </is>
      </c>
      <c r="B1408" s="1" t="n">
        <v>45006</v>
      </c>
      <c r="C1408" s="1" t="n">
        <v>45822</v>
      </c>
      <c r="D1408" t="inlineStr">
        <is>
          <t>VÄRMLANDS LÄN</t>
        </is>
      </c>
      <c r="E1408" t="inlineStr">
        <is>
          <t>TORSBY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13586-2023</t>
        </is>
      </c>
      <c r="B1409" s="1" t="n">
        <v>45006</v>
      </c>
      <c r="C1409" s="1" t="n">
        <v>45822</v>
      </c>
      <c r="D1409" t="inlineStr">
        <is>
          <t>VÄRMLANDS LÄN</t>
        </is>
      </c>
      <c r="E1409" t="inlineStr">
        <is>
          <t>TORSBY</t>
        </is>
      </c>
      <c r="F1409" t="inlineStr">
        <is>
          <t>Kommuner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13785-2023</t>
        </is>
      </c>
      <c r="B1410" s="1" t="n">
        <v>45007</v>
      </c>
      <c r="C1410" s="1" t="n">
        <v>45822</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13723-2023</t>
        </is>
      </c>
      <c r="B1411" s="1" t="n">
        <v>45007</v>
      </c>
      <c r="C1411" s="1" t="n">
        <v>45822</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14293-2023</t>
        </is>
      </c>
      <c r="B1412" s="1" t="n">
        <v>45011</v>
      </c>
      <c r="C1412" s="1" t="n">
        <v>45822</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14304-2023</t>
        </is>
      </c>
      <c r="B1413" s="1" t="n">
        <v>45011</v>
      </c>
      <c r="C1413" s="1" t="n">
        <v>45822</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14303-2023</t>
        </is>
      </c>
      <c r="B1414" s="1" t="n">
        <v>45011</v>
      </c>
      <c r="C1414" s="1" t="n">
        <v>45822</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14292-2023</t>
        </is>
      </c>
      <c r="B1415" s="1" t="n">
        <v>45011</v>
      </c>
      <c r="C1415" s="1" t="n">
        <v>45822</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14592-2023</t>
        </is>
      </c>
      <c r="B1416" s="1" t="n">
        <v>45013</v>
      </c>
      <c r="C1416" s="1" t="n">
        <v>45822</v>
      </c>
      <c r="D1416" t="inlineStr">
        <is>
          <t>VÄRMLANDS LÄN</t>
        </is>
      </c>
      <c r="E1416" t="inlineStr">
        <is>
          <t>TORSBY</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14581-2023</t>
        </is>
      </c>
      <c r="B1417" s="1" t="n">
        <v>45013</v>
      </c>
      <c r="C1417" s="1" t="n">
        <v>45822</v>
      </c>
      <c r="D1417" t="inlineStr">
        <is>
          <t>VÄRMLANDS LÄN</t>
        </is>
      </c>
      <c r="E1417" t="inlineStr">
        <is>
          <t>TORSBY</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14624-2023</t>
        </is>
      </c>
      <c r="B1418" s="1" t="n">
        <v>45013</v>
      </c>
      <c r="C1418" s="1" t="n">
        <v>45822</v>
      </c>
      <c r="D1418" t="inlineStr">
        <is>
          <t>VÄRMLANDS LÄN</t>
        </is>
      </c>
      <c r="E1418" t="inlineStr">
        <is>
          <t>TORSBY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14709-2023</t>
        </is>
      </c>
      <c r="B1419" s="1" t="n">
        <v>45014</v>
      </c>
      <c r="C1419" s="1" t="n">
        <v>45822</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14945-2023</t>
        </is>
      </c>
      <c r="B1420" s="1" t="n">
        <v>45014</v>
      </c>
      <c r="C1420" s="1" t="n">
        <v>45822</v>
      </c>
      <c r="D1420" t="inlineStr">
        <is>
          <t>VÄRMLANDS LÄN</t>
        </is>
      </c>
      <c r="E1420" t="inlineStr">
        <is>
          <t>TORSBY</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14917-2023</t>
        </is>
      </c>
      <c r="B1421" s="1" t="n">
        <v>45015</v>
      </c>
      <c r="C1421" s="1" t="n">
        <v>45822</v>
      </c>
      <c r="D1421" t="inlineStr">
        <is>
          <t>VÄRMLANDS LÄN</t>
        </is>
      </c>
      <c r="E1421" t="inlineStr">
        <is>
          <t>TORSBY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15085-2023</t>
        </is>
      </c>
      <c r="B1422" s="1" t="n">
        <v>45016</v>
      </c>
      <c r="C1422" s="1" t="n">
        <v>45822</v>
      </c>
      <c r="D1422" t="inlineStr">
        <is>
          <t>VÄRMLANDS LÄN</t>
        </is>
      </c>
      <c r="E1422" t="inlineStr">
        <is>
          <t>TORSBY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15087-2023</t>
        </is>
      </c>
      <c r="B1423" s="1" t="n">
        <v>45016</v>
      </c>
      <c r="C1423" s="1" t="n">
        <v>45822</v>
      </c>
      <c r="D1423" t="inlineStr">
        <is>
          <t>VÄRMLANDS LÄN</t>
        </is>
      </c>
      <c r="E1423" t="inlineStr">
        <is>
          <t>TORSBY</t>
        </is>
      </c>
      <c r="F1423" t="inlineStr">
        <is>
          <t>Bergvik skog väst AB</t>
        </is>
      </c>
      <c r="G1423" t="n">
        <v>11.4</v>
      </c>
      <c r="H1423" t="n">
        <v>0</v>
      </c>
      <c r="I1423" t="n">
        <v>0</v>
      </c>
      <c r="J1423" t="n">
        <v>0</v>
      </c>
      <c r="K1423" t="n">
        <v>0</v>
      </c>
      <c r="L1423" t="n">
        <v>0</v>
      </c>
      <c r="M1423" t="n">
        <v>0</v>
      </c>
      <c r="N1423" t="n">
        <v>0</v>
      </c>
      <c r="O1423" t="n">
        <v>0</v>
      </c>
      <c r="P1423" t="n">
        <v>0</v>
      </c>
      <c r="Q1423" t="n">
        <v>0</v>
      </c>
      <c r="R1423" s="2" t="inlineStr"/>
    </row>
    <row r="1424" ht="15" customHeight="1">
      <c r="A1424" t="inlineStr">
        <is>
          <t>A 15413-2023</t>
        </is>
      </c>
      <c r="B1424" s="1" t="n">
        <v>45019</v>
      </c>
      <c r="C1424" s="1" t="n">
        <v>45822</v>
      </c>
      <c r="D1424" t="inlineStr">
        <is>
          <t>VÄRMLANDS LÄN</t>
        </is>
      </c>
      <c r="E1424" t="inlineStr">
        <is>
          <t>TORSBY</t>
        </is>
      </c>
      <c r="G1424" t="n">
        <v>17.1</v>
      </c>
      <c r="H1424" t="n">
        <v>0</v>
      </c>
      <c r="I1424" t="n">
        <v>0</v>
      </c>
      <c r="J1424" t="n">
        <v>0</v>
      </c>
      <c r="K1424" t="n">
        <v>0</v>
      </c>
      <c r="L1424" t="n">
        <v>0</v>
      </c>
      <c r="M1424" t="n">
        <v>0</v>
      </c>
      <c r="N1424" t="n">
        <v>0</v>
      </c>
      <c r="O1424" t="n">
        <v>0</v>
      </c>
      <c r="P1424" t="n">
        <v>0</v>
      </c>
      <c r="Q1424" t="n">
        <v>0</v>
      </c>
      <c r="R1424" s="2" t="inlineStr"/>
    </row>
    <row r="1425" ht="15" customHeight="1">
      <c r="A1425" t="inlineStr">
        <is>
          <t>A 15450-2023</t>
        </is>
      </c>
      <c r="B1425" s="1" t="n">
        <v>45020</v>
      </c>
      <c r="C1425" s="1" t="n">
        <v>45822</v>
      </c>
      <c r="D1425" t="inlineStr">
        <is>
          <t>VÄRMLANDS LÄN</t>
        </is>
      </c>
      <c r="E1425" t="inlineStr">
        <is>
          <t>TORSBY</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15488-2023</t>
        </is>
      </c>
      <c r="B1426" s="1" t="n">
        <v>45020</v>
      </c>
      <c r="C1426" s="1" t="n">
        <v>45822</v>
      </c>
      <c r="D1426" t="inlineStr">
        <is>
          <t>VÄRMLANDS LÄN</t>
        </is>
      </c>
      <c r="E1426" t="inlineStr">
        <is>
          <t>TORSBY</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15773-2023</t>
        </is>
      </c>
      <c r="B1427" s="1" t="n">
        <v>45021</v>
      </c>
      <c r="C1427" s="1" t="n">
        <v>45822</v>
      </c>
      <c r="D1427" t="inlineStr">
        <is>
          <t>VÄRMLANDS LÄN</t>
        </is>
      </c>
      <c r="E1427" t="inlineStr">
        <is>
          <t>TORSBY</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16093-2023</t>
        </is>
      </c>
      <c r="B1428" s="1" t="n">
        <v>45021</v>
      </c>
      <c r="C1428" s="1" t="n">
        <v>45822</v>
      </c>
      <c r="D1428" t="inlineStr">
        <is>
          <t>VÄRMLANDS LÄN</t>
        </is>
      </c>
      <c r="E1428" t="inlineStr">
        <is>
          <t>TORSBY</t>
        </is>
      </c>
      <c r="F1428" t="inlineStr">
        <is>
          <t>Övriga statliga verk och myndigheter</t>
        </is>
      </c>
      <c r="G1428" t="n">
        <v>11.5</v>
      </c>
      <c r="H1428" t="n">
        <v>0</v>
      </c>
      <c r="I1428" t="n">
        <v>0</v>
      </c>
      <c r="J1428" t="n">
        <v>0</v>
      </c>
      <c r="K1428" t="n">
        <v>0</v>
      </c>
      <c r="L1428" t="n">
        <v>0</v>
      </c>
      <c r="M1428" t="n">
        <v>0</v>
      </c>
      <c r="N1428" t="n">
        <v>0</v>
      </c>
      <c r="O1428" t="n">
        <v>0</v>
      </c>
      <c r="P1428" t="n">
        <v>0</v>
      </c>
      <c r="Q1428" t="n">
        <v>0</v>
      </c>
      <c r="R1428" s="2" t="inlineStr"/>
    </row>
    <row r="1429" ht="15" customHeight="1">
      <c r="A1429" t="inlineStr">
        <is>
          <t>A 16121-2023</t>
        </is>
      </c>
      <c r="B1429" s="1" t="n">
        <v>45022</v>
      </c>
      <c r="C1429" s="1" t="n">
        <v>45822</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16416-2023</t>
        </is>
      </c>
      <c r="B1430" s="1" t="n">
        <v>45022</v>
      </c>
      <c r="C1430" s="1" t="n">
        <v>45822</v>
      </c>
      <c r="D1430" t="inlineStr">
        <is>
          <t>VÄRMLANDS LÄN</t>
        </is>
      </c>
      <c r="E1430" t="inlineStr">
        <is>
          <t>TORSBY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16433-2023</t>
        </is>
      </c>
      <c r="B1431" s="1" t="n">
        <v>45022</v>
      </c>
      <c r="C1431" s="1" t="n">
        <v>45822</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16427-2023</t>
        </is>
      </c>
      <c r="B1432" s="1" t="n">
        <v>45022</v>
      </c>
      <c r="C1432" s="1" t="n">
        <v>45822</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15992-2023</t>
        </is>
      </c>
      <c r="B1433" s="1" t="n">
        <v>45023</v>
      </c>
      <c r="C1433" s="1" t="n">
        <v>45822</v>
      </c>
      <c r="D1433" t="inlineStr">
        <is>
          <t>VÄRMLANDS LÄN</t>
        </is>
      </c>
      <c r="E1433" t="inlineStr">
        <is>
          <t>TORSBY</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16044-2023</t>
        </is>
      </c>
      <c r="B1434" s="1" t="n">
        <v>45027</v>
      </c>
      <c r="C1434" s="1" t="n">
        <v>45822</v>
      </c>
      <c r="D1434" t="inlineStr">
        <is>
          <t>VÄRMLANDS LÄN</t>
        </is>
      </c>
      <c r="E1434" t="inlineStr">
        <is>
          <t>TORSBY</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16309-2023</t>
        </is>
      </c>
      <c r="B1435" s="1" t="n">
        <v>45028</v>
      </c>
      <c r="C1435" s="1" t="n">
        <v>45822</v>
      </c>
      <c r="D1435" t="inlineStr">
        <is>
          <t>VÄRMLANDS LÄN</t>
        </is>
      </c>
      <c r="E1435" t="inlineStr">
        <is>
          <t>TORSBY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16313-2023</t>
        </is>
      </c>
      <c r="B1436" s="1" t="n">
        <v>45028</v>
      </c>
      <c r="C1436" s="1" t="n">
        <v>45822</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16317-2023</t>
        </is>
      </c>
      <c r="B1437" s="1" t="n">
        <v>45028</v>
      </c>
      <c r="C1437" s="1" t="n">
        <v>45822</v>
      </c>
      <c r="D1437" t="inlineStr">
        <is>
          <t>VÄRMLANDS LÄN</t>
        </is>
      </c>
      <c r="E1437" t="inlineStr">
        <is>
          <t>TORSBY</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16919-2023</t>
        </is>
      </c>
      <c r="B1438" s="1" t="n">
        <v>45033</v>
      </c>
      <c r="C1438" s="1" t="n">
        <v>45822</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16945-2023</t>
        </is>
      </c>
      <c r="B1439" s="1" t="n">
        <v>45033</v>
      </c>
      <c r="C1439" s="1" t="n">
        <v>45822</v>
      </c>
      <c r="D1439" t="inlineStr">
        <is>
          <t>VÄRMLANDS LÄN</t>
        </is>
      </c>
      <c r="E1439" t="inlineStr">
        <is>
          <t>TORSBY</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16943-2023</t>
        </is>
      </c>
      <c r="B1440" s="1" t="n">
        <v>45033</v>
      </c>
      <c r="C1440" s="1" t="n">
        <v>45822</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17184-2023</t>
        </is>
      </c>
      <c r="B1441" s="1" t="n">
        <v>45034</v>
      </c>
      <c r="C1441" s="1" t="n">
        <v>45822</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17188-2023</t>
        </is>
      </c>
      <c r="B1442" s="1" t="n">
        <v>45034</v>
      </c>
      <c r="C1442" s="1" t="n">
        <v>45822</v>
      </c>
      <c r="D1442" t="inlineStr">
        <is>
          <t>VÄRMLANDS LÄN</t>
        </is>
      </c>
      <c r="E1442" t="inlineStr">
        <is>
          <t>TORSBY</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17554-2023</t>
        </is>
      </c>
      <c r="B1443" s="1" t="n">
        <v>45034</v>
      </c>
      <c r="C1443" s="1" t="n">
        <v>45822</v>
      </c>
      <c r="D1443" t="inlineStr">
        <is>
          <t>VÄRMLANDS LÄN</t>
        </is>
      </c>
      <c r="E1443" t="inlineStr">
        <is>
          <t>TORSBY</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17300-2023</t>
        </is>
      </c>
      <c r="B1444" s="1" t="n">
        <v>45035</v>
      </c>
      <c r="C1444" s="1" t="n">
        <v>45822</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17322-2023</t>
        </is>
      </c>
      <c r="B1445" s="1" t="n">
        <v>45035</v>
      </c>
      <c r="C1445" s="1" t="n">
        <v>45822</v>
      </c>
      <c r="D1445" t="inlineStr">
        <is>
          <t>VÄRMLANDS LÄN</t>
        </is>
      </c>
      <c r="E1445" t="inlineStr">
        <is>
          <t>TORSBY</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17328-2023</t>
        </is>
      </c>
      <c r="B1446" s="1" t="n">
        <v>45035</v>
      </c>
      <c r="C1446" s="1" t="n">
        <v>45822</v>
      </c>
      <c r="D1446" t="inlineStr">
        <is>
          <t>VÄRMLANDS LÄN</t>
        </is>
      </c>
      <c r="E1446" t="inlineStr">
        <is>
          <t>TORSBY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17548-2023</t>
        </is>
      </c>
      <c r="B1447" s="1" t="n">
        <v>45036</v>
      </c>
      <c r="C1447" s="1" t="n">
        <v>45822</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17488-2023</t>
        </is>
      </c>
      <c r="B1448" s="1" t="n">
        <v>45036</v>
      </c>
      <c r="C1448" s="1" t="n">
        <v>45822</v>
      </c>
      <c r="D1448" t="inlineStr">
        <is>
          <t>VÄRMLANDS LÄN</t>
        </is>
      </c>
      <c r="E1448" t="inlineStr">
        <is>
          <t>TORSBY</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17546-2023</t>
        </is>
      </c>
      <c r="B1449" s="1" t="n">
        <v>45036</v>
      </c>
      <c r="C1449" s="1" t="n">
        <v>45822</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17898-2023</t>
        </is>
      </c>
      <c r="B1450" s="1" t="n">
        <v>45039</v>
      </c>
      <c r="C1450" s="1" t="n">
        <v>45822</v>
      </c>
      <c r="D1450" t="inlineStr">
        <is>
          <t>VÄRMLANDS LÄN</t>
        </is>
      </c>
      <c r="E1450" t="inlineStr">
        <is>
          <t>TORSBY</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17897-2023</t>
        </is>
      </c>
      <c r="B1451" s="1" t="n">
        <v>45039</v>
      </c>
      <c r="C1451" s="1" t="n">
        <v>45822</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18244-2023</t>
        </is>
      </c>
      <c r="B1452" s="1" t="n">
        <v>45041</v>
      </c>
      <c r="C1452" s="1" t="n">
        <v>45822</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18338-2023</t>
        </is>
      </c>
      <c r="B1453" s="1" t="n">
        <v>45041</v>
      </c>
      <c r="C1453" s="1" t="n">
        <v>45822</v>
      </c>
      <c r="D1453" t="inlineStr">
        <is>
          <t>VÄRMLANDS LÄN</t>
        </is>
      </c>
      <c r="E1453" t="inlineStr">
        <is>
          <t>TORSBY</t>
        </is>
      </c>
      <c r="F1453" t="inlineStr">
        <is>
          <t>Bergvik skog väst AB</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18544-2023</t>
        </is>
      </c>
      <c r="B1454" s="1" t="n">
        <v>45041</v>
      </c>
      <c r="C1454" s="1" t="n">
        <v>45822</v>
      </c>
      <c r="D1454" t="inlineStr">
        <is>
          <t>VÄRMLANDS LÄN</t>
        </is>
      </c>
      <c r="E1454" t="inlineStr">
        <is>
          <t>TORSBY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18411-2023</t>
        </is>
      </c>
      <c r="B1455" s="1" t="n">
        <v>45042</v>
      </c>
      <c r="C1455" s="1" t="n">
        <v>45822</v>
      </c>
      <c r="D1455" t="inlineStr">
        <is>
          <t>VÄRMLANDS LÄN</t>
        </is>
      </c>
      <c r="E1455" t="inlineStr">
        <is>
          <t>TORSBY</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18621-2023</t>
        </is>
      </c>
      <c r="B1456" s="1" t="n">
        <v>45043</v>
      </c>
      <c r="C1456" s="1" t="n">
        <v>45822</v>
      </c>
      <c r="D1456" t="inlineStr">
        <is>
          <t>VÄRMLANDS LÄN</t>
        </is>
      </c>
      <c r="E1456" t="inlineStr">
        <is>
          <t>TORSBY</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18675-2023</t>
        </is>
      </c>
      <c r="B1457" s="1" t="n">
        <v>45043</v>
      </c>
      <c r="C1457" s="1" t="n">
        <v>45822</v>
      </c>
      <c r="D1457" t="inlineStr">
        <is>
          <t>VÄRMLANDS LÄN</t>
        </is>
      </c>
      <c r="E1457" t="inlineStr">
        <is>
          <t>TORSBY</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18876-2023</t>
        </is>
      </c>
      <c r="B1458" s="1" t="n">
        <v>45044</v>
      </c>
      <c r="C1458" s="1" t="n">
        <v>45822</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19042-2023</t>
        </is>
      </c>
      <c r="B1459" s="1" t="n">
        <v>45047</v>
      </c>
      <c r="C1459" s="1" t="n">
        <v>45822</v>
      </c>
      <c r="D1459" t="inlineStr">
        <is>
          <t>VÄRMLANDS LÄN</t>
        </is>
      </c>
      <c r="E1459" t="inlineStr">
        <is>
          <t>TORSBY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19527-2023</t>
        </is>
      </c>
      <c r="B1460" s="1" t="n">
        <v>45050</v>
      </c>
      <c r="C1460" s="1" t="n">
        <v>45822</v>
      </c>
      <c r="D1460" t="inlineStr">
        <is>
          <t>VÄRMLANDS LÄN</t>
        </is>
      </c>
      <c r="E1460" t="inlineStr">
        <is>
          <t>TORSBY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19675-2023</t>
        </is>
      </c>
      <c r="B1461" s="1" t="n">
        <v>45051</v>
      </c>
      <c r="C1461" s="1" t="n">
        <v>45822</v>
      </c>
      <c r="D1461" t="inlineStr">
        <is>
          <t>VÄRMLANDS LÄN</t>
        </is>
      </c>
      <c r="E1461" t="inlineStr">
        <is>
          <t>TORSBY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19714-2023</t>
        </is>
      </c>
      <c r="B1462" s="1" t="n">
        <v>45051</v>
      </c>
      <c r="C1462" s="1" t="n">
        <v>45822</v>
      </c>
      <c r="D1462" t="inlineStr">
        <is>
          <t>VÄRMLANDS LÄN</t>
        </is>
      </c>
      <c r="E1462" t="inlineStr">
        <is>
          <t>TORSBY</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19998-2023</t>
        </is>
      </c>
      <c r="B1463" s="1" t="n">
        <v>45054</v>
      </c>
      <c r="C1463" s="1" t="n">
        <v>45822</v>
      </c>
      <c r="D1463" t="inlineStr">
        <is>
          <t>VÄRMLANDS LÄN</t>
        </is>
      </c>
      <c r="E1463" t="inlineStr">
        <is>
          <t>TORSBY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20130-2023</t>
        </is>
      </c>
      <c r="B1464" s="1" t="n">
        <v>45055</v>
      </c>
      <c r="C1464" s="1" t="n">
        <v>45822</v>
      </c>
      <c r="D1464" t="inlineStr">
        <is>
          <t>VÄRMLANDS LÄN</t>
        </is>
      </c>
      <c r="E1464" t="inlineStr">
        <is>
          <t>TORSBY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20107-2023</t>
        </is>
      </c>
      <c r="B1465" s="1" t="n">
        <v>45055</v>
      </c>
      <c r="C1465" s="1" t="n">
        <v>45822</v>
      </c>
      <c r="D1465" t="inlineStr">
        <is>
          <t>VÄRMLANDS LÄN</t>
        </is>
      </c>
      <c r="E1465" t="inlineStr">
        <is>
          <t>TORSBY</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20120-2023</t>
        </is>
      </c>
      <c r="B1466" s="1" t="n">
        <v>45055</v>
      </c>
      <c r="C1466" s="1" t="n">
        <v>45822</v>
      </c>
      <c r="D1466" t="inlineStr">
        <is>
          <t>VÄRMLANDS LÄN</t>
        </is>
      </c>
      <c r="E1466" t="inlineStr">
        <is>
          <t>TORSBY</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20127-2023</t>
        </is>
      </c>
      <c r="B1467" s="1" t="n">
        <v>45055</v>
      </c>
      <c r="C1467" s="1" t="n">
        <v>45822</v>
      </c>
      <c r="D1467" t="inlineStr">
        <is>
          <t>VÄRMLANDS LÄN</t>
        </is>
      </c>
      <c r="E1467" t="inlineStr">
        <is>
          <t>TORSBY</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20805-2023</t>
        </is>
      </c>
      <c r="B1468" s="1" t="n">
        <v>45055</v>
      </c>
      <c r="C1468" s="1" t="n">
        <v>45822</v>
      </c>
      <c r="D1468" t="inlineStr">
        <is>
          <t>VÄRMLANDS LÄN</t>
        </is>
      </c>
      <c r="E1468" t="inlineStr">
        <is>
          <t>TORSBY</t>
        </is>
      </c>
      <c r="G1468" t="n">
        <v>11.2</v>
      </c>
      <c r="H1468" t="n">
        <v>0</v>
      </c>
      <c r="I1468" t="n">
        <v>0</v>
      </c>
      <c r="J1468" t="n">
        <v>0</v>
      </c>
      <c r="K1468" t="n">
        <v>0</v>
      </c>
      <c r="L1468" t="n">
        <v>0</v>
      </c>
      <c r="M1468" t="n">
        <v>0</v>
      </c>
      <c r="N1468" t="n">
        <v>0</v>
      </c>
      <c r="O1468" t="n">
        <v>0</v>
      </c>
      <c r="P1468" t="n">
        <v>0</v>
      </c>
      <c r="Q1468" t="n">
        <v>0</v>
      </c>
      <c r="R1468" s="2" t="inlineStr"/>
    </row>
    <row r="1469" ht="15" customHeight="1">
      <c r="A1469" t="inlineStr">
        <is>
          <t>A 20293-2023</t>
        </is>
      </c>
      <c r="B1469" s="1" t="n">
        <v>45056</v>
      </c>
      <c r="C1469" s="1" t="n">
        <v>45822</v>
      </c>
      <c r="D1469" t="inlineStr">
        <is>
          <t>VÄRMLANDS LÄN</t>
        </is>
      </c>
      <c r="E1469" t="inlineStr">
        <is>
          <t>TORSBY</t>
        </is>
      </c>
      <c r="F1469" t="inlineStr">
        <is>
          <t>Kyrkan</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20321-2023</t>
        </is>
      </c>
      <c r="B1470" s="1" t="n">
        <v>45056</v>
      </c>
      <c r="C1470" s="1" t="n">
        <v>45822</v>
      </c>
      <c r="D1470" t="inlineStr">
        <is>
          <t>VÄRMLANDS LÄN</t>
        </is>
      </c>
      <c r="E1470" t="inlineStr">
        <is>
          <t>TORSBY</t>
        </is>
      </c>
      <c r="F1470" t="inlineStr">
        <is>
          <t>Kyrkan</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20393-2023</t>
        </is>
      </c>
      <c r="B1471" s="1" t="n">
        <v>45056</v>
      </c>
      <c r="C1471" s="1" t="n">
        <v>45822</v>
      </c>
      <c r="D1471" t="inlineStr">
        <is>
          <t>VÄRMLANDS LÄN</t>
        </is>
      </c>
      <c r="E1471" t="inlineStr">
        <is>
          <t>TORSBY</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20298-2023</t>
        </is>
      </c>
      <c r="B1472" s="1" t="n">
        <v>45056</v>
      </c>
      <c r="C1472" s="1" t="n">
        <v>45822</v>
      </c>
      <c r="D1472" t="inlineStr">
        <is>
          <t>VÄRMLANDS LÄN</t>
        </is>
      </c>
      <c r="E1472" t="inlineStr">
        <is>
          <t>TORSBY</t>
        </is>
      </c>
      <c r="F1472" t="inlineStr">
        <is>
          <t>Kyrkan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20847-2023</t>
        </is>
      </c>
      <c r="B1473" s="1" t="n">
        <v>45056</v>
      </c>
      <c r="C1473" s="1" t="n">
        <v>45822</v>
      </c>
      <c r="D1473" t="inlineStr">
        <is>
          <t>VÄRMLANDS LÄN</t>
        </is>
      </c>
      <c r="E1473" t="inlineStr">
        <is>
          <t>TORSBY</t>
        </is>
      </c>
      <c r="G1473" t="n">
        <v>13.9</v>
      </c>
      <c r="H1473" t="n">
        <v>0</v>
      </c>
      <c r="I1473" t="n">
        <v>0</v>
      </c>
      <c r="J1473" t="n">
        <v>0</v>
      </c>
      <c r="K1473" t="n">
        <v>0</v>
      </c>
      <c r="L1473" t="n">
        <v>0</v>
      </c>
      <c r="M1473" t="n">
        <v>0</v>
      </c>
      <c r="N1473" t="n">
        <v>0</v>
      </c>
      <c r="O1473" t="n">
        <v>0</v>
      </c>
      <c r="P1473" t="n">
        <v>0</v>
      </c>
      <c r="Q1473" t="n">
        <v>0</v>
      </c>
      <c r="R1473" s="2" t="inlineStr"/>
    </row>
    <row r="1474" ht="15" customHeight="1">
      <c r="A1474" t="inlineStr">
        <is>
          <t>A 20528-2023</t>
        </is>
      </c>
      <c r="B1474" s="1" t="n">
        <v>45057</v>
      </c>
      <c r="C1474" s="1" t="n">
        <v>45822</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20757-2023</t>
        </is>
      </c>
      <c r="B1475" s="1" t="n">
        <v>45058</v>
      </c>
      <c r="C1475" s="1" t="n">
        <v>45822</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20831-2023</t>
        </is>
      </c>
      <c r="B1476" s="1" t="n">
        <v>45058</v>
      </c>
      <c r="C1476" s="1" t="n">
        <v>45822</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20648-2023</t>
        </is>
      </c>
      <c r="B1477" s="1" t="n">
        <v>45058</v>
      </c>
      <c r="C1477" s="1" t="n">
        <v>45822</v>
      </c>
      <c r="D1477" t="inlineStr">
        <is>
          <t>VÄRMLANDS LÄN</t>
        </is>
      </c>
      <c r="E1477" t="inlineStr">
        <is>
          <t>TORSBY</t>
        </is>
      </c>
      <c r="F1477" t="inlineStr">
        <is>
          <t>Kyrkan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20740-2023</t>
        </is>
      </c>
      <c r="B1478" s="1" t="n">
        <v>45058</v>
      </c>
      <c r="C1478" s="1" t="n">
        <v>45822</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20737-2023</t>
        </is>
      </c>
      <c r="B1479" s="1" t="n">
        <v>45058</v>
      </c>
      <c r="C1479" s="1" t="n">
        <v>45822</v>
      </c>
      <c r="D1479" t="inlineStr">
        <is>
          <t>VÄRMLANDS LÄN</t>
        </is>
      </c>
      <c r="E1479" t="inlineStr">
        <is>
          <t>TORSBY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20829-2023</t>
        </is>
      </c>
      <c r="B1480" s="1" t="n">
        <v>45058</v>
      </c>
      <c r="C1480" s="1" t="n">
        <v>45822</v>
      </c>
      <c r="D1480" t="inlineStr">
        <is>
          <t>VÄRMLANDS LÄN</t>
        </is>
      </c>
      <c r="E1480" t="inlineStr">
        <is>
          <t>TORSBY</t>
        </is>
      </c>
      <c r="F1480" t="inlineStr">
        <is>
          <t>Bergvik skog väst AB</t>
        </is>
      </c>
      <c r="G1480" t="n">
        <v>12.2</v>
      </c>
      <c r="H1480" t="n">
        <v>0</v>
      </c>
      <c r="I1480" t="n">
        <v>0</v>
      </c>
      <c r="J1480" t="n">
        <v>0</v>
      </c>
      <c r="K1480" t="n">
        <v>0</v>
      </c>
      <c r="L1480" t="n">
        <v>0</v>
      </c>
      <c r="M1480" t="n">
        <v>0</v>
      </c>
      <c r="N1480" t="n">
        <v>0</v>
      </c>
      <c r="O1480" t="n">
        <v>0</v>
      </c>
      <c r="P1480" t="n">
        <v>0</v>
      </c>
      <c r="Q1480" t="n">
        <v>0</v>
      </c>
      <c r="R1480" s="2" t="inlineStr"/>
    </row>
    <row r="1481" ht="15" customHeight="1">
      <c r="A1481" t="inlineStr">
        <is>
          <t>A 20830-2023</t>
        </is>
      </c>
      <c r="B1481" s="1" t="n">
        <v>45058</v>
      </c>
      <c r="C1481" s="1" t="n">
        <v>45822</v>
      </c>
      <c r="D1481" t="inlineStr">
        <is>
          <t>VÄRMLANDS LÄN</t>
        </is>
      </c>
      <c r="E1481" t="inlineStr">
        <is>
          <t>TORSBY</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20679-2023</t>
        </is>
      </c>
      <c r="B1482" s="1" t="n">
        <v>45058</v>
      </c>
      <c r="C1482" s="1" t="n">
        <v>45822</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20721-2023</t>
        </is>
      </c>
      <c r="B1483" s="1" t="n">
        <v>45058</v>
      </c>
      <c r="C1483" s="1" t="n">
        <v>45822</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20733-2023</t>
        </is>
      </c>
      <c r="B1484" s="1" t="n">
        <v>45058</v>
      </c>
      <c r="C1484" s="1" t="n">
        <v>45822</v>
      </c>
      <c r="D1484" t="inlineStr">
        <is>
          <t>VÄRMLANDS LÄN</t>
        </is>
      </c>
      <c r="E1484" t="inlineStr">
        <is>
          <t>TORSBY</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20745-2023</t>
        </is>
      </c>
      <c r="B1485" s="1" t="n">
        <v>45058</v>
      </c>
      <c r="C1485" s="1" t="n">
        <v>45822</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21258-2023</t>
        </is>
      </c>
      <c r="B1486" s="1" t="n">
        <v>45058</v>
      </c>
      <c r="C1486" s="1" t="n">
        <v>45822</v>
      </c>
      <c r="D1486" t="inlineStr">
        <is>
          <t>VÄRMLANDS LÄN</t>
        </is>
      </c>
      <c r="E1486" t="inlineStr">
        <is>
          <t>TORSBY</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21255-2023</t>
        </is>
      </c>
      <c r="B1487" s="1" t="n">
        <v>45058</v>
      </c>
      <c r="C1487" s="1" t="n">
        <v>45822</v>
      </c>
      <c r="D1487" t="inlineStr">
        <is>
          <t>VÄRMLANDS LÄN</t>
        </is>
      </c>
      <c r="E1487" t="inlineStr">
        <is>
          <t>TORSBY</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20898-2023</t>
        </is>
      </c>
      <c r="B1488" s="1" t="n">
        <v>45059</v>
      </c>
      <c r="C1488" s="1" t="n">
        <v>45822</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21076-2023</t>
        </is>
      </c>
      <c r="B1489" s="1" t="n">
        <v>45061</v>
      </c>
      <c r="C1489" s="1" t="n">
        <v>45822</v>
      </c>
      <c r="D1489" t="inlineStr">
        <is>
          <t>VÄRMLANDS LÄN</t>
        </is>
      </c>
      <c r="E1489" t="inlineStr">
        <is>
          <t>TORSBY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21033-2023</t>
        </is>
      </c>
      <c r="B1490" s="1" t="n">
        <v>45061</v>
      </c>
      <c r="C1490" s="1" t="n">
        <v>45822</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21078-2023</t>
        </is>
      </c>
      <c r="B1491" s="1" t="n">
        <v>45061</v>
      </c>
      <c r="C1491" s="1" t="n">
        <v>45822</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21158-2023</t>
        </is>
      </c>
      <c r="B1492" s="1" t="n">
        <v>45062</v>
      </c>
      <c r="C1492" s="1" t="n">
        <v>45822</v>
      </c>
      <c r="D1492" t="inlineStr">
        <is>
          <t>VÄRMLANDS LÄN</t>
        </is>
      </c>
      <c r="E1492" t="inlineStr">
        <is>
          <t>TORSBY</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21189-2023</t>
        </is>
      </c>
      <c r="B1493" s="1" t="n">
        <v>45062</v>
      </c>
      <c r="C1493" s="1" t="n">
        <v>45822</v>
      </c>
      <c r="D1493" t="inlineStr">
        <is>
          <t>VÄRMLANDS LÄN</t>
        </is>
      </c>
      <c r="E1493" t="inlineStr">
        <is>
          <t>TORSBY</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21154-2023</t>
        </is>
      </c>
      <c r="B1494" s="1" t="n">
        <v>45062</v>
      </c>
      <c r="C1494" s="1" t="n">
        <v>45822</v>
      </c>
      <c r="D1494" t="inlineStr">
        <is>
          <t>VÄRMLANDS LÄN</t>
        </is>
      </c>
      <c r="E1494" t="inlineStr">
        <is>
          <t>TORSBY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21409-2023</t>
        </is>
      </c>
      <c r="B1495" s="1" t="n">
        <v>45063</v>
      </c>
      <c r="C1495" s="1" t="n">
        <v>45822</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21365-2023</t>
        </is>
      </c>
      <c r="B1496" s="1" t="n">
        <v>45063</v>
      </c>
      <c r="C1496" s="1" t="n">
        <v>45822</v>
      </c>
      <c r="D1496" t="inlineStr">
        <is>
          <t>VÄRMLANDS LÄN</t>
        </is>
      </c>
      <c r="E1496" t="inlineStr">
        <is>
          <t>TORSBY</t>
        </is>
      </c>
      <c r="F1496" t="inlineStr">
        <is>
          <t>Kyrkan</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21390-2023</t>
        </is>
      </c>
      <c r="B1497" s="1" t="n">
        <v>45063</v>
      </c>
      <c r="C1497" s="1" t="n">
        <v>45822</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21411-2023</t>
        </is>
      </c>
      <c r="B1498" s="1" t="n">
        <v>45063</v>
      </c>
      <c r="C1498" s="1" t="n">
        <v>45822</v>
      </c>
      <c r="D1498" t="inlineStr">
        <is>
          <t>VÄRMLANDS LÄN</t>
        </is>
      </c>
      <c r="E1498" t="inlineStr">
        <is>
          <t>TORSBY</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21786-2023</t>
        </is>
      </c>
      <c r="B1499" s="1" t="n">
        <v>45066</v>
      </c>
      <c r="C1499" s="1" t="n">
        <v>45822</v>
      </c>
      <c r="D1499" t="inlineStr">
        <is>
          <t>VÄRMLANDS LÄN</t>
        </is>
      </c>
      <c r="E1499" t="inlineStr">
        <is>
          <t>TORSBY</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21790-2023</t>
        </is>
      </c>
      <c r="B1500" s="1" t="n">
        <v>45067</v>
      </c>
      <c r="C1500" s="1" t="n">
        <v>45822</v>
      </c>
      <c r="D1500" t="inlineStr">
        <is>
          <t>VÄRMLANDS LÄN</t>
        </is>
      </c>
      <c r="E1500" t="inlineStr">
        <is>
          <t>TORSBY</t>
        </is>
      </c>
      <c r="F1500" t="inlineStr">
        <is>
          <t>Övriga statliga verk och myndigheter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21839-2023</t>
        </is>
      </c>
      <c r="B1501" s="1" t="n">
        <v>45068</v>
      </c>
      <c r="C1501" s="1" t="n">
        <v>45822</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21847-2023</t>
        </is>
      </c>
      <c r="B1502" s="1" t="n">
        <v>45068</v>
      </c>
      <c r="C1502" s="1" t="n">
        <v>45822</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21988-2023</t>
        </is>
      </c>
      <c r="B1503" s="1" t="n">
        <v>45068</v>
      </c>
      <c r="C1503" s="1" t="n">
        <v>45822</v>
      </c>
      <c r="D1503" t="inlineStr">
        <is>
          <t>VÄRMLANDS LÄN</t>
        </is>
      </c>
      <c r="E1503" t="inlineStr">
        <is>
          <t>TORSBY</t>
        </is>
      </c>
      <c r="F1503" t="inlineStr">
        <is>
          <t>Bergvik skog väst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21912-2023</t>
        </is>
      </c>
      <c r="B1504" s="1" t="n">
        <v>45068</v>
      </c>
      <c r="C1504" s="1" t="n">
        <v>45822</v>
      </c>
      <c r="D1504" t="inlineStr">
        <is>
          <t>VÄRMLANDS LÄN</t>
        </is>
      </c>
      <c r="E1504" t="inlineStr">
        <is>
          <t>TORSBY</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22089-2023</t>
        </is>
      </c>
      <c r="B1505" s="1" t="n">
        <v>45069</v>
      </c>
      <c r="C1505" s="1" t="n">
        <v>45822</v>
      </c>
      <c r="D1505" t="inlineStr">
        <is>
          <t>VÄRMLANDS LÄN</t>
        </is>
      </c>
      <c r="E1505" t="inlineStr">
        <is>
          <t>TORSBY</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22030-2023</t>
        </is>
      </c>
      <c r="B1506" s="1" t="n">
        <v>45069</v>
      </c>
      <c r="C1506" s="1" t="n">
        <v>45822</v>
      </c>
      <c r="D1506" t="inlineStr">
        <is>
          <t>VÄRMLANDS LÄN</t>
        </is>
      </c>
      <c r="E1506" t="inlineStr">
        <is>
          <t>TORSBY</t>
        </is>
      </c>
      <c r="F1506" t="inlineStr">
        <is>
          <t>Bergvik skog väst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22038-2023</t>
        </is>
      </c>
      <c r="B1507" s="1" t="n">
        <v>45069</v>
      </c>
      <c r="C1507" s="1" t="n">
        <v>45822</v>
      </c>
      <c r="D1507" t="inlineStr">
        <is>
          <t>VÄRMLANDS LÄN</t>
        </is>
      </c>
      <c r="E1507" t="inlineStr">
        <is>
          <t>TORSBY</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22033-2023</t>
        </is>
      </c>
      <c r="B1508" s="1" t="n">
        <v>45069</v>
      </c>
      <c r="C1508" s="1" t="n">
        <v>45822</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22386-2023</t>
        </is>
      </c>
      <c r="B1509" s="1" t="n">
        <v>45070</v>
      </c>
      <c r="C1509" s="1" t="n">
        <v>45822</v>
      </c>
      <c r="D1509" t="inlineStr">
        <is>
          <t>VÄRMLANDS LÄN</t>
        </is>
      </c>
      <c r="E1509" t="inlineStr">
        <is>
          <t>TORSBY</t>
        </is>
      </c>
      <c r="F1509" t="inlineStr">
        <is>
          <t>Bergvik skog väst AB</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22301-2023</t>
        </is>
      </c>
      <c r="B1510" s="1" t="n">
        <v>45070</v>
      </c>
      <c r="C1510" s="1" t="n">
        <v>45822</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23073-2023</t>
        </is>
      </c>
      <c r="B1511" s="1" t="n">
        <v>45070</v>
      </c>
      <c r="C1511" s="1" t="n">
        <v>45822</v>
      </c>
      <c r="D1511" t="inlineStr">
        <is>
          <t>VÄRMLANDS LÄN</t>
        </is>
      </c>
      <c r="E1511" t="inlineStr">
        <is>
          <t>TORSBY</t>
        </is>
      </c>
      <c r="G1511" t="n">
        <v>15.1</v>
      </c>
      <c r="H1511" t="n">
        <v>0</v>
      </c>
      <c r="I1511" t="n">
        <v>0</v>
      </c>
      <c r="J1511" t="n">
        <v>0</v>
      </c>
      <c r="K1511" t="n">
        <v>0</v>
      </c>
      <c r="L1511" t="n">
        <v>0</v>
      </c>
      <c r="M1511" t="n">
        <v>0</v>
      </c>
      <c r="N1511" t="n">
        <v>0</v>
      </c>
      <c r="O1511" t="n">
        <v>0</v>
      </c>
      <c r="P1511" t="n">
        <v>0</v>
      </c>
      <c r="Q1511" t="n">
        <v>0</v>
      </c>
      <c r="R1511" s="2" t="inlineStr"/>
    </row>
    <row r="1512" ht="15" customHeight="1">
      <c r="A1512" t="inlineStr">
        <is>
          <t>A 22920-2023</t>
        </is>
      </c>
      <c r="B1512" s="1" t="n">
        <v>45070</v>
      </c>
      <c r="C1512" s="1" t="n">
        <v>45822</v>
      </c>
      <c r="D1512" t="inlineStr">
        <is>
          <t>VÄRMLANDS LÄN</t>
        </is>
      </c>
      <c r="E1512" t="inlineStr">
        <is>
          <t>TORSBY</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22494-2023</t>
        </is>
      </c>
      <c r="B1513" s="1" t="n">
        <v>45071</v>
      </c>
      <c r="C1513" s="1" t="n">
        <v>45822</v>
      </c>
      <c r="D1513" t="inlineStr">
        <is>
          <t>VÄRMLANDS LÄN</t>
        </is>
      </c>
      <c r="E1513" t="inlineStr">
        <is>
          <t>TORSBY</t>
        </is>
      </c>
      <c r="F1513" t="inlineStr">
        <is>
          <t>Bergvik skog väst AB</t>
        </is>
      </c>
      <c r="G1513" t="n">
        <v>25.7</v>
      </c>
      <c r="H1513" t="n">
        <v>0</v>
      </c>
      <c r="I1513" t="n">
        <v>0</v>
      </c>
      <c r="J1513" t="n">
        <v>0</v>
      </c>
      <c r="K1513" t="n">
        <v>0</v>
      </c>
      <c r="L1513" t="n">
        <v>0</v>
      </c>
      <c r="M1513" t="n">
        <v>0</v>
      </c>
      <c r="N1513" t="n">
        <v>0</v>
      </c>
      <c r="O1513" t="n">
        <v>0</v>
      </c>
      <c r="P1513" t="n">
        <v>0</v>
      </c>
      <c r="Q1513" t="n">
        <v>0</v>
      </c>
      <c r="R1513" s="2" t="inlineStr"/>
    </row>
    <row r="1514" ht="15" customHeight="1">
      <c r="A1514" t="inlineStr">
        <is>
          <t>A 22524-2023</t>
        </is>
      </c>
      <c r="B1514" s="1" t="n">
        <v>45071</v>
      </c>
      <c r="C1514" s="1" t="n">
        <v>45822</v>
      </c>
      <c r="D1514" t="inlineStr">
        <is>
          <t>VÄRMLANDS LÄN</t>
        </is>
      </c>
      <c r="E1514" t="inlineStr">
        <is>
          <t>TORSBY</t>
        </is>
      </c>
      <c r="F1514" t="inlineStr">
        <is>
          <t>Bergvik skog väst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22587-2023</t>
        </is>
      </c>
      <c r="B1515" s="1" t="n">
        <v>45071</v>
      </c>
      <c r="C1515" s="1" t="n">
        <v>45822</v>
      </c>
      <c r="D1515" t="inlineStr">
        <is>
          <t>VÄRMLANDS LÄN</t>
        </is>
      </c>
      <c r="E1515" t="inlineStr">
        <is>
          <t>TORSBY</t>
        </is>
      </c>
      <c r="F1515" t="inlineStr">
        <is>
          <t>Bergvik skog väst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22618-2023</t>
        </is>
      </c>
      <c r="B1516" s="1" t="n">
        <v>45071</v>
      </c>
      <c r="C1516" s="1" t="n">
        <v>45822</v>
      </c>
      <c r="D1516" t="inlineStr">
        <is>
          <t>VÄRMLANDS LÄN</t>
        </is>
      </c>
      <c r="E1516" t="inlineStr">
        <is>
          <t>TORSBY</t>
        </is>
      </c>
      <c r="F1516" t="inlineStr">
        <is>
          <t>Bergvik skog väst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22655-2023</t>
        </is>
      </c>
      <c r="B1517" s="1" t="n">
        <v>45071</v>
      </c>
      <c r="C1517" s="1" t="n">
        <v>45822</v>
      </c>
      <c r="D1517" t="inlineStr">
        <is>
          <t>VÄRMLANDS LÄN</t>
        </is>
      </c>
      <c r="E1517" t="inlineStr">
        <is>
          <t>TORSBY</t>
        </is>
      </c>
      <c r="F1517" t="inlineStr">
        <is>
          <t>Bergvik skog väst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22705-2023</t>
        </is>
      </c>
      <c r="B1518" s="1" t="n">
        <v>45071</v>
      </c>
      <c r="C1518" s="1" t="n">
        <v>45822</v>
      </c>
      <c r="D1518" t="inlineStr">
        <is>
          <t>VÄRMLANDS LÄN</t>
        </is>
      </c>
      <c r="E1518" t="inlineStr">
        <is>
          <t>TORSBY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22687-2023</t>
        </is>
      </c>
      <c r="B1519" s="1" t="n">
        <v>45071</v>
      </c>
      <c r="C1519" s="1" t="n">
        <v>45822</v>
      </c>
      <c r="D1519" t="inlineStr">
        <is>
          <t>VÄRMLANDS LÄN</t>
        </is>
      </c>
      <c r="E1519" t="inlineStr">
        <is>
          <t>TORSBY</t>
        </is>
      </c>
      <c r="F1519" t="inlineStr">
        <is>
          <t>Bergvik skog väst AB</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22634-2023</t>
        </is>
      </c>
      <c r="B1520" s="1" t="n">
        <v>45071</v>
      </c>
      <c r="C1520" s="1" t="n">
        <v>45822</v>
      </c>
      <c r="D1520" t="inlineStr">
        <is>
          <t>VÄRMLANDS LÄN</t>
        </is>
      </c>
      <c r="E1520" t="inlineStr">
        <is>
          <t>TORSBY</t>
        </is>
      </c>
      <c r="F1520" t="inlineStr">
        <is>
          <t>Bergvik skog väst AB</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22675-2023</t>
        </is>
      </c>
      <c r="B1521" s="1" t="n">
        <v>45071</v>
      </c>
      <c r="C1521" s="1" t="n">
        <v>45822</v>
      </c>
      <c r="D1521" t="inlineStr">
        <is>
          <t>VÄRMLANDS LÄN</t>
        </is>
      </c>
      <c r="E1521" t="inlineStr">
        <is>
          <t>TORSBY</t>
        </is>
      </c>
      <c r="F1521" t="inlineStr">
        <is>
          <t>Bergvik skog väst AB</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22702-2023</t>
        </is>
      </c>
      <c r="B1522" s="1" t="n">
        <v>45071</v>
      </c>
      <c r="C1522" s="1" t="n">
        <v>45822</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22939-2023</t>
        </is>
      </c>
      <c r="B1523" s="1" t="n">
        <v>45072</v>
      </c>
      <c r="C1523" s="1" t="n">
        <v>45822</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22943-2023</t>
        </is>
      </c>
      <c r="B1524" s="1" t="n">
        <v>45072</v>
      </c>
      <c r="C1524" s="1" t="n">
        <v>45822</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23572-2023</t>
        </is>
      </c>
      <c r="B1525" s="1" t="n">
        <v>45077</v>
      </c>
      <c r="C1525" s="1" t="n">
        <v>45822</v>
      </c>
      <c r="D1525" t="inlineStr">
        <is>
          <t>VÄRMLANDS LÄN</t>
        </is>
      </c>
      <c r="E1525" t="inlineStr">
        <is>
          <t>TORSBY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23624-2023</t>
        </is>
      </c>
      <c r="B1526" s="1" t="n">
        <v>45077</v>
      </c>
      <c r="C1526" s="1" t="n">
        <v>45822</v>
      </c>
      <c r="D1526" t="inlineStr">
        <is>
          <t>VÄRMLANDS LÄN</t>
        </is>
      </c>
      <c r="E1526" t="inlineStr">
        <is>
          <t>TORSBY</t>
        </is>
      </c>
      <c r="F1526" t="inlineStr">
        <is>
          <t>Bergvik skog väst AB</t>
        </is>
      </c>
      <c r="G1526" t="n">
        <v>27.9</v>
      </c>
      <c r="H1526" t="n">
        <v>0</v>
      </c>
      <c r="I1526" t="n">
        <v>0</v>
      </c>
      <c r="J1526" t="n">
        <v>0</v>
      </c>
      <c r="K1526" t="n">
        <v>0</v>
      </c>
      <c r="L1526" t="n">
        <v>0</v>
      </c>
      <c r="M1526" t="n">
        <v>0</v>
      </c>
      <c r="N1526" t="n">
        <v>0</v>
      </c>
      <c r="O1526" t="n">
        <v>0</v>
      </c>
      <c r="P1526" t="n">
        <v>0</v>
      </c>
      <c r="Q1526" t="n">
        <v>0</v>
      </c>
      <c r="R1526" s="2" t="inlineStr"/>
    </row>
    <row r="1527" ht="15" customHeight="1">
      <c r="A1527" t="inlineStr">
        <is>
          <t>A 23894-2023</t>
        </is>
      </c>
      <c r="B1527" s="1" t="n">
        <v>45078</v>
      </c>
      <c r="C1527" s="1" t="n">
        <v>45822</v>
      </c>
      <c r="D1527" t="inlineStr">
        <is>
          <t>VÄRMLANDS LÄN</t>
        </is>
      </c>
      <c r="E1527" t="inlineStr">
        <is>
          <t>TORSBY</t>
        </is>
      </c>
      <c r="F1527" t="inlineStr">
        <is>
          <t>Bergvik skog väst AB</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23912-2023</t>
        </is>
      </c>
      <c r="B1528" s="1" t="n">
        <v>45078</v>
      </c>
      <c r="C1528" s="1" t="n">
        <v>45822</v>
      </c>
      <c r="D1528" t="inlineStr">
        <is>
          <t>VÄRMLANDS LÄN</t>
        </is>
      </c>
      <c r="E1528" t="inlineStr">
        <is>
          <t>TORSBY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24244-2023</t>
        </is>
      </c>
      <c r="B1529" s="1" t="n">
        <v>45079</v>
      </c>
      <c r="C1529" s="1" t="n">
        <v>45822</v>
      </c>
      <c r="D1529" t="inlineStr">
        <is>
          <t>VÄRMLANDS LÄN</t>
        </is>
      </c>
      <c r="E1529" t="inlineStr">
        <is>
          <t>TORSBY</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24170-2023</t>
        </is>
      </c>
      <c r="B1530" s="1" t="n">
        <v>45079</v>
      </c>
      <c r="C1530" s="1" t="n">
        <v>45822</v>
      </c>
      <c r="D1530" t="inlineStr">
        <is>
          <t>VÄRMLANDS LÄN</t>
        </is>
      </c>
      <c r="E1530" t="inlineStr">
        <is>
          <t>TORSBY</t>
        </is>
      </c>
      <c r="F1530" t="inlineStr">
        <is>
          <t>Bergvik skog väst AB</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24101-2023</t>
        </is>
      </c>
      <c r="B1531" s="1" t="n">
        <v>45079</v>
      </c>
      <c r="C1531" s="1" t="n">
        <v>45822</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24196-2023</t>
        </is>
      </c>
      <c r="B1532" s="1" t="n">
        <v>45079</v>
      </c>
      <c r="C1532" s="1" t="n">
        <v>45822</v>
      </c>
      <c r="D1532" t="inlineStr">
        <is>
          <t>VÄRMLANDS LÄN</t>
        </is>
      </c>
      <c r="E1532" t="inlineStr">
        <is>
          <t>TORSBY</t>
        </is>
      </c>
      <c r="F1532" t="inlineStr">
        <is>
          <t>Bergvik skog väst AB</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24518-2023</t>
        </is>
      </c>
      <c r="B1533" s="1" t="n">
        <v>45082</v>
      </c>
      <c r="C1533" s="1" t="n">
        <v>45822</v>
      </c>
      <c r="D1533" t="inlineStr">
        <is>
          <t>VÄRMLANDS LÄN</t>
        </is>
      </c>
      <c r="E1533" t="inlineStr">
        <is>
          <t>TORSBY</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24696-2023</t>
        </is>
      </c>
      <c r="B1534" s="1" t="n">
        <v>45084</v>
      </c>
      <c r="C1534" s="1" t="n">
        <v>45822</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24639-2023</t>
        </is>
      </c>
      <c r="B1535" s="1" t="n">
        <v>45084</v>
      </c>
      <c r="C1535" s="1" t="n">
        <v>45822</v>
      </c>
      <c r="D1535" t="inlineStr">
        <is>
          <t>VÄRMLANDS LÄN</t>
        </is>
      </c>
      <c r="E1535" t="inlineStr">
        <is>
          <t>TORSBY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24643-2023</t>
        </is>
      </c>
      <c r="B1536" s="1" t="n">
        <v>45084</v>
      </c>
      <c r="C1536" s="1" t="n">
        <v>45822</v>
      </c>
      <c r="D1536" t="inlineStr">
        <is>
          <t>VÄRMLANDS LÄN</t>
        </is>
      </c>
      <c r="E1536" t="inlineStr">
        <is>
          <t>TORSBY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24703-2023</t>
        </is>
      </c>
      <c r="B1537" s="1" t="n">
        <v>45084</v>
      </c>
      <c r="C1537" s="1" t="n">
        <v>45822</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24849-2023</t>
        </is>
      </c>
      <c r="B1538" s="1" t="n">
        <v>45085</v>
      </c>
      <c r="C1538" s="1" t="n">
        <v>45822</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24896-2023</t>
        </is>
      </c>
      <c r="B1539" s="1" t="n">
        <v>45085</v>
      </c>
      <c r="C1539" s="1" t="n">
        <v>45822</v>
      </c>
      <c r="D1539" t="inlineStr">
        <is>
          <t>VÄRMLANDS LÄN</t>
        </is>
      </c>
      <c r="E1539" t="inlineStr">
        <is>
          <t>TORSBY</t>
        </is>
      </c>
      <c r="F1539" t="inlineStr">
        <is>
          <t>Bergvik skog väst AB</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24876-2023</t>
        </is>
      </c>
      <c r="B1540" s="1" t="n">
        <v>45085</v>
      </c>
      <c r="C1540" s="1" t="n">
        <v>45822</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24909-2023</t>
        </is>
      </c>
      <c r="B1541" s="1" t="n">
        <v>45085</v>
      </c>
      <c r="C1541" s="1" t="n">
        <v>45822</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24897-2023</t>
        </is>
      </c>
      <c r="B1542" s="1" t="n">
        <v>45085</v>
      </c>
      <c r="C1542" s="1" t="n">
        <v>45822</v>
      </c>
      <c r="D1542" t="inlineStr">
        <is>
          <t>VÄRMLANDS LÄN</t>
        </is>
      </c>
      <c r="E1542" t="inlineStr">
        <is>
          <t>TORSBY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24847-2023</t>
        </is>
      </c>
      <c r="B1543" s="1" t="n">
        <v>45085</v>
      </c>
      <c r="C1543" s="1" t="n">
        <v>45822</v>
      </c>
      <c r="D1543" t="inlineStr">
        <is>
          <t>VÄRMLANDS LÄN</t>
        </is>
      </c>
      <c r="E1543" t="inlineStr">
        <is>
          <t>TORSBY</t>
        </is>
      </c>
      <c r="F1543" t="inlineStr">
        <is>
          <t>Kommuner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24965-2023</t>
        </is>
      </c>
      <c r="B1544" s="1" t="n">
        <v>45085</v>
      </c>
      <c r="C1544" s="1" t="n">
        <v>45822</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24969-2023</t>
        </is>
      </c>
      <c r="B1545" s="1" t="n">
        <v>45085</v>
      </c>
      <c r="C1545" s="1" t="n">
        <v>45822</v>
      </c>
      <c r="D1545" t="inlineStr">
        <is>
          <t>VÄRMLANDS LÄN</t>
        </is>
      </c>
      <c r="E1545" t="inlineStr">
        <is>
          <t>TORSBY</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25001-2023</t>
        </is>
      </c>
      <c r="B1546" s="1" t="n">
        <v>45085</v>
      </c>
      <c r="C1546" s="1" t="n">
        <v>45822</v>
      </c>
      <c r="D1546" t="inlineStr">
        <is>
          <t>VÄRMLANDS LÄN</t>
        </is>
      </c>
      <c r="E1546" t="inlineStr">
        <is>
          <t>TORSBY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25068-2023</t>
        </is>
      </c>
      <c r="B1547" s="1" t="n">
        <v>45085</v>
      </c>
      <c r="C1547" s="1" t="n">
        <v>45822</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25163-2023</t>
        </is>
      </c>
      <c r="B1548" s="1" t="n">
        <v>45086</v>
      </c>
      <c r="C1548" s="1" t="n">
        <v>45822</v>
      </c>
      <c r="D1548" t="inlineStr">
        <is>
          <t>VÄRMLANDS LÄN</t>
        </is>
      </c>
      <c r="E1548" t="inlineStr">
        <is>
          <t>TORSBY</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25088-2023</t>
        </is>
      </c>
      <c r="B1549" s="1" t="n">
        <v>45086</v>
      </c>
      <c r="C1549" s="1" t="n">
        <v>45822</v>
      </c>
      <c r="D1549" t="inlineStr">
        <is>
          <t>VÄRMLANDS LÄN</t>
        </is>
      </c>
      <c r="E1549" t="inlineStr">
        <is>
          <t>TORSBY</t>
        </is>
      </c>
      <c r="F1549" t="inlineStr">
        <is>
          <t>Bergvik skog väst AB</t>
        </is>
      </c>
      <c r="G1549" t="n">
        <v>13.9</v>
      </c>
      <c r="H1549" t="n">
        <v>0</v>
      </c>
      <c r="I1549" t="n">
        <v>0</v>
      </c>
      <c r="J1549" t="n">
        <v>0</v>
      </c>
      <c r="K1549" t="n">
        <v>0</v>
      </c>
      <c r="L1549" t="n">
        <v>0</v>
      </c>
      <c r="M1549" t="n">
        <v>0</v>
      </c>
      <c r="N1549" t="n">
        <v>0</v>
      </c>
      <c r="O1549" t="n">
        <v>0</v>
      </c>
      <c r="P1549" t="n">
        <v>0</v>
      </c>
      <c r="Q1549" t="n">
        <v>0</v>
      </c>
      <c r="R1549" s="2" t="inlineStr"/>
    </row>
    <row r="1550" ht="15" customHeight="1">
      <c r="A1550" t="inlineStr">
        <is>
          <t>A 25090-2023</t>
        </is>
      </c>
      <c r="B1550" s="1" t="n">
        <v>45086</v>
      </c>
      <c r="C1550" s="1" t="n">
        <v>45822</v>
      </c>
      <c r="D1550" t="inlineStr">
        <is>
          <t>VÄRMLANDS LÄN</t>
        </is>
      </c>
      <c r="E1550" t="inlineStr">
        <is>
          <t>TORSBY</t>
        </is>
      </c>
      <c r="F1550" t="inlineStr">
        <is>
          <t>Bergvik skog väst AB</t>
        </is>
      </c>
      <c r="G1550" t="n">
        <v>8.1</v>
      </c>
      <c r="H1550" t="n">
        <v>0</v>
      </c>
      <c r="I1550" t="n">
        <v>0</v>
      </c>
      <c r="J1550" t="n">
        <v>0</v>
      </c>
      <c r="K1550" t="n">
        <v>0</v>
      </c>
      <c r="L1550" t="n">
        <v>0</v>
      </c>
      <c r="M1550" t="n">
        <v>0</v>
      </c>
      <c r="N1550" t="n">
        <v>0</v>
      </c>
      <c r="O1550" t="n">
        <v>0</v>
      </c>
      <c r="P1550" t="n">
        <v>0</v>
      </c>
      <c r="Q1550" t="n">
        <v>0</v>
      </c>
      <c r="R1550" s="2" t="inlineStr"/>
    </row>
    <row r="1551" ht="15" customHeight="1">
      <c r="A1551" t="inlineStr">
        <is>
          <t>A 25261-2023</t>
        </is>
      </c>
      <c r="B1551" s="1" t="n">
        <v>45086</v>
      </c>
      <c r="C1551" s="1" t="n">
        <v>45822</v>
      </c>
      <c r="D1551" t="inlineStr">
        <is>
          <t>VÄRMLANDS LÄN</t>
        </is>
      </c>
      <c r="E1551" t="inlineStr">
        <is>
          <t>TORSBY</t>
        </is>
      </c>
      <c r="F1551" t="inlineStr">
        <is>
          <t>Bergvik skog väst AB</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25344-2023</t>
        </is>
      </c>
      <c r="B1552" s="1" t="n">
        <v>45087</v>
      </c>
      <c r="C1552" s="1" t="n">
        <v>45822</v>
      </c>
      <c r="D1552" t="inlineStr">
        <is>
          <t>VÄRMLANDS LÄN</t>
        </is>
      </c>
      <c r="E1552" t="inlineStr">
        <is>
          <t>TORSBY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25579-2023</t>
        </is>
      </c>
      <c r="B1553" s="1" t="n">
        <v>45089</v>
      </c>
      <c r="C1553" s="1" t="n">
        <v>45822</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26466-2023</t>
        </is>
      </c>
      <c r="B1554" s="1" t="n">
        <v>45089</v>
      </c>
      <c r="C1554" s="1" t="n">
        <v>45822</v>
      </c>
      <c r="D1554" t="inlineStr">
        <is>
          <t>VÄRMLANDS LÄN</t>
        </is>
      </c>
      <c r="E1554" t="inlineStr">
        <is>
          <t>TORSBY</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26340-2023</t>
        </is>
      </c>
      <c r="B1555" s="1" t="n">
        <v>45091</v>
      </c>
      <c r="C1555" s="1" t="n">
        <v>45822</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26343-2023</t>
        </is>
      </c>
      <c r="B1556" s="1" t="n">
        <v>45091</v>
      </c>
      <c r="C1556" s="1" t="n">
        <v>45822</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26327-2023</t>
        </is>
      </c>
      <c r="B1557" s="1" t="n">
        <v>45091</v>
      </c>
      <c r="C1557" s="1" t="n">
        <v>45822</v>
      </c>
      <c r="D1557" t="inlineStr">
        <is>
          <t>VÄRMLANDS LÄN</t>
        </is>
      </c>
      <c r="E1557" t="inlineStr">
        <is>
          <t>TORSBY</t>
        </is>
      </c>
      <c r="F1557" t="inlineStr">
        <is>
          <t>Bergvik skog väst AB</t>
        </is>
      </c>
      <c r="G1557" t="n">
        <v>33.4</v>
      </c>
      <c r="H1557" t="n">
        <v>0</v>
      </c>
      <c r="I1557" t="n">
        <v>0</v>
      </c>
      <c r="J1557" t="n">
        <v>0</v>
      </c>
      <c r="K1557" t="n">
        <v>0</v>
      </c>
      <c r="L1557" t="n">
        <v>0</v>
      </c>
      <c r="M1557" t="n">
        <v>0</v>
      </c>
      <c r="N1557" t="n">
        <v>0</v>
      </c>
      <c r="O1557" t="n">
        <v>0</v>
      </c>
      <c r="P1557" t="n">
        <v>0</v>
      </c>
      <c r="Q1557" t="n">
        <v>0</v>
      </c>
      <c r="R1557" s="2" t="inlineStr"/>
    </row>
    <row r="1558" ht="15" customHeight="1">
      <c r="A1558" t="inlineStr">
        <is>
          <t>A 26080-2023</t>
        </is>
      </c>
      <c r="B1558" s="1" t="n">
        <v>45091</v>
      </c>
      <c r="C1558" s="1" t="n">
        <v>45822</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26092-2023</t>
        </is>
      </c>
      <c r="B1559" s="1" t="n">
        <v>45091</v>
      </c>
      <c r="C1559" s="1" t="n">
        <v>45822</v>
      </c>
      <c r="D1559" t="inlineStr">
        <is>
          <t>VÄRMLANDS LÄN</t>
        </is>
      </c>
      <c r="E1559" t="inlineStr">
        <is>
          <t>TORSBY</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26979-2023</t>
        </is>
      </c>
      <c r="B1560" s="1" t="n">
        <v>45091</v>
      </c>
      <c r="C1560" s="1" t="n">
        <v>45822</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26376-2023</t>
        </is>
      </c>
      <c r="B1561" s="1" t="n">
        <v>45092</v>
      </c>
      <c r="C1561" s="1" t="n">
        <v>45822</v>
      </c>
      <c r="D1561" t="inlineStr">
        <is>
          <t>VÄRMLANDS LÄN</t>
        </is>
      </c>
      <c r="E1561" t="inlineStr">
        <is>
          <t>TORSBY</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26616-2023</t>
        </is>
      </c>
      <c r="B1562" s="1" t="n">
        <v>45092</v>
      </c>
      <c r="C1562" s="1" t="n">
        <v>45822</v>
      </c>
      <c r="D1562" t="inlineStr">
        <is>
          <t>VÄRMLANDS LÄN</t>
        </is>
      </c>
      <c r="E1562" t="inlineStr">
        <is>
          <t>TORSBY</t>
        </is>
      </c>
      <c r="F1562" t="inlineStr">
        <is>
          <t>Bergvik skog väst AB</t>
        </is>
      </c>
      <c r="G1562" t="n">
        <v>30.3</v>
      </c>
      <c r="H1562" t="n">
        <v>0</v>
      </c>
      <c r="I1562" t="n">
        <v>0</v>
      </c>
      <c r="J1562" t="n">
        <v>0</v>
      </c>
      <c r="K1562" t="n">
        <v>0</v>
      </c>
      <c r="L1562" t="n">
        <v>0</v>
      </c>
      <c r="M1562" t="n">
        <v>0</v>
      </c>
      <c r="N1562" t="n">
        <v>0</v>
      </c>
      <c r="O1562" t="n">
        <v>0</v>
      </c>
      <c r="P1562" t="n">
        <v>0</v>
      </c>
      <c r="Q1562" t="n">
        <v>0</v>
      </c>
      <c r="R1562" s="2" t="inlineStr"/>
    </row>
    <row r="1563" ht="15" customHeight="1">
      <c r="A1563" t="inlineStr">
        <is>
          <t>A 26814-2023</t>
        </is>
      </c>
      <c r="B1563" s="1" t="n">
        <v>45093</v>
      </c>
      <c r="C1563" s="1" t="n">
        <v>45822</v>
      </c>
      <c r="D1563" t="inlineStr">
        <is>
          <t>VÄRMLANDS LÄN</t>
        </is>
      </c>
      <c r="E1563" t="inlineStr">
        <is>
          <t>TORSBY</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26753-2023</t>
        </is>
      </c>
      <c r="B1564" s="1" t="n">
        <v>45093</v>
      </c>
      <c r="C1564" s="1" t="n">
        <v>45822</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26855-2023</t>
        </is>
      </c>
      <c r="B1565" s="1" t="n">
        <v>45093</v>
      </c>
      <c r="C1565" s="1" t="n">
        <v>45822</v>
      </c>
      <c r="D1565" t="inlineStr">
        <is>
          <t>VÄRMLANDS LÄN</t>
        </is>
      </c>
      <c r="E1565" t="inlineStr">
        <is>
          <t>TORSBY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27195-2023</t>
        </is>
      </c>
      <c r="B1566" s="1" t="n">
        <v>45096</v>
      </c>
      <c r="C1566" s="1" t="n">
        <v>45822</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27332-2023</t>
        </is>
      </c>
      <c r="B1567" s="1" t="n">
        <v>45096</v>
      </c>
      <c r="C1567" s="1" t="n">
        <v>45822</v>
      </c>
      <c r="D1567" t="inlineStr">
        <is>
          <t>VÄRMLANDS LÄN</t>
        </is>
      </c>
      <c r="E1567" t="inlineStr">
        <is>
          <t>TORSBY</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27472-2023</t>
        </is>
      </c>
      <c r="B1568" s="1" t="n">
        <v>45097</v>
      </c>
      <c r="C1568" s="1" t="n">
        <v>45822</v>
      </c>
      <c r="D1568" t="inlineStr">
        <is>
          <t>VÄRMLANDS LÄN</t>
        </is>
      </c>
      <c r="E1568" t="inlineStr">
        <is>
          <t>TORSBY</t>
        </is>
      </c>
      <c r="F1568" t="inlineStr">
        <is>
          <t>Övriga Aktiebolag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27594-2023</t>
        </is>
      </c>
      <c r="B1569" s="1" t="n">
        <v>45097</v>
      </c>
      <c r="C1569" s="1" t="n">
        <v>45822</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27458-2023</t>
        </is>
      </c>
      <c r="B1570" s="1" t="n">
        <v>45097</v>
      </c>
      <c r="C1570" s="1" t="n">
        <v>45822</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27787-2023</t>
        </is>
      </c>
      <c r="B1571" s="1" t="n">
        <v>45098</v>
      </c>
      <c r="C1571" s="1" t="n">
        <v>45822</v>
      </c>
      <c r="D1571" t="inlineStr">
        <is>
          <t>VÄRMLANDS LÄN</t>
        </is>
      </c>
      <c r="E1571" t="inlineStr">
        <is>
          <t>TORSBY</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27837-2023</t>
        </is>
      </c>
      <c r="B1572" s="1" t="n">
        <v>45098</v>
      </c>
      <c r="C1572" s="1" t="n">
        <v>45822</v>
      </c>
      <c r="D1572" t="inlineStr">
        <is>
          <t>VÄRMLANDS LÄN</t>
        </is>
      </c>
      <c r="E1572" t="inlineStr">
        <is>
          <t>TORSBY</t>
        </is>
      </c>
      <c r="F1572" t="inlineStr">
        <is>
          <t>Bergvik skog väst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27851-2023</t>
        </is>
      </c>
      <c r="B1573" s="1" t="n">
        <v>45098</v>
      </c>
      <c r="C1573" s="1" t="n">
        <v>45822</v>
      </c>
      <c r="D1573" t="inlineStr">
        <is>
          <t>VÄRMLANDS LÄN</t>
        </is>
      </c>
      <c r="E1573" t="inlineStr">
        <is>
          <t>TORSBY</t>
        </is>
      </c>
      <c r="F1573" t="inlineStr">
        <is>
          <t>Bergvik skog väst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27920-2023</t>
        </is>
      </c>
      <c r="B1574" s="1" t="n">
        <v>45098</v>
      </c>
      <c r="C1574" s="1" t="n">
        <v>45822</v>
      </c>
      <c r="D1574" t="inlineStr">
        <is>
          <t>VÄRMLANDS LÄN</t>
        </is>
      </c>
      <c r="E1574" t="inlineStr">
        <is>
          <t>TORSBY</t>
        </is>
      </c>
      <c r="F1574" t="inlineStr">
        <is>
          <t>Kyrkan</t>
        </is>
      </c>
      <c r="G1574" t="n">
        <v>14.7</v>
      </c>
      <c r="H1574" t="n">
        <v>0</v>
      </c>
      <c r="I1574" t="n">
        <v>0</v>
      </c>
      <c r="J1574" t="n">
        <v>0</v>
      </c>
      <c r="K1574" t="n">
        <v>0</v>
      </c>
      <c r="L1574" t="n">
        <v>0</v>
      </c>
      <c r="M1574" t="n">
        <v>0</v>
      </c>
      <c r="N1574" t="n">
        <v>0</v>
      </c>
      <c r="O1574" t="n">
        <v>0</v>
      </c>
      <c r="P1574" t="n">
        <v>0</v>
      </c>
      <c r="Q1574" t="n">
        <v>0</v>
      </c>
      <c r="R1574" s="2" t="inlineStr"/>
    </row>
    <row r="1575" ht="15" customHeight="1">
      <c r="A1575" t="inlineStr">
        <is>
          <t>A 28045-2023</t>
        </is>
      </c>
      <c r="B1575" s="1" t="n">
        <v>45099</v>
      </c>
      <c r="C1575" s="1" t="n">
        <v>45822</v>
      </c>
      <c r="D1575" t="inlineStr">
        <is>
          <t>VÄRMLANDS LÄN</t>
        </is>
      </c>
      <c r="E1575" t="inlineStr">
        <is>
          <t>TORSBY</t>
        </is>
      </c>
      <c r="F1575" t="inlineStr">
        <is>
          <t>Bergvik skog väst AB</t>
        </is>
      </c>
      <c r="G1575" t="n">
        <v>11.5</v>
      </c>
      <c r="H1575" t="n">
        <v>0</v>
      </c>
      <c r="I1575" t="n">
        <v>0</v>
      </c>
      <c r="J1575" t="n">
        <v>0</v>
      </c>
      <c r="K1575" t="n">
        <v>0</v>
      </c>
      <c r="L1575" t="n">
        <v>0</v>
      </c>
      <c r="M1575" t="n">
        <v>0</v>
      </c>
      <c r="N1575" t="n">
        <v>0</v>
      </c>
      <c r="O1575" t="n">
        <v>0</v>
      </c>
      <c r="P1575" t="n">
        <v>0</v>
      </c>
      <c r="Q1575" t="n">
        <v>0</v>
      </c>
      <c r="R1575" s="2" t="inlineStr"/>
    </row>
    <row r="1576" ht="15" customHeight="1">
      <c r="A1576" t="inlineStr">
        <is>
          <t>A 28074-2023</t>
        </is>
      </c>
      <c r="B1576" s="1" t="n">
        <v>45099</v>
      </c>
      <c r="C1576" s="1" t="n">
        <v>45822</v>
      </c>
      <c r="D1576" t="inlineStr">
        <is>
          <t>VÄRMLANDS LÄN</t>
        </is>
      </c>
      <c r="E1576" t="inlineStr">
        <is>
          <t>TORSBY</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28092-2023</t>
        </is>
      </c>
      <c r="B1577" s="1" t="n">
        <v>45099</v>
      </c>
      <c r="C1577" s="1" t="n">
        <v>45822</v>
      </c>
      <c r="D1577" t="inlineStr">
        <is>
          <t>VÄRMLANDS LÄN</t>
        </is>
      </c>
      <c r="E1577" t="inlineStr">
        <is>
          <t>TORSBY</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28251-2023</t>
        </is>
      </c>
      <c r="B1578" s="1" t="n">
        <v>45099</v>
      </c>
      <c r="C1578" s="1" t="n">
        <v>45822</v>
      </c>
      <c r="D1578" t="inlineStr">
        <is>
          <t>VÄRMLANDS LÄN</t>
        </is>
      </c>
      <c r="E1578" t="inlineStr">
        <is>
          <t>TORSBY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30142-2023</t>
        </is>
      </c>
      <c r="B1579" s="1" t="n">
        <v>45099</v>
      </c>
      <c r="C1579" s="1" t="n">
        <v>45822</v>
      </c>
      <c r="D1579" t="inlineStr">
        <is>
          <t>VÄRMLANDS LÄN</t>
        </is>
      </c>
      <c r="E1579" t="inlineStr">
        <is>
          <t>TORSBY</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30148-2023</t>
        </is>
      </c>
      <c r="B1580" s="1" t="n">
        <v>45099</v>
      </c>
      <c r="C1580" s="1" t="n">
        <v>45822</v>
      </c>
      <c r="D1580" t="inlineStr">
        <is>
          <t>VÄRMLANDS LÄN</t>
        </is>
      </c>
      <c r="E1580" t="inlineStr">
        <is>
          <t>TORSBY</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30151-2023</t>
        </is>
      </c>
      <c r="B1581" s="1" t="n">
        <v>45099</v>
      </c>
      <c r="C1581" s="1" t="n">
        <v>45822</v>
      </c>
      <c r="D1581" t="inlineStr">
        <is>
          <t>VÄRMLANDS LÄN</t>
        </is>
      </c>
      <c r="E1581" t="inlineStr">
        <is>
          <t>TORSBY</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28598-2023</t>
        </is>
      </c>
      <c r="B1582" s="1" t="n">
        <v>45103</v>
      </c>
      <c r="C1582" s="1" t="n">
        <v>45822</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28652-2023</t>
        </is>
      </c>
      <c r="B1583" s="1" t="n">
        <v>45103</v>
      </c>
      <c r="C1583" s="1" t="n">
        <v>45822</v>
      </c>
      <c r="D1583" t="inlineStr">
        <is>
          <t>VÄRMLANDS LÄN</t>
        </is>
      </c>
      <c r="E1583" t="inlineStr">
        <is>
          <t>TORSBY</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28818-2023</t>
        </is>
      </c>
      <c r="B1584" s="1" t="n">
        <v>45104</v>
      </c>
      <c r="C1584" s="1" t="n">
        <v>45822</v>
      </c>
      <c r="D1584" t="inlineStr">
        <is>
          <t>VÄRMLANDS LÄN</t>
        </is>
      </c>
      <c r="E1584" t="inlineStr">
        <is>
          <t>TORSBY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28869-2023</t>
        </is>
      </c>
      <c r="B1585" s="1" t="n">
        <v>45104</v>
      </c>
      <c r="C1585" s="1" t="n">
        <v>45822</v>
      </c>
      <c r="D1585" t="inlineStr">
        <is>
          <t>VÄRMLANDS LÄN</t>
        </is>
      </c>
      <c r="E1585" t="inlineStr">
        <is>
          <t>TORSBY</t>
        </is>
      </c>
      <c r="F1585" t="inlineStr">
        <is>
          <t>Bergvik skog väst AB</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28948-2023</t>
        </is>
      </c>
      <c r="B1586" s="1" t="n">
        <v>45104</v>
      </c>
      <c r="C1586" s="1" t="n">
        <v>45822</v>
      </c>
      <c r="D1586" t="inlineStr">
        <is>
          <t>VÄRMLANDS LÄN</t>
        </is>
      </c>
      <c r="E1586" t="inlineStr">
        <is>
          <t>TORSBY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28814-2023</t>
        </is>
      </c>
      <c r="B1587" s="1" t="n">
        <v>45104</v>
      </c>
      <c r="C1587" s="1" t="n">
        <v>45822</v>
      </c>
      <c r="D1587" t="inlineStr">
        <is>
          <t>VÄRMLANDS LÄN</t>
        </is>
      </c>
      <c r="E1587" t="inlineStr">
        <is>
          <t>TORSBY</t>
        </is>
      </c>
      <c r="G1587" t="n">
        <v>14.3</v>
      </c>
      <c r="H1587" t="n">
        <v>0</v>
      </c>
      <c r="I1587" t="n">
        <v>0</v>
      </c>
      <c r="J1587" t="n">
        <v>0</v>
      </c>
      <c r="K1587" t="n">
        <v>0</v>
      </c>
      <c r="L1587" t="n">
        <v>0</v>
      </c>
      <c r="M1587" t="n">
        <v>0</v>
      </c>
      <c r="N1587" t="n">
        <v>0</v>
      </c>
      <c r="O1587" t="n">
        <v>0</v>
      </c>
      <c r="P1587" t="n">
        <v>0</v>
      </c>
      <c r="Q1587" t="n">
        <v>0</v>
      </c>
      <c r="R1587" s="2" t="inlineStr"/>
    </row>
    <row r="1588" ht="15" customHeight="1">
      <c r="A1588" t="inlineStr">
        <is>
          <t>A 29043-2023</t>
        </is>
      </c>
      <c r="B1588" s="1" t="n">
        <v>45104</v>
      </c>
      <c r="C1588" s="1" t="n">
        <v>45822</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29042-2023</t>
        </is>
      </c>
      <c r="B1589" s="1" t="n">
        <v>45104</v>
      </c>
      <c r="C1589" s="1" t="n">
        <v>45822</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29137-2023</t>
        </is>
      </c>
      <c r="B1590" s="1" t="n">
        <v>45105</v>
      </c>
      <c r="C1590" s="1" t="n">
        <v>45822</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29256-2023</t>
        </is>
      </c>
      <c r="B1591" s="1" t="n">
        <v>45105</v>
      </c>
      <c r="C1591" s="1" t="n">
        <v>45822</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29506-2023</t>
        </is>
      </c>
      <c r="B1592" s="1" t="n">
        <v>45106</v>
      </c>
      <c r="C1592" s="1" t="n">
        <v>45822</v>
      </c>
      <c r="D1592" t="inlineStr">
        <is>
          <t>VÄRMLANDS LÄN</t>
        </is>
      </c>
      <c r="E1592" t="inlineStr">
        <is>
          <t>TORSBY</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29581-2023</t>
        </is>
      </c>
      <c r="B1593" s="1" t="n">
        <v>45106</v>
      </c>
      <c r="C1593" s="1" t="n">
        <v>45822</v>
      </c>
      <c r="D1593" t="inlineStr">
        <is>
          <t>VÄRMLANDS LÄN</t>
        </is>
      </c>
      <c r="E1593" t="inlineStr">
        <is>
          <t>TORSBY</t>
        </is>
      </c>
      <c r="F1593" t="inlineStr">
        <is>
          <t>Bergvik skog väst AB</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29594-2023</t>
        </is>
      </c>
      <c r="B1594" s="1" t="n">
        <v>45107</v>
      </c>
      <c r="C1594" s="1" t="n">
        <v>45822</v>
      </c>
      <c r="D1594" t="inlineStr">
        <is>
          <t>VÄRMLANDS LÄN</t>
        </is>
      </c>
      <c r="E1594" t="inlineStr">
        <is>
          <t>TORSBY</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29545-2023</t>
        </is>
      </c>
      <c r="B1595" s="1" t="n">
        <v>45106</v>
      </c>
      <c r="C1595" s="1" t="n">
        <v>45822</v>
      </c>
      <c r="D1595" t="inlineStr">
        <is>
          <t>VÄRMLANDS LÄN</t>
        </is>
      </c>
      <c r="E1595" t="inlineStr">
        <is>
          <t>TORSBY</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31858-2023</t>
        </is>
      </c>
      <c r="B1596" s="1" t="n">
        <v>45106</v>
      </c>
      <c r="C1596" s="1" t="n">
        <v>45822</v>
      </c>
      <c r="D1596" t="inlineStr">
        <is>
          <t>VÄRMLANDS LÄN</t>
        </is>
      </c>
      <c r="E1596" t="inlineStr">
        <is>
          <t>TORSBY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29792-2023</t>
        </is>
      </c>
      <c r="B1597" s="1" t="n">
        <v>45107</v>
      </c>
      <c r="C1597" s="1" t="n">
        <v>45822</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29796-2023</t>
        </is>
      </c>
      <c r="B1598" s="1" t="n">
        <v>45107</v>
      </c>
      <c r="C1598" s="1" t="n">
        <v>45822</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29795-2023</t>
        </is>
      </c>
      <c r="B1599" s="1" t="n">
        <v>45107</v>
      </c>
      <c r="C1599" s="1" t="n">
        <v>45822</v>
      </c>
      <c r="D1599" t="inlineStr">
        <is>
          <t>VÄRMLANDS LÄN</t>
        </is>
      </c>
      <c r="E1599" t="inlineStr">
        <is>
          <t>TORSBY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31936-2023</t>
        </is>
      </c>
      <c r="B1600" s="1" t="n">
        <v>45107</v>
      </c>
      <c r="C1600" s="1" t="n">
        <v>45822</v>
      </c>
      <c r="D1600" t="inlineStr">
        <is>
          <t>VÄRMLANDS LÄN</t>
        </is>
      </c>
      <c r="E1600" t="inlineStr">
        <is>
          <t>TORSBY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30208-2023</t>
        </is>
      </c>
      <c r="B1601" s="1" t="n">
        <v>45110</v>
      </c>
      <c r="C1601" s="1" t="n">
        <v>45822</v>
      </c>
      <c r="D1601" t="inlineStr">
        <is>
          <t>VÄRMLANDS LÄN</t>
        </is>
      </c>
      <c r="E1601" t="inlineStr">
        <is>
          <t>TORSBY</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30213-2023</t>
        </is>
      </c>
      <c r="B1602" s="1" t="n">
        <v>45110</v>
      </c>
      <c r="C1602" s="1" t="n">
        <v>45822</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30267-2023</t>
        </is>
      </c>
      <c r="B1603" s="1" t="n">
        <v>45110</v>
      </c>
      <c r="C1603" s="1" t="n">
        <v>45822</v>
      </c>
      <c r="D1603" t="inlineStr">
        <is>
          <t>VÄRMLANDS LÄN</t>
        </is>
      </c>
      <c r="E1603" t="inlineStr">
        <is>
          <t>TORSBY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30104-2023</t>
        </is>
      </c>
      <c r="B1604" s="1" t="n">
        <v>45110</v>
      </c>
      <c r="C1604" s="1" t="n">
        <v>45822</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32332-2023</t>
        </is>
      </c>
      <c r="B1605" s="1" t="n">
        <v>45110</v>
      </c>
      <c r="C1605" s="1" t="n">
        <v>45822</v>
      </c>
      <c r="D1605" t="inlineStr">
        <is>
          <t>VÄRMLANDS LÄN</t>
        </is>
      </c>
      <c r="E1605" t="inlineStr">
        <is>
          <t>TORSBY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30160-2023</t>
        </is>
      </c>
      <c r="B1606" s="1" t="n">
        <v>45110</v>
      </c>
      <c r="C1606" s="1" t="n">
        <v>45822</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30269-2023</t>
        </is>
      </c>
      <c r="B1607" s="1" t="n">
        <v>45110</v>
      </c>
      <c r="C1607" s="1" t="n">
        <v>45822</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30110-2023</t>
        </is>
      </c>
      <c r="B1608" s="1" t="n">
        <v>45110</v>
      </c>
      <c r="C1608" s="1" t="n">
        <v>45822</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30530-2023</t>
        </is>
      </c>
      <c r="B1609" s="1" t="n">
        <v>45111</v>
      </c>
      <c r="C1609" s="1" t="n">
        <v>45822</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30455-2023</t>
        </is>
      </c>
      <c r="B1610" s="1" t="n">
        <v>45111</v>
      </c>
      <c r="C1610" s="1" t="n">
        <v>45822</v>
      </c>
      <c r="D1610" t="inlineStr">
        <is>
          <t>VÄRMLANDS LÄN</t>
        </is>
      </c>
      <c r="E1610" t="inlineStr">
        <is>
          <t>TORSBY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30370-2023</t>
        </is>
      </c>
      <c r="B1611" s="1" t="n">
        <v>45111</v>
      </c>
      <c r="C1611" s="1" t="n">
        <v>45822</v>
      </c>
      <c r="D1611" t="inlineStr">
        <is>
          <t>VÄRMLANDS LÄN</t>
        </is>
      </c>
      <c r="E1611" t="inlineStr">
        <is>
          <t>TORSBY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30531-2023</t>
        </is>
      </c>
      <c r="B1612" s="1" t="n">
        <v>45111</v>
      </c>
      <c r="C1612" s="1" t="n">
        <v>45822</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30344-2023</t>
        </is>
      </c>
      <c r="B1613" s="1" t="n">
        <v>45111</v>
      </c>
      <c r="C1613" s="1" t="n">
        <v>45822</v>
      </c>
      <c r="D1613" t="inlineStr">
        <is>
          <t>VÄRMLANDS LÄN</t>
        </is>
      </c>
      <c r="E1613" t="inlineStr">
        <is>
          <t>TORSBY</t>
        </is>
      </c>
      <c r="F1613" t="inlineStr">
        <is>
          <t>Bergvik skog väst AB</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30670-2023</t>
        </is>
      </c>
      <c r="B1614" s="1" t="n">
        <v>45112</v>
      </c>
      <c r="C1614" s="1" t="n">
        <v>45822</v>
      </c>
      <c r="D1614" t="inlineStr">
        <is>
          <t>VÄRMLANDS LÄN</t>
        </is>
      </c>
      <c r="E1614" t="inlineStr">
        <is>
          <t>TORSBY</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30624-2023</t>
        </is>
      </c>
      <c r="B1615" s="1" t="n">
        <v>45112</v>
      </c>
      <c r="C1615" s="1" t="n">
        <v>45822</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30741-2023</t>
        </is>
      </c>
      <c r="B1616" s="1" t="n">
        <v>45112</v>
      </c>
      <c r="C1616" s="1" t="n">
        <v>45822</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31052-2023</t>
        </is>
      </c>
      <c r="B1617" s="1" t="n">
        <v>45113</v>
      </c>
      <c r="C1617" s="1" t="n">
        <v>45822</v>
      </c>
      <c r="D1617" t="inlineStr">
        <is>
          <t>VÄRMLANDS LÄN</t>
        </is>
      </c>
      <c r="E1617" t="inlineStr">
        <is>
          <t>TORSBY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31112-2023</t>
        </is>
      </c>
      <c r="B1618" s="1" t="n">
        <v>45113</v>
      </c>
      <c r="C1618" s="1" t="n">
        <v>45822</v>
      </c>
      <c r="D1618" t="inlineStr">
        <is>
          <t>VÄRMLANDS LÄN</t>
        </is>
      </c>
      <c r="E1618" t="inlineStr">
        <is>
          <t>TORSBY</t>
        </is>
      </c>
      <c r="F1618" t="inlineStr">
        <is>
          <t>Bergvik skog väst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31465-2023</t>
        </is>
      </c>
      <c r="B1619" s="1" t="n">
        <v>45114</v>
      </c>
      <c r="C1619" s="1" t="n">
        <v>45822</v>
      </c>
      <c r="D1619" t="inlineStr">
        <is>
          <t>VÄRMLANDS LÄN</t>
        </is>
      </c>
      <c r="E1619" t="inlineStr">
        <is>
          <t>TORSBY</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31547-2023</t>
        </is>
      </c>
      <c r="B1620" s="1" t="n">
        <v>45117</v>
      </c>
      <c r="C1620" s="1" t="n">
        <v>45822</v>
      </c>
      <c r="D1620" t="inlineStr">
        <is>
          <t>VÄRMLANDS LÄN</t>
        </is>
      </c>
      <c r="E1620" t="inlineStr">
        <is>
          <t>TORSBY</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31548-2023</t>
        </is>
      </c>
      <c r="B1621" s="1" t="n">
        <v>45117</v>
      </c>
      <c r="C1621" s="1" t="n">
        <v>45822</v>
      </c>
      <c r="D1621" t="inlineStr">
        <is>
          <t>VÄRMLANDS LÄN</t>
        </is>
      </c>
      <c r="E1621" t="inlineStr">
        <is>
          <t>TORSBY</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33741-2023</t>
        </is>
      </c>
      <c r="B1622" s="1" t="n">
        <v>45119</v>
      </c>
      <c r="C1622" s="1" t="n">
        <v>45822</v>
      </c>
      <c r="D1622" t="inlineStr">
        <is>
          <t>VÄRMLANDS LÄN</t>
        </is>
      </c>
      <c r="E1622" t="inlineStr">
        <is>
          <t>TORSBY</t>
        </is>
      </c>
      <c r="F1622" t="inlineStr">
        <is>
          <t>Övriga Aktiebolag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33738-2023</t>
        </is>
      </c>
      <c r="B1623" s="1" t="n">
        <v>45119</v>
      </c>
      <c r="C1623" s="1" t="n">
        <v>45822</v>
      </c>
      <c r="D1623" t="inlineStr">
        <is>
          <t>VÄRMLANDS LÄN</t>
        </is>
      </c>
      <c r="E1623" t="inlineStr">
        <is>
          <t>TORSBY</t>
        </is>
      </c>
      <c r="F1623" t="inlineStr">
        <is>
          <t>Övriga Aktiebolag</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33740-2023</t>
        </is>
      </c>
      <c r="B1624" s="1" t="n">
        <v>45119</v>
      </c>
      <c r="C1624" s="1" t="n">
        <v>45822</v>
      </c>
      <c r="D1624" t="inlineStr">
        <is>
          <t>VÄRMLANDS LÄN</t>
        </is>
      </c>
      <c r="E1624" t="inlineStr">
        <is>
          <t>TORSBY</t>
        </is>
      </c>
      <c r="F1624" t="inlineStr">
        <is>
          <t>Övriga Aktiebolag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33782-2023</t>
        </is>
      </c>
      <c r="B1625" s="1" t="n">
        <v>45120</v>
      </c>
      <c r="C1625" s="1" t="n">
        <v>45822</v>
      </c>
      <c r="D1625" t="inlineStr">
        <is>
          <t>VÄRMLANDS LÄN</t>
        </is>
      </c>
      <c r="E1625" t="inlineStr">
        <is>
          <t>TORSBY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32576-2023</t>
        </is>
      </c>
      <c r="B1626" s="1" t="n">
        <v>45121</v>
      </c>
      <c r="C1626" s="1" t="n">
        <v>45822</v>
      </c>
      <c r="D1626" t="inlineStr">
        <is>
          <t>VÄRMLANDS LÄN</t>
        </is>
      </c>
      <c r="E1626" t="inlineStr">
        <is>
          <t>TORSBY</t>
        </is>
      </c>
      <c r="F1626" t="inlineStr">
        <is>
          <t>Bergvik skog väst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32584-2023</t>
        </is>
      </c>
      <c r="B1627" s="1" t="n">
        <v>45121</v>
      </c>
      <c r="C1627" s="1" t="n">
        <v>45822</v>
      </c>
      <c r="D1627" t="inlineStr">
        <is>
          <t>VÄRMLANDS LÄN</t>
        </is>
      </c>
      <c r="E1627" t="inlineStr">
        <is>
          <t>TORSBY</t>
        </is>
      </c>
      <c r="F1627" t="inlineStr">
        <is>
          <t>Bergvik skog väst AB</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32805-2023</t>
        </is>
      </c>
      <c r="B1628" s="1" t="n">
        <v>45124</v>
      </c>
      <c r="C1628" s="1" t="n">
        <v>45822</v>
      </c>
      <c r="D1628" t="inlineStr">
        <is>
          <t>VÄRMLANDS LÄN</t>
        </is>
      </c>
      <c r="E1628" t="inlineStr">
        <is>
          <t>TORSBY</t>
        </is>
      </c>
      <c r="F1628" t="inlineStr">
        <is>
          <t>Bergvik skog väst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32819-2023</t>
        </is>
      </c>
      <c r="B1629" s="1" t="n">
        <v>45124</v>
      </c>
      <c r="C1629" s="1" t="n">
        <v>45822</v>
      </c>
      <c r="D1629" t="inlineStr">
        <is>
          <t>VÄRMLANDS LÄN</t>
        </is>
      </c>
      <c r="E1629" t="inlineStr">
        <is>
          <t>TORSBY</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32787-2023</t>
        </is>
      </c>
      <c r="B1630" s="1" t="n">
        <v>45124</v>
      </c>
      <c r="C1630" s="1" t="n">
        <v>45822</v>
      </c>
      <c r="D1630" t="inlineStr">
        <is>
          <t>VÄRMLANDS LÄN</t>
        </is>
      </c>
      <c r="E1630" t="inlineStr">
        <is>
          <t>TORSBY</t>
        </is>
      </c>
      <c r="F1630" t="inlineStr">
        <is>
          <t>Bergvik skog väst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32815-2023</t>
        </is>
      </c>
      <c r="B1631" s="1" t="n">
        <v>45124</v>
      </c>
      <c r="C1631" s="1" t="n">
        <v>45822</v>
      </c>
      <c r="D1631" t="inlineStr">
        <is>
          <t>VÄRMLANDS LÄN</t>
        </is>
      </c>
      <c r="E1631" t="inlineStr">
        <is>
          <t>TORSBY</t>
        </is>
      </c>
      <c r="F1631" t="inlineStr">
        <is>
          <t>Bergvik skog väst AB</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33758-2023</t>
        </is>
      </c>
      <c r="B1632" s="1" t="n">
        <v>45125</v>
      </c>
      <c r="C1632" s="1" t="n">
        <v>45822</v>
      </c>
      <c r="D1632" t="inlineStr">
        <is>
          <t>VÄRMLANDS LÄN</t>
        </is>
      </c>
      <c r="E1632" t="inlineStr">
        <is>
          <t>TORSBY</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33072-2023</t>
        </is>
      </c>
      <c r="B1633" s="1" t="n">
        <v>45126</v>
      </c>
      <c r="C1633" s="1" t="n">
        <v>45822</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34097-2023</t>
        </is>
      </c>
      <c r="B1634" s="1" t="n">
        <v>45126</v>
      </c>
      <c r="C1634" s="1" t="n">
        <v>45822</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34104-2023</t>
        </is>
      </c>
      <c r="B1635" s="1" t="n">
        <v>45126</v>
      </c>
      <c r="C1635" s="1" t="n">
        <v>45822</v>
      </c>
      <c r="D1635" t="inlineStr">
        <is>
          <t>VÄRMLANDS LÄN</t>
        </is>
      </c>
      <c r="E1635" t="inlineStr">
        <is>
          <t>TORSBY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34105-2023</t>
        </is>
      </c>
      <c r="B1636" s="1" t="n">
        <v>45126</v>
      </c>
      <c r="C1636" s="1" t="n">
        <v>45822</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33263-2023</t>
        </is>
      </c>
      <c r="B1637" s="1" t="n">
        <v>45127</v>
      </c>
      <c r="C1637" s="1" t="n">
        <v>45822</v>
      </c>
      <c r="D1637" t="inlineStr">
        <is>
          <t>VÄRMLANDS LÄN</t>
        </is>
      </c>
      <c r="E1637" t="inlineStr">
        <is>
          <t>TORSBY</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33249-2023</t>
        </is>
      </c>
      <c r="B1638" s="1" t="n">
        <v>45127</v>
      </c>
      <c r="C1638" s="1" t="n">
        <v>45822</v>
      </c>
      <c r="D1638" t="inlineStr">
        <is>
          <t>VÄRMLANDS LÄN</t>
        </is>
      </c>
      <c r="E1638" t="inlineStr">
        <is>
          <t>TORSBY</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33253-2023</t>
        </is>
      </c>
      <c r="B1639" s="1" t="n">
        <v>45127</v>
      </c>
      <c r="C1639" s="1" t="n">
        <v>45822</v>
      </c>
      <c r="D1639" t="inlineStr">
        <is>
          <t>VÄRMLANDS LÄN</t>
        </is>
      </c>
      <c r="E1639" t="inlineStr">
        <is>
          <t>TORSBY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33264-2023</t>
        </is>
      </c>
      <c r="B1640" s="1" t="n">
        <v>45127</v>
      </c>
      <c r="C1640" s="1" t="n">
        <v>45822</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33268-2023</t>
        </is>
      </c>
      <c r="B1641" s="1" t="n">
        <v>45127</v>
      </c>
      <c r="C1641" s="1" t="n">
        <v>45822</v>
      </c>
      <c r="D1641" t="inlineStr">
        <is>
          <t>VÄRMLANDS LÄN</t>
        </is>
      </c>
      <c r="E1641" t="inlineStr">
        <is>
          <t>TORSBY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33574-2023</t>
        </is>
      </c>
      <c r="B1642" s="1" t="n">
        <v>45131</v>
      </c>
      <c r="C1642" s="1" t="n">
        <v>45822</v>
      </c>
      <c r="D1642" t="inlineStr">
        <is>
          <t>VÄRMLANDS LÄN</t>
        </is>
      </c>
      <c r="E1642" t="inlineStr">
        <is>
          <t>TORSBY</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33645-2023</t>
        </is>
      </c>
      <c r="B1643" s="1" t="n">
        <v>45132</v>
      </c>
      <c r="C1643" s="1" t="n">
        <v>45822</v>
      </c>
      <c r="D1643" t="inlineStr">
        <is>
          <t>VÄRMLANDS LÄN</t>
        </is>
      </c>
      <c r="E1643" t="inlineStr">
        <is>
          <t>TORSBY</t>
        </is>
      </c>
      <c r="F1643" t="inlineStr">
        <is>
          <t>Bergvik skog väst AB</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33656-2023</t>
        </is>
      </c>
      <c r="B1644" s="1" t="n">
        <v>45132</v>
      </c>
      <c r="C1644" s="1" t="n">
        <v>45822</v>
      </c>
      <c r="D1644" t="inlineStr">
        <is>
          <t>VÄRMLANDS LÄN</t>
        </is>
      </c>
      <c r="E1644" t="inlineStr">
        <is>
          <t>TORSBY</t>
        </is>
      </c>
      <c r="F1644" t="inlineStr">
        <is>
          <t>Bergvik skog väst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33813-2023</t>
        </is>
      </c>
      <c r="B1645" s="1" t="n">
        <v>45133</v>
      </c>
      <c r="C1645" s="1" t="n">
        <v>45822</v>
      </c>
      <c r="D1645" t="inlineStr">
        <is>
          <t>VÄRMLANDS LÄN</t>
        </is>
      </c>
      <c r="E1645" t="inlineStr">
        <is>
          <t>TORSBY</t>
        </is>
      </c>
      <c r="F1645" t="inlineStr">
        <is>
          <t>Bergvik skog väst AB</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33839-2023</t>
        </is>
      </c>
      <c r="B1646" s="1" t="n">
        <v>45133</v>
      </c>
      <c r="C1646" s="1" t="n">
        <v>45822</v>
      </c>
      <c r="D1646" t="inlineStr">
        <is>
          <t>VÄRMLANDS LÄN</t>
        </is>
      </c>
      <c r="E1646" t="inlineStr">
        <is>
          <t>TORSBY</t>
        </is>
      </c>
      <c r="F1646" t="inlineStr">
        <is>
          <t>Bergvik skog väst AB</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33848-2023</t>
        </is>
      </c>
      <c r="B1647" s="1" t="n">
        <v>45133</v>
      </c>
      <c r="C1647" s="1" t="n">
        <v>45822</v>
      </c>
      <c r="D1647" t="inlineStr">
        <is>
          <t>VÄRMLANDS LÄN</t>
        </is>
      </c>
      <c r="E1647" t="inlineStr">
        <is>
          <t>TORSBY</t>
        </is>
      </c>
      <c r="F1647" t="inlineStr">
        <is>
          <t>Bergvik skog väst AB</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34405-2023</t>
        </is>
      </c>
      <c r="B1648" s="1" t="n">
        <v>45139</v>
      </c>
      <c r="C1648" s="1" t="n">
        <v>45822</v>
      </c>
      <c r="D1648" t="inlineStr">
        <is>
          <t>VÄRMLANDS LÄN</t>
        </is>
      </c>
      <c r="E1648" t="inlineStr">
        <is>
          <t>TORSBY</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34427-2023</t>
        </is>
      </c>
      <c r="B1649" s="1" t="n">
        <v>45139</v>
      </c>
      <c r="C1649" s="1" t="n">
        <v>45822</v>
      </c>
      <c r="D1649" t="inlineStr">
        <is>
          <t>VÄRMLANDS LÄN</t>
        </is>
      </c>
      <c r="E1649" t="inlineStr">
        <is>
          <t>TORSBY</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34469-2023</t>
        </is>
      </c>
      <c r="B1650" s="1" t="n">
        <v>45139</v>
      </c>
      <c r="C1650" s="1" t="n">
        <v>45822</v>
      </c>
      <c r="D1650" t="inlineStr">
        <is>
          <t>VÄRMLANDS LÄN</t>
        </is>
      </c>
      <c r="E1650" t="inlineStr">
        <is>
          <t>TORSBY</t>
        </is>
      </c>
      <c r="F1650" t="inlineStr">
        <is>
          <t>Bergvik skog väst AB</t>
        </is>
      </c>
      <c r="G1650" t="n">
        <v>13.2</v>
      </c>
      <c r="H1650" t="n">
        <v>0</v>
      </c>
      <c r="I1650" t="n">
        <v>0</v>
      </c>
      <c r="J1650" t="n">
        <v>0</v>
      </c>
      <c r="K1650" t="n">
        <v>0</v>
      </c>
      <c r="L1650" t="n">
        <v>0</v>
      </c>
      <c r="M1650" t="n">
        <v>0</v>
      </c>
      <c r="N1650" t="n">
        <v>0</v>
      </c>
      <c r="O1650" t="n">
        <v>0</v>
      </c>
      <c r="P1650" t="n">
        <v>0</v>
      </c>
      <c r="Q1650" t="n">
        <v>0</v>
      </c>
      <c r="R1650" s="2" t="inlineStr"/>
    </row>
    <row r="1651" ht="15" customHeight="1">
      <c r="A1651" t="inlineStr">
        <is>
          <t>A 34430-2023</t>
        </is>
      </c>
      <c r="B1651" s="1" t="n">
        <v>45139</v>
      </c>
      <c r="C1651" s="1" t="n">
        <v>45822</v>
      </c>
      <c r="D1651" t="inlineStr">
        <is>
          <t>VÄRMLANDS LÄN</t>
        </is>
      </c>
      <c r="E1651" t="inlineStr">
        <is>
          <t>TORSBY</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34658-2023</t>
        </is>
      </c>
      <c r="B1652" s="1" t="n">
        <v>45140</v>
      </c>
      <c r="C1652" s="1" t="n">
        <v>45822</v>
      </c>
      <c r="D1652" t="inlineStr">
        <is>
          <t>VÄRMLANDS LÄN</t>
        </is>
      </c>
      <c r="E1652" t="inlineStr">
        <is>
          <t>TORSBY</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34955-2023</t>
        </is>
      </c>
      <c r="B1653" s="1" t="n">
        <v>45142</v>
      </c>
      <c r="C1653" s="1" t="n">
        <v>45822</v>
      </c>
      <c r="D1653" t="inlineStr">
        <is>
          <t>VÄRMLANDS LÄN</t>
        </is>
      </c>
      <c r="E1653" t="inlineStr">
        <is>
          <t>TORSBY</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35055-2023</t>
        </is>
      </c>
      <c r="B1654" s="1" t="n">
        <v>45145</v>
      </c>
      <c r="C1654" s="1" t="n">
        <v>45822</v>
      </c>
      <c r="D1654" t="inlineStr">
        <is>
          <t>VÄRMLANDS LÄN</t>
        </is>
      </c>
      <c r="E1654" t="inlineStr">
        <is>
          <t>TORSBY</t>
        </is>
      </c>
      <c r="F1654" t="inlineStr">
        <is>
          <t>Bergvik skog väst AB</t>
        </is>
      </c>
      <c r="G1654" t="n">
        <v>16.4</v>
      </c>
      <c r="H1654" t="n">
        <v>0</v>
      </c>
      <c r="I1654" t="n">
        <v>0</v>
      </c>
      <c r="J1654" t="n">
        <v>0</v>
      </c>
      <c r="K1654" t="n">
        <v>0</v>
      </c>
      <c r="L1654" t="n">
        <v>0</v>
      </c>
      <c r="M1654" t="n">
        <v>0</v>
      </c>
      <c r="N1654" t="n">
        <v>0</v>
      </c>
      <c r="O1654" t="n">
        <v>0</v>
      </c>
      <c r="P1654" t="n">
        <v>0</v>
      </c>
      <c r="Q1654" t="n">
        <v>0</v>
      </c>
      <c r="R1654" s="2" t="inlineStr"/>
    </row>
    <row r="1655" ht="15" customHeight="1">
      <c r="A1655" t="inlineStr">
        <is>
          <t>A 35057-2023</t>
        </is>
      </c>
      <c r="B1655" s="1" t="n">
        <v>45145</v>
      </c>
      <c r="C1655" s="1" t="n">
        <v>45822</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35186-2023</t>
        </is>
      </c>
      <c r="B1656" s="1" t="n">
        <v>45145</v>
      </c>
      <c r="C1656" s="1" t="n">
        <v>45822</v>
      </c>
      <c r="D1656" t="inlineStr">
        <is>
          <t>VÄRMLANDS LÄN</t>
        </is>
      </c>
      <c r="E1656" t="inlineStr">
        <is>
          <t>TORSBY</t>
        </is>
      </c>
      <c r="F1656" t="inlineStr">
        <is>
          <t>Bergvik skog väst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35115-2023</t>
        </is>
      </c>
      <c r="B1657" s="1" t="n">
        <v>45145</v>
      </c>
      <c r="C1657" s="1" t="n">
        <v>45822</v>
      </c>
      <c r="D1657" t="inlineStr">
        <is>
          <t>VÄRMLANDS LÄN</t>
        </is>
      </c>
      <c r="E1657" t="inlineStr">
        <is>
          <t>TORSBY</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35120-2023</t>
        </is>
      </c>
      <c r="B1658" s="1" t="n">
        <v>45145</v>
      </c>
      <c r="C1658" s="1" t="n">
        <v>45822</v>
      </c>
      <c r="D1658" t="inlineStr">
        <is>
          <t>VÄRMLANDS LÄN</t>
        </is>
      </c>
      <c r="E1658" t="inlineStr">
        <is>
          <t>TORSBY</t>
        </is>
      </c>
      <c r="G1658" t="n">
        <v>16.9</v>
      </c>
      <c r="H1658" t="n">
        <v>0</v>
      </c>
      <c r="I1658" t="n">
        <v>0</v>
      </c>
      <c r="J1658" t="n">
        <v>0</v>
      </c>
      <c r="K1658" t="n">
        <v>0</v>
      </c>
      <c r="L1658" t="n">
        <v>0</v>
      </c>
      <c r="M1658" t="n">
        <v>0</v>
      </c>
      <c r="N1658" t="n">
        <v>0</v>
      </c>
      <c r="O1658" t="n">
        <v>0</v>
      </c>
      <c r="P1658" t="n">
        <v>0</v>
      </c>
      <c r="Q1658" t="n">
        <v>0</v>
      </c>
      <c r="R1658" s="2" t="inlineStr"/>
    </row>
    <row r="1659" ht="15" customHeight="1">
      <c r="A1659" t="inlineStr">
        <is>
          <t>A 35415-2023</t>
        </is>
      </c>
      <c r="B1659" s="1" t="n">
        <v>45146</v>
      </c>
      <c r="C1659" s="1" t="n">
        <v>45822</v>
      </c>
      <c r="D1659" t="inlineStr">
        <is>
          <t>VÄRMLANDS LÄN</t>
        </is>
      </c>
      <c r="E1659" t="inlineStr">
        <is>
          <t>TORSBY</t>
        </is>
      </c>
      <c r="F1659" t="inlineStr">
        <is>
          <t>Bergvik skog väst AB</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35629-2023</t>
        </is>
      </c>
      <c r="B1660" s="1" t="n">
        <v>45147</v>
      </c>
      <c r="C1660" s="1" t="n">
        <v>45822</v>
      </c>
      <c r="D1660" t="inlineStr">
        <is>
          <t>VÄRMLANDS LÄN</t>
        </is>
      </c>
      <c r="E1660" t="inlineStr">
        <is>
          <t>TORSBY</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35674-2023</t>
        </is>
      </c>
      <c r="B1661" s="1" t="n">
        <v>45147</v>
      </c>
      <c r="C1661" s="1" t="n">
        <v>45822</v>
      </c>
      <c r="D1661" t="inlineStr">
        <is>
          <t>VÄRMLANDS LÄN</t>
        </is>
      </c>
      <c r="E1661" t="inlineStr">
        <is>
          <t>TORSBY</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35553-2023</t>
        </is>
      </c>
      <c r="B1662" s="1" t="n">
        <v>45147</v>
      </c>
      <c r="C1662" s="1" t="n">
        <v>45822</v>
      </c>
      <c r="D1662" t="inlineStr">
        <is>
          <t>VÄRMLANDS LÄN</t>
        </is>
      </c>
      <c r="E1662" t="inlineStr">
        <is>
          <t>TORSBY</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35934-2023</t>
        </is>
      </c>
      <c r="B1663" s="1" t="n">
        <v>45148</v>
      </c>
      <c r="C1663" s="1" t="n">
        <v>45822</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35938-2023</t>
        </is>
      </c>
      <c r="B1664" s="1" t="n">
        <v>45148</v>
      </c>
      <c r="C1664" s="1" t="n">
        <v>45822</v>
      </c>
      <c r="D1664" t="inlineStr">
        <is>
          <t>VÄRMLANDS LÄN</t>
        </is>
      </c>
      <c r="E1664" t="inlineStr">
        <is>
          <t>TORSBY</t>
        </is>
      </c>
      <c r="F1664" t="inlineStr">
        <is>
          <t>Bergvik skog väst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36043-2023</t>
        </is>
      </c>
      <c r="B1665" s="1" t="n">
        <v>45148</v>
      </c>
      <c r="C1665" s="1" t="n">
        <v>45822</v>
      </c>
      <c r="D1665" t="inlineStr">
        <is>
          <t>VÄRMLANDS LÄN</t>
        </is>
      </c>
      <c r="E1665" t="inlineStr">
        <is>
          <t>TORSBY</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36050-2023</t>
        </is>
      </c>
      <c r="B1666" s="1" t="n">
        <v>45149</v>
      </c>
      <c r="C1666" s="1" t="n">
        <v>45822</v>
      </c>
      <c r="D1666" t="inlineStr">
        <is>
          <t>VÄRMLANDS LÄN</t>
        </is>
      </c>
      <c r="E1666" t="inlineStr">
        <is>
          <t>TORSBY</t>
        </is>
      </c>
      <c r="F1666" t="inlineStr">
        <is>
          <t>Kommuner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36062-2023</t>
        </is>
      </c>
      <c r="B1667" s="1" t="n">
        <v>45149</v>
      </c>
      <c r="C1667" s="1" t="n">
        <v>45822</v>
      </c>
      <c r="D1667" t="inlineStr">
        <is>
          <t>VÄRMLANDS LÄN</t>
        </is>
      </c>
      <c r="E1667" t="inlineStr">
        <is>
          <t>TORSBY</t>
        </is>
      </c>
      <c r="F1667" t="inlineStr">
        <is>
          <t>Bergvik skog väst AB</t>
        </is>
      </c>
      <c r="G1667" t="n">
        <v>21.3</v>
      </c>
      <c r="H1667" t="n">
        <v>0</v>
      </c>
      <c r="I1667" t="n">
        <v>0</v>
      </c>
      <c r="J1667" t="n">
        <v>0</v>
      </c>
      <c r="K1667" t="n">
        <v>0</v>
      </c>
      <c r="L1667" t="n">
        <v>0</v>
      </c>
      <c r="M1667" t="n">
        <v>0</v>
      </c>
      <c r="N1667" t="n">
        <v>0</v>
      </c>
      <c r="O1667" t="n">
        <v>0</v>
      </c>
      <c r="P1667" t="n">
        <v>0</v>
      </c>
      <c r="Q1667" t="n">
        <v>0</v>
      </c>
      <c r="R1667" s="2" t="inlineStr"/>
    </row>
    <row r="1668" ht="15" customHeight="1">
      <c r="A1668" t="inlineStr">
        <is>
          <t>A 36239-2023</t>
        </is>
      </c>
      <c r="B1668" s="1" t="n">
        <v>45150</v>
      </c>
      <c r="C1668" s="1" t="n">
        <v>45822</v>
      </c>
      <c r="D1668" t="inlineStr">
        <is>
          <t>VÄRMLANDS LÄN</t>
        </is>
      </c>
      <c r="E1668" t="inlineStr">
        <is>
          <t>TORSBY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36462-2023</t>
        </is>
      </c>
      <c r="B1669" s="1" t="n">
        <v>45152</v>
      </c>
      <c r="C1669" s="1" t="n">
        <v>45822</v>
      </c>
      <c r="D1669" t="inlineStr">
        <is>
          <t>VÄRMLANDS LÄN</t>
        </is>
      </c>
      <c r="E1669" t="inlineStr">
        <is>
          <t>TORSBY</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36582-2023</t>
        </is>
      </c>
      <c r="B1670" s="1" t="n">
        <v>45153</v>
      </c>
      <c r="C1670" s="1" t="n">
        <v>45822</v>
      </c>
      <c r="D1670" t="inlineStr">
        <is>
          <t>VÄRMLANDS LÄN</t>
        </is>
      </c>
      <c r="E1670" t="inlineStr">
        <is>
          <t>TORSBY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36598-2023</t>
        </is>
      </c>
      <c r="B1671" s="1" t="n">
        <v>45153</v>
      </c>
      <c r="C1671" s="1" t="n">
        <v>45822</v>
      </c>
      <c r="D1671" t="inlineStr">
        <is>
          <t>VÄRMLANDS LÄN</t>
        </is>
      </c>
      <c r="E1671" t="inlineStr">
        <is>
          <t>TORSBY</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36552-2023</t>
        </is>
      </c>
      <c r="B1672" s="1" t="n">
        <v>45153</v>
      </c>
      <c r="C1672" s="1" t="n">
        <v>45822</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36674-2023</t>
        </is>
      </c>
      <c r="B1673" s="1" t="n">
        <v>45153</v>
      </c>
      <c r="C1673" s="1" t="n">
        <v>45822</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36736-2023</t>
        </is>
      </c>
      <c r="B1674" s="1" t="n">
        <v>45153</v>
      </c>
      <c r="C1674" s="1" t="n">
        <v>45822</v>
      </c>
      <c r="D1674" t="inlineStr">
        <is>
          <t>VÄRMLANDS LÄN</t>
        </is>
      </c>
      <c r="E1674" t="inlineStr">
        <is>
          <t>TORSBY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36729-2023</t>
        </is>
      </c>
      <c r="B1675" s="1" t="n">
        <v>45153</v>
      </c>
      <c r="C1675" s="1" t="n">
        <v>45822</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36827-2023</t>
        </is>
      </c>
      <c r="B1676" s="1" t="n">
        <v>45154</v>
      </c>
      <c r="C1676" s="1" t="n">
        <v>45822</v>
      </c>
      <c r="D1676" t="inlineStr">
        <is>
          <t>VÄRMLANDS LÄN</t>
        </is>
      </c>
      <c r="E1676" t="inlineStr">
        <is>
          <t>TORSBY</t>
        </is>
      </c>
      <c r="F1676" t="inlineStr">
        <is>
          <t>Bergvik skog väst AB</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36897-2023</t>
        </is>
      </c>
      <c r="B1677" s="1" t="n">
        <v>45154</v>
      </c>
      <c r="C1677" s="1" t="n">
        <v>45822</v>
      </c>
      <c r="D1677" t="inlineStr">
        <is>
          <t>VÄRMLANDS LÄN</t>
        </is>
      </c>
      <c r="E1677" t="inlineStr">
        <is>
          <t>TORSBY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36947-2023</t>
        </is>
      </c>
      <c r="B1678" s="1" t="n">
        <v>45154</v>
      </c>
      <c r="C1678" s="1" t="n">
        <v>45822</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37081-2023</t>
        </is>
      </c>
      <c r="B1679" s="1" t="n">
        <v>45155</v>
      </c>
      <c r="C1679" s="1" t="n">
        <v>45822</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37188-2023</t>
        </is>
      </c>
      <c r="B1680" s="1" t="n">
        <v>45155</v>
      </c>
      <c r="C1680" s="1" t="n">
        <v>45822</v>
      </c>
      <c r="D1680" t="inlineStr">
        <is>
          <t>VÄRMLANDS LÄN</t>
        </is>
      </c>
      <c r="E1680" t="inlineStr">
        <is>
          <t>TORSBY</t>
        </is>
      </c>
      <c r="F1680" t="inlineStr">
        <is>
          <t>Bergvik skog väst AB</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37346-2023</t>
        </is>
      </c>
      <c r="B1681" s="1" t="n">
        <v>45156</v>
      </c>
      <c r="C1681" s="1" t="n">
        <v>45822</v>
      </c>
      <c r="D1681" t="inlineStr">
        <is>
          <t>VÄRMLANDS LÄN</t>
        </is>
      </c>
      <c r="E1681" t="inlineStr">
        <is>
          <t>TORSBY</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37357-2023</t>
        </is>
      </c>
      <c r="B1682" s="1" t="n">
        <v>45156</v>
      </c>
      <c r="C1682" s="1" t="n">
        <v>45822</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37305-2023</t>
        </is>
      </c>
      <c r="B1683" s="1" t="n">
        <v>45156</v>
      </c>
      <c r="C1683" s="1" t="n">
        <v>45822</v>
      </c>
      <c r="D1683" t="inlineStr">
        <is>
          <t>VÄRMLANDS LÄN</t>
        </is>
      </c>
      <c r="E1683" t="inlineStr">
        <is>
          <t>TORSBY</t>
        </is>
      </c>
      <c r="F1683" t="inlineStr">
        <is>
          <t>Bergvik skog väst AB</t>
        </is>
      </c>
      <c r="G1683" t="n">
        <v>28.8</v>
      </c>
      <c r="H1683" t="n">
        <v>0</v>
      </c>
      <c r="I1683" t="n">
        <v>0</v>
      </c>
      <c r="J1683" t="n">
        <v>0</v>
      </c>
      <c r="K1683" t="n">
        <v>0</v>
      </c>
      <c r="L1683" t="n">
        <v>0</v>
      </c>
      <c r="M1683" t="n">
        <v>0</v>
      </c>
      <c r="N1683" t="n">
        <v>0</v>
      </c>
      <c r="O1683" t="n">
        <v>0</v>
      </c>
      <c r="P1683" t="n">
        <v>0</v>
      </c>
      <c r="Q1683" t="n">
        <v>0</v>
      </c>
      <c r="R1683" s="2" t="inlineStr"/>
    </row>
    <row r="1684" ht="15" customHeight="1">
      <c r="A1684" t="inlineStr">
        <is>
          <t>A 37314-2023</t>
        </is>
      </c>
      <c r="B1684" s="1" t="n">
        <v>45156</v>
      </c>
      <c r="C1684" s="1" t="n">
        <v>45822</v>
      </c>
      <c r="D1684" t="inlineStr">
        <is>
          <t>VÄRMLANDS LÄN</t>
        </is>
      </c>
      <c r="E1684" t="inlineStr">
        <is>
          <t>TORSBY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37359-2023</t>
        </is>
      </c>
      <c r="B1685" s="1" t="n">
        <v>45156</v>
      </c>
      <c r="C1685" s="1" t="n">
        <v>45822</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37705-2023</t>
        </is>
      </c>
      <c r="B1686" s="1" t="n">
        <v>45159</v>
      </c>
      <c r="C1686" s="1" t="n">
        <v>45822</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37604-2023</t>
        </is>
      </c>
      <c r="B1687" s="1" t="n">
        <v>45159</v>
      </c>
      <c r="C1687" s="1" t="n">
        <v>45822</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37623-2023</t>
        </is>
      </c>
      <c r="B1688" s="1" t="n">
        <v>45159</v>
      </c>
      <c r="C1688" s="1" t="n">
        <v>45822</v>
      </c>
      <c r="D1688" t="inlineStr">
        <is>
          <t>VÄRMLANDS LÄN</t>
        </is>
      </c>
      <c r="E1688" t="inlineStr">
        <is>
          <t>TORSBY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37822-2023</t>
        </is>
      </c>
      <c r="B1689" s="1" t="n">
        <v>45160</v>
      </c>
      <c r="C1689" s="1" t="n">
        <v>45822</v>
      </c>
      <c r="D1689" t="inlineStr">
        <is>
          <t>VÄRMLANDS LÄN</t>
        </is>
      </c>
      <c r="E1689" t="inlineStr">
        <is>
          <t>TORSBY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38085-2023</t>
        </is>
      </c>
      <c r="B1690" s="1" t="n">
        <v>45160</v>
      </c>
      <c r="C1690" s="1" t="n">
        <v>45822</v>
      </c>
      <c r="D1690" t="inlineStr">
        <is>
          <t>VÄRMLANDS LÄN</t>
        </is>
      </c>
      <c r="E1690" t="inlineStr">
        <is>
          <t>TORSBY</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37936-2023</t>
        </is>
      </c>
      <c r="B1691" s="1" t="n">
        <v>45160</v>
      </c>
      <c r="C1691" s="1" t="n">
        <v>45822</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38084-2023</t>
        </is>
      </c>
      <c r="B1692" s="1" t="n">
        <v>45160</v>
      </c>
      <c r="C1692" s="1" t="n">
        <v>45822</v>
      </c>
      <c r="D1692" t="inlineStr">
        <is>
          <t>VÄRMLANDS LÄN</t>
        </is>
      </c>
      <c r="E1692" t="inlineStr">
        <is>
          <t>TORSBY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38044-2023</t>
        </is>
      </c>
      <c r="B1693" s="1" t="n">
        <v>45160</v>
      </c>
      <c r="C1693" s="1" t="n">
        <v>45822</v>
      </c>
      <c r="D1693" t="inlineStr">
        <is>
          <t>VÄRMLANDS LÄN</t>
        </is>
      </c>
      <c r="E1693" t="inlineStr">
        <is>
          <t>TORSBY</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38086-2023</t>
        </is>
      </c>
      <c r="B1694" s="1" t="n">
        <v>45160</v>
      </c>
      <c r="C1694" s="1" t="n">
        <v>45822</v>
      </c>
      <c r="D1694" t="inlineStr">
        <is>
          <t>VÄRMLANDS LÄN</t>
        </is>
      </c>
      <c r="E1694" t="inlineStr">
        <is>
          <t>TORSBY</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38252-2023</t>
        </is>
      </c>
      <c r="B1695" s="1" t="n">
        <v>45161</v>
      </c>
      <c r="C1695" s="1" t="n">
        <v>45822</v>
      </c>
      <c r="D1695" t="inlineStr">
        <is>
          <t>VÄRMLANDS LÄN</t>
        </is>
      </c>
      <c r="E1695" t="inlineStr">
        <is>
          <t>TORSBY</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38232-2023</t>
        </is>
      </c>
      <c r="B1696" s="1" t="n">
        <v>45161</v>
      </c>
      <c r="C1696" s="1" t="n">
        <v>45822</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38257-2023</t>
        </is>
      </c>
      <c r="B1697" s="1" t="n">
        <v>45161</v>
      </c>
      <c r="C1697" s="1" t="n">
        <v>45822</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38263-2023</t>
        </is>
      </c>
      <c r="B1698" s="1" t="n">
        <v>45161</v>
      </c>
      <c r="C1698" s="1" t="n">
        <v>45822</v>
      </c>
      <c r="D1698" t="inlineStr">
        <is>
          <t>VÄRMLANDS LÄN</t>
        </is>
      </c>
      <c r="E1698" t="inlineStr">
        <is>
          <t>TORSBY</t>
        </is>
      </c>
      <c r="F1698" t="inlineStr">
        <is>
          <t>Kyrkan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38286-2023</t>
        </is>
      </c>
      <c r="B1699" s="1" t="n">
        <v>45161</v>
      </c>
      <c r="C1699" s="1" t="n">
        <v>45822</v>
      </c>
      <c r="D1699" t="inlineStr">
        <is>
          <t>VÄRMLANDS LÄN</t>
        </is>
      </c>
      <c r="E1699" t="inlineStr">
        <is>
          <t>TORSBY</t>
        </is>
      </c>
      <c r="F1699" t="inlineStr">
        <is>
          <t>Kyrkan</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38541-2023</t>
        </is>
      </c>
      <c r="B1700" s="1" t="n">
        <v>45162</v>
      </c>
      <c r="C1700" s="1" t="n">
        <v>45822</v>
      </c>
      <c r="D1700" t="inlineStr">
        <is>
          <t>VÄRMLANDS LÄN</t>
        </is>
      </c>
      <c r="E1700" t="inlineStr">
        <is>
          <t>TORSBY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38641-2023</t>
        </is>
      </c>
      <c r="B1701" s="1" t="n">
        <v>45162</v>
      </c>
      <c r="C1701" s="1" t="n">
        <v>45822</v>
      </c>
      <c r="D1701" t="inlineStr">
        <is>
          <t>VÄRMLANDS LÄN</t>
        </is>
      </c>
      <c r="E1701" t="inlineStr">
        <is>
          <t>TORSBY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38637-2023</t>
        </is>
      </c>
      <c r="B1702" s="1" t="n">
        <v>45162</v>
      </c>
      <c r="C1702" s="1" t="n">
        <v>45822</v>
      </c>
      <c r="D1702" t="inlineStr">
        <is>
          <t>VÄRMLANDS LÄN</t>
        </is>
      </c>
      <c r="E1702" t="inlineStr">
        <is>
          <t>TORSBY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38668-2023</t>
        </is>
      </c>
      <c r="B1703" s="1" t="n">
        <v>45162</v>
      </c>
      <c r="C1703" s="1" t="n">
        <v>45822</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39408-2023</t>
        </is>
      </c>
      <c r="B1704" s="1" t="n">
        <v>45163</v>
      </c>
      <c r="C1704" s="1" t="n">
        <v>45822</v>
      </c>
      <c r="D1704" t="inlineStr">
        <is>
          <t>VÄRMLANDS LÄN</t>
        </is>
      </c>
      <c r="E1704" t="inlineStr">
        <is>
          <t>TORSBY</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38991-2023</t>
        </is>
      </c>
      <c r="B1705" s="1" t="n">
        <v>45163</v>
      </c>
      <c r="C1705" s="1" t="n">
        <v>45822</v>
      </c>
      <c r="D1705" t="inlineStr">
        <is>
          <t>VÄRMLANDS LÄN</t>
        </is>
      </c>
      <c r="E1705" t="inlineStr">
        <is>
          <t>TORSBY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38722-2023</t>
        </is>
      </c>
      <c r="B1706" s="1" t="n">
        <v>45163</v>
      </c>
      <c r="C1706" s="1" t="n">
        <v>45822</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38979-2023</t>
        </is>
      </c>
      <c r="B1707" s="1" t="n">
        <v>45163</v>
      </c>
      <c r="C1707" s="1" t="n">
        <v>45822</v>
      </c>
      <c r="D1707" t="inlineStr">
        <is>
          <t>VÄRMLANDS LÄN</t>
        </is>
      </c>
      <c r="E1707" t="inlineStr">
        <is>
          <t>TORSBY</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39131-2023</t>
        </is>
      </c>
      <c r="B1708" s="1" t="n">
        <v>45165</v>
      </c>
      <c r="C1708" s="1" t="n">
        <v>45822</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39134-2023</t>
        </is>
      </c>
      <c r="B1709" s="1" t="n">
        <v>45165</v>
      </c>
      <c r="C1709" s="1" t="n">
        <v>45822</v>
      </c>
      <c r="D1709" t="inlineStr">
        <is>
          <t>VÄRMLANDS LÄN</t>
        </is>
      </c>
      <c r="E1709" t="inlineStr">
        <is>
          <t>TORSBY</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39390-2023</t>
        </is>
      </c>
      <c r="B1710" s="1" t="n">
        <v>45166</v>
      </c>
      <c r="C1710" s="1" t="n">
        <v>45822</v>
      </c>
      <c r="D1710" t="inlineStr">
        <is>
          <t>VÄRMLANDS LÄN</t>
        </is>
      </c>
      <c r="E1710" t="inlineStr">
        <is>
          <t>TORSBY</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39339-2023</t>
        </is>
      </c>
      <c r="B1711" s="1" t="n">
        <v>45166</v>
      </c>
      <c r="C1711" s="1" t="n">
        <v>45822</v>
      </c>
      <c r="D1711" t="inlineStr">
        <is>
          <t>VÄRMLANDS LÄN</t>
        </is>
      </c>
      <c r="E1711" t="inlineStr">
        <is>
          <t>TORSBY</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39374-2023</t>
        </is>
      </c>
      <c r="B1712" s="1" t="n">
        <v>45166</v>
      </c>
      <c r="C1712" s="1" t="n">
        <v>45822</v>
      </c>
      <c r="D1712" t="inlineStr">
        <is>
          <t>VÄRMLANDS LÄN</t>
        </is>
      </c>
      <c r="E1712" t="inlineStr">
        <is>
          <t>TORSBY</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39677-2023</t>
        </is>
      </c>
      <c r="B1713" s="1" t="n">
        <v>45166</v>
      </c>
      <c r="C1713" s="1" t="n">
        <v>45822</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39648-2023</t>
        </is>
      </c>
      <c r="B1714" s="1" t="n">
        <v>45167</v>
      </c>
      <c r="C1714" s="1" t="n">
        <v>45822</v>
      </c>
      <c r="D1714" t="inlineStr">
        <is>
          <t>VÄRMLANDS LÄN</t>
        </is>
      </c>
      <c r="E1714" t="inlineStr">
        <is>
          <t>TORSBY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39732-2023</t>
        </is>
      </c>
      <c r="B1715" s="1" t="n">
        <v>45167</v>
      </c>
      <c r="C1715" s="1" t="n">
        <v>45822</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39921-2023</t>
        </is>
      </c>
      <c r="B1716" s="1" t="n">
        <v>45168</v>
      </c>
      <c r="C1716" s="1" t="n">
        <v>45822</v>
      </c>
      <c r="D1716" t="inlineStr">
        <is>
          <t>VÄRMLANDS LÄN</t>
        </is>
      </c>
      <c r="E1716" t="inlineStr">
        <is>
          <t>TORSBY</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39910-2023</t>
        </is>
      </c>
      <c r="B1717" s="1" t="n">
        <v>45168</v>
      </c>
      <c r="C1717" s="1" t="n">
        <v>45822</v>
      </c>
      <c r="D1717" t="inlineStr">
        <is>
          <t>VÄRMLANDS LÄN</t>
        </is>
      </c>
      <c r="E1717" t="inlineStr">
        <is>
          <t>TORSBY</t>
        </is>
      </c>
      <c r="F1717" t="inlineStr">
        <is>
          <t>Kyrkan</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40007-2023</t>
        </is>
      </c>
      <c r="B1718" s="1" t="n">
        <v>45168</v>
      </c>
      <c r="C1718" s="1" t="n">
        <v>45822</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39969-2023</t>
        </is>
      </c>
      <c r="B1719" s="1" t="n">
        <v>45168</v>
      </c>
      <c r="C1719" s="1" t="n">
        <v>45822</v>
      </c>
      <c r="D1719" t="inlineStr">
        <is>
          <t>VÄRMLANDS LÄN</t>
        </is>
      </c>
      <c r="E1719" t="inlineStr">
        <is>
          <t>TORSBY</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40207-2023</t>
        </is>
      </c>
      <c r="B1720" s="1" t="n">
        <v>45169</v>
      </c>
      <c r="C1720" s="1" t="n">
        <v>45822</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40228-2023</t>
        </is>
      </c>
      <c r="B1721" s="1" t="n">
        <v>45169</v>
      </c>
      <c r="C1721" s="1" t="n">
        <v>45822</v>
      </c>
      <c r="D1721" t="inlineStr">
        <is>
          <t>VÄRMLANDS LÄN</t>
        </is>
      </c>
      <c r="E1721" t="inlineStr">
        <is>
          <t>TORSBY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40222-2023</t>
        </is>
      </c>
      <c r="B1722" s="1" t="n">
        <v>45169</v>
      </c>
      <c r="C1722" s="1" t="n">
        <v>45822</v>
      </c>
      <c r="D1722" t="inlineStr">
        <is>
          <t>VÄRMLANDS LÄN</t>
        </is>
      </c>
      <c r="E1722" t="inlineStr">
        <is>
          <t>TORSBY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40468-2023</t>
        </is>
      </c>
      <c r="B1723" s="1" t="n">
        <v>45170</v>
      </c>
      <c r="C1723" s="1" t="n">
        <v>45822</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40512-2023</t>
        </is>
      </c>
      <c r="B1724" s="1" t="n">
        <v>45170</v>
      </c>
      <c r="C1724" s="1" t="n">
        <v>45822</v>
      </c>
      <c r="D1724" t="inlineStr">
        <is>
          <t>VÄRMLANDS LÄN</t>
        </is>
      </c>
      <c r="E1724" t="inlineStr">
        <is>
          <t>TORSBY</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40470-2023</t>
        </is>
      </c>
      <c r="B1725" s="1" t="n">
        <v>45170</v>
      </c>
      <c r="C1725" s="1" t="n">
        <v>45822</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40538-2023</t>
        </is>
      </c>
      <c r="B1726" s="1" t="n">
        <v>45170</v>
      </c>
      <c r="C1726" s="1" t="n">
        <v>45822</v>
      </c>
      <c r="D1726" t="inlineStr">
        <is>
          <t>VÄRMLANDS LÄN</t>
        </is>
      </c>
      <c r="E1726" t="inlineStr">
        <is>
          <t>TORSBY</t>
        </is>
      </c>
      <c r="F1726" t="inlineStr">
        <is>
          <t>Bergvik skog väst AB</t>
        </is>
      </c>
      <c r="G1726" t="n">
        <v>31.4</v>
      </c>
      <c r="H1726" t="n">
        <v>0</v>
      </c>
      <c r="I1726" t="n">
        <v>0</v>
      </c>
      <c r="J1726" t="n">
        <v>0</v>
      </c>
      <c r="K1726" t="n">
        <v>0</v>
      </c>
      <c r="L1726" t="n">
        <v>0</v>
      </c>
      <c r="M1726" t="n">
        <v>0</v>
      </c>
      <c r="N1726" t="n">
        <v>0</v>
      </c>
      <c r="O1726" t="n">
        <v>0</v>
      </c>
      <c r="P1726" t="n">
        <v>0</v>
      </c>
      <c r="Q1726" t="n">
        <v>0</v>
      </c>
      <c r="R1726" s="2" t="inlineStr"/>
    </row>
    <row r="1727" ht="15" customHeight="1">
      <c r="A1727" t="inlineStr">
        <is>
          <t>A 41469-2023</t>
        </is>
      </c>
      <c r="B1727" s="1" t="n">
        <v>45170</v>
      </c>
      <c r="C1727" s="1" t="n">
        <v>45822</v>
      </c>
      <c r="D1727" t="inlineStr">
        <is>
          <t>VÄRMLANDS LÄN</t>
        </is>
      </c>
      <c r="E1727" t="inlineStr">
        <is>
          <t>TORSBY</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40858-2023</t>
        </is>
      </c>
      <c r="B1728" s="1" t="n">
        <v>45173</v>
      </c>
      <c r="C1728" s="1" t="n">
        <v>45822</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40971-2023</t>
        </is>
      </c>
      <c r="B1729" s="1" t="n">
        <v>45173</v>
      </c>
      <c r="C1729" s="1" t="n">
        <v>45822</v>
      </c>
      <c r="D1729" t="inlineStr">
        <is>
          <t>VÄRMLANDS LÄN</t>
        </is>
      </c>
      <c r="E1729" t="inlineStr">
        <is>
          <t>TORSBY</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41096-2023</t>
        </is>
      </c>
      <c r="B1730" s="1" t="n">
        <v>45173</v>
      </c>
      <c r="C1730" s="1" t="n">
        <v>45822</v>
      </c>
      <c r="D1730" t="inlineStr">
        <is>
          <t>VÄRMLANDS LÄN</t>
        </is>
      </c>
      <c r="E1730" t="inlineStr">
        <is>
          <t>TORSBY</t>
        </is>
      </c>
      <c r="F1730" t="inlineStr">
        <is>
          <t>Bergvik skog väst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41056-2023</t>
        </is>
      </c>
      <c r="B1731" s="1" t="n">
        <v>45173</v>
      </c>
      <c r="C1731" s="1" t="n">
        <v>45822</v>
      </c>
      <c r="D1731" t="inlineStr">
        <is>
          <t>VÄRMLANDS LÄN</t>
        </is>
      </c>
      <c r="E1731" t="inlineStr">
        <is>
          <t>TORSBY</t>
        </is>
      </c>
      <c r="F1731" t="inlineStr">
        <is>
          <t>Bergvik skog väst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41022-2023</t>
        </is>
      </c>
      <c r="B1732" s="1" t="n">
        <v>45173</v>
      </c>
      <c r="C1732" s="1" t="n">
        <v>45822</v>
      </c>
      <c r="D1732" t="inlineStr">
        <is>
          <t>VÄRMLANDS LÄN</t>
        </is>
      </c>
      <c r="E1732" t="inlineStr">
        <is>
          <t>TORSBY</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41050-2023</t>
        </is>
      </c>
      <c r="B1733" s="1" t="n">
        <v>45173</v>
      </c>
      <c r="C1733" s="1" t="n">
        <v>45822</v>
      </c>
      <c r="D1733" t="inlineStr">
        <is>
          <t>VÄRMLANDS LÄN</t>
        </is>
      </c>
      <c r="E1733" t="inlineStr">
        <is>
          <t>TORSBY</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41059-2023</t>
        </is>
      </c>
      <c r="B1734" s="1" t="n">
        <v>45173</v>
      </c>
      <c r="C1734" s="1" t="n">
        <v>45822</v>
      </c>
      <c r="D1734" t="inlineStr">
        <is>
          <t>VÄRMLANDS LÄN</t>
        </is>
      </c>
      <c r="E1734" t="inlineStr">
        <is>
          <t>TORSBY</t>
        </is>
      </c>
      <c r="F1734" t="inlineStr">
        <is>
          <t>Bergvik skog väst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41156-2023</t>
        </is>
      </c>
      <c r="B1735" s="1" t="n">
        <v>45174</v>
      </c>
      <c r="C1735" s="1" t="n">
        <v>45822</v>
      </c>
      <c r="D1735" t="inlineStr">
        <is>
          <t>VÄRMLANDS LÄN</t>
        </is>
      </c>
      <c r="E1735" t="inlineStr">
        <is>
          <t>TORSBY</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41160-2023</t>
        </is>
      </c>
      <c r="B1736" s="1" t="n">
        <v>45174</v>
      </c>
      <c r="C1736" s="1" t="n">
        <v>45822</v>
      </c>
      <c r="D1736" t="inlineStr">
        <is>
          <t>VÄRMLANDS LÄN</t>
        </is>
      </c>
      <c r="E1736" t="inlineStr">
        <is>
          <t>TORSBY</t>
        </is>
      </c>
      <c r="F1736" t="inlineStr">
        <is>
          <t>Kyrkan</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41246-2023</t>
        </is>
      </c>
      <c r="B1737" s="1" t="n">
        <v>45174</v>
      </c>
      <c r="C1737" s="1" t="n">
        <v>45822</v>
      </c>
      <c r="D1737" t="inlineStr">
        <is>
          <t>VÄRMLANDS LÄN</t>
        </is>
      </c>
      <c r="E1737" t="inlineStr">
        <is>
          <t>TORSBY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41270-2023</t>
        </is>
      </c>
      <c r="B1738" s="1" t="n">
        <v>45174</v>
      </c>
      <c r="C1738" s="1" t="n">
        <v>45822</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42069-2023</t>
        </is>
      </c>
      <c r="B1739" s="1" t="n">
        <v>45174</v>
      </c>
      <c r="C1739" s="1" t="n">
        <v>45822</v>
      </c>
      <c r="D1739" t="inlineStr">
        <is>
          <t>VÄRMLANDS LÄN</t>
        </is>
      </c>
      <c r="E1739" t="inlineStr">
        <is>
          <t>TORSBY</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42060-2023</t>
        </is>
      </c>
      <c r="B1740" s="1" t="n">
        <v>45174</v>
      </c>
      <c r="C1740" s="1" t="n">
        <v>45822</v>
      </c>
      <c r="D1740" t="inlineStr">
        <is>
          <t>VÄRMLANDS LÄN</t>
        </is>
      </c>
      <c r="E1740" t="inlineStr">
        <is>
          <t>TORSBY</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41488-2023</t>
        </is>
      </c>
      <c r="B1741" s="1" t="n">
        <v>45175</v>
      </c>
      <c r="C1741" s="1" t="n">
        <v>45822</v>
      </c>
      <c r="D1741" t="inlineStr">
        <is>
          <t>VÄRMLANDS LÄN</t>
        </is>
      </c>
      <c r="E1741" t="inlineStr">
        <is>
          <t>TORSBY</t>
        </is>
      </c>
      <c r="F1741" t="inlineStr">
        <is>
          <t>Kyrkan</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41438-2023</t>
        </is>
      </c>
      <c r="B1742" s="1" t="n">
        <v>45175</v>
      </c>
      <c r="C1742" s="1" t="n">
        <v>45822</v>
      </c>
      <c r="D1742" t="inlineStr">
        <is>
          <t>VÄRMLANDS LÄN</t>
        </is>
      </c>
      <c r="E1742" t="inlineStr">
        <is>
          <t>TORSBY</t>
        </is>
      </c>
      <c r="F1742" t="inlineStr">
        <is>
          <t>Kyrkan</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41431-2023</t>
        </is>
      </c>
      <c r="B1743" s="1" t="n">
        <v>45175</v>
      </c>
      <c r="C1743" s="1" t="n">
        <v>45822</v>
      </c>
      <c r="D1743" t="inlineStr">
        <is>
          <t>VÄRMLANDS LÄN</t>
        </is>
      </c>
      <c r="E1743" t="inlineStr">
        <is>
          <t>TORSBY</t>
        </is>
      </c>
      <c r="F1743" t="inlineStr">
        <is>
          <t>Bergvik skog väst AB</t>
        </is>
      </c>
      <c r="G1743" t="n">
        <v>14.7</v>
      </c>
      <c r="H1743" t="n">
        <v>0</v>
      </c>
      <c r="I1743" t="n">
        <v>0</v>
      </c>
      <c r="J1743" t="n">
        <v>0</v>
      </c>
      <c r="K1743" t="n">
        <v>0</v>
      </c>
      <c r="L1743" t="n">
        <v>0</v>
      </c>
      <c r="M1743" t="n">
        <v>0</v>
      </c>
      <c r="N1743" t="n">
        <v>0</v>
      </c>
      <c r="O1743" t="n">
        <v>0</v>
      </c>
      <c r="P1743" t="n">
        <v>0</v>
      </c>
      <c r="Q1743" t="n">
        <v>0</v>
      </c>
      <c r="R1743" s="2" t="inlineStr"/>
    </row>
    <row r="1744" ht="15" customHeight="1">
      <c r="A1744" t="inlineStr">
        <is>
          <t>A 41867-2023</t>
        </is>
      </c>
      <c r="B1744" s="1" t="n">
        <v>45176</v>
      </c>
      <c r="C1744" s="1" t="n">
        <v>45822</v>
      </c>
      <c r="D1744" t="inlineStr">
        <is>
          <t>VÄRMLANDS LÄN</t>
        </is>
      </c>
      <c r="E1744" t="inlineStr">
        <is>
          <t>TORSBY</t>
        </is>
      </c>
      <c r="F1744" t="inlineStr">
        <is>
          <t>Bergvik skog väst AB</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41833-2023</t>
        </is>
      </c>
      <c r="B1745" s="1" t="n">
        <v>45176</v>
      </c>
      <c r="C1745" s="1" t="n">
        <v>45822</v>
      </c>
      <c r="D1745" t="inlineStr">
        <is>
          <t>VÄRMLANDS LÄN</t>
        </is>
      </c>
      <c r="E1745" t="inlineStr">
        <is>
          <t>TORSBY</t>
        </is>
      </c>
      <c r="F1745" t="inlineStr">
        <is>
          <t>Bergvik skog väst AB</t>
        </is>
      </c>
      <c r="G1745" t="n">
        <v>21.7</v>
      </c>
      <c r="H1745" t="n">
        <v>0</v>
      </c>
      <c r="I1745" t="n">
        <v>0</v>
      </c>
      <c r="J1745" t="n">
        <v>0</v>
      </c>
      <c r="K1745" t="n">
        <v>0</v>
      </c>
      <c r="L1745" t="n">
        <v>0</v>
      </c>
      <c r="M1745" t="n">
        <v>0</v>
      </c>
      <c r="N1745" t="n">
        <v>0</v>
      </c>
      <c r="O1745" t="n">
        <v>0</v>
      </c>
      <c r="P1745" t="n">
        <v>0</v>
      </c>
      <c r="Q1745" t="n">
        <v>0</v>
      </c>
      <c r="R1745" s="2" t="inlineStr"/>
    </row>
    <row r="1746" ht="15" customHeight="1">
      <c r="A1746" t="inlineStr">
        <is>
          <t>A 41841-2023</t>
        </is>
      </c>
      <c r="B1746" s="1" t="n">
        <v>45176</v>
      </c>
      <c r="C1746" s="1" t="n">
        <v>45822</v>
      </c>
      <c r="D1746" t="inlineStr">
        <is>
          <t>VÄRMLANDS LÄN</t>
        </is>
      </c>
      <c r="E1746" t="inlineStr">
        <is>
          <t>TORSBY</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41885-2023</t>
        </is>
      </c>
      <c r="B1747" s="1" t="n">
        <v>45176</v>
      </c>
      <c r="C1747" s="1" t="n">
        <v>45822</v>
      </c>
      <c r="D1747" t="inlineStr">
        <is>
          <t>VÄRMLANDS LÄN</t>
        </is>
      </c>
      <c r="E1747" t="inlineStr">
        <is>
          <t>TORSBY</t>
        </is>
      </c>
      <c r="F1747" t="inlineStr">
        <is>
          <t>Bergvik skog väst AB</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41843-2023</t>
        </is>
      </c>
      <c r="B1748" s="1" t="n">
        <v>45176</v>
      </c>
      <c r="C1748" s="1" t="n">
        <v>45822</v>
      </c>
      <c r="D1748" t="inlineStr">
        <is>
          <t>VÄRMLANDS LÄN</t>
        </is>
      </c>
      <c r="E1748" t="inlineStr">
        <is>
          <t>TORSBY</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41868-2023</t>
        </is>
      </c>
      <c r="B1749" s="1" t="n">
        <v>45176</v>
      </c>
      <c r="C1749" s="1" t="n">
        <v>45822</v>
      </c>
      <c r="D1749" t="inlineStr">
        <is>
          <t>VÄRMLANDS LÄN</t>
        </is>
      </c>
      <c r="E1749" t="inlineStr">
        <is>
          <t>TORSBY</t>
        </is>
      </c>
      <c r="F1749" t="inlineStr">
        <is>
          <t>Bergvik skog väst AB</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42062-2023</t>
        </is>
      </c>
      <c r="B1750" s="1" t="n">
        <v>45177</v>
      </c>
      <c r="C1750" s="1" t="n">
        <v>45822</v>
      </c>
      <c r="D1750" t="inlineStr">
        <is>
          <t>VÄRMLANDS LÄN</t>
        </is>
      </c>
      <c r="E1750" t="inlineStr">
        <is>
          <t>TORSBY</t>
        </is>
      </c>
      <c r="G1750" t="n">
        <v>10.7</v>
      </c>
      <c r="H1750" t="n">
        <v>0</v>
      </c>
      <c r="I1750" t="n">
        <v>0</v>
      </c>
      <c r="J1750" t="n">
        <v>0</v>
      </c>
      <c r="K1750" t="n">
        <v>0</v>
      </c>
      <c r="L1750" t="n">
        <v>0</v>
      </c>
      <c r="M1750" t="n">
        <v>0</v>
      </c>
      <c r="N1750" t="n">
        <v>0</v>
      </c>
      <c r="O1750" t="n">
        <v>0</v>
      </c>
      <c r="P1750" t="n">
        <v>0</v>
      </c>
      <c r="Q1750" t="n">
        <v>0</v>
      </c>
      <c r="R1750" s="2" t="inlineStr"/>
    </row>
    <row r="1751" ht="15" customHeight="1">
      <c r="A1751" t="inlineStr">
        <is>
          <t>A 42245-2023</t>
        </is>
      </c>
      <c r="B1751" s="1" t="n">
        <v>45180</v>
      </c>
      <c r="C1751" s="1" t="n">
        <v>45822</v>
      </c>
      <c r="D1751" t="inlineStr">
        <is>
          <t>VÄRMLANDS LÄN</t>
        </is>
      </c>
      <c r="E1751" t="inlineStr">
        <is>
          <t>TORSBY</t>
        </is>
      </c>
      <c r="F1751" t="inlineStr">
        <is>
          <t>Bergvik skog väst AB</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42473-2023</t>
        </is>
      </c>
      <c r="B1752" s="1" t="n">
        <v>45180</v>
      </c>
      <c r="C1752" s="1" t="n">
        <v>45822</v>
      </c>
      <c r="D1752" t="inlineStr">
        <is>
          <t>VÄRMLANDS LÄN</t>
        </is>
      </c>
      <c r="E1752" t="inlineStr">
        <is>
          <t>TORSBY</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42403-2023</t>
        </is>
      </c>
      <c r="B1753" s="1" t="n">
        <v>45180</v>
      </c>
      <c r="C1753" s="1" t="n">
        <v>45822</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42420-2023</t>
        </is>
      </c>
      <c r="B1754" s="1" t="n">
        <v>45180</v>
      </c>
      <c r="C1754" s="1" t="n">
        <v>45822</v>
      </c>
      <c r="D1754" t="inlineStr">
        <is>
          <t>VÄRMLANDS LÄN</t>
        </is>
      </c>
      <c r="E1754" t="inlineStr">
        <is>
          <t>TORSBY</t>
        </is>
      </c>
      <c r="F1754" t="inlineStr">
        <is>
          <t>Bergvik skog väst AB</t>
        </is>
      </c>
      <c r="G1754" t="n">
        <v>19.9</v>
      </c>
      <c r="H1754" t="n">
        <v>0</v>
      </c>
      <c r="I1754" t="n">
        <v>0</v>
      </c>
      <c r="J1754" t="n">
        <v>0</v>
      </c>
      <c r="K1754" t="n">
        <v>0</v>
      </c>
      <c r="L1754" t="n">
        <v>0</v>
      </c>
      <c r="M1754" t="n">
        <v>0</v>
      </c>
      <c r="N1754" t="n">
        <v>0</v>
      </c>
      <c r="O1754" t="n">
        <v>0</v>
      </c>
      <c r="P1754" t="n">
        <v>0</v>
      </c>
      <c r="Q1754" t="n">
        <v>0</v>
      </c>
      <c r="R1754" s="2" t="inlineStr"/>
    </row>
    <row r="1755" ht="15" customHeight="1">
      <c r="A1755" t="inlineStr">
        <is>
          <t>A 43532-2023</t>
        </is>
      </c>
      <c r="B1755" s="1" t="n">
        <v>45181</v>
      </c>
      <c r="C1755" s="1" t="n">
        <v>45822</v>
      </c>
      <c r="D1755" t="inlineStr">
        <is>
          <t>VÄRMLANDS LÄN</t>
        </is>
      </c>
      <c r="E1755" t="inlineStr">
        <is>
          <t>TORSBY</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43529-2023</t>
        </is>
      </c>
      <c r="B1756" s="1" t="n">
        <v>45181</v>
      </c>
      <c r="C1756" s="1" t="n">
        <v>45822</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43527-2023</t>
        </is>
      </c>
      <c r="B1757" s="1" t="n">
        <v>45181</v>
      </c>
      <c r="C1757" s="1" t="n">
        <v>45822</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43536-2023</t>
        </is>
      </c>
      <c r="B1758" s="1" t="n">
        <v>45181</v>
      </c>
      <c r="C1758" s="1" t="n">
        <v>45822</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43528-2023</t>
        </is>
      </c>
      <c r="B1759" s="1" t="n">
        <v>45181</v>
      </c>
      <c r="C1759" s="1" t="n">
        <v>45822</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42645-2023</t>
        </is>
      </c>
      <c r="B1760" s="1" t="n">
        <v>45181</v>
      </c>
      <c r="C1760" s="1" t="n">
        <v>45822</v>
      </c>
      <c r="D1760" t="inlineStr">
        <is>
          <t>VÄRMLANDS LÄN</t>
        </is>
      </c>
      <c r="E1760" t="inlineStr">
        <is>
          <t>TORSBY</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42652-2023</t>
        </is>
      </c>
      <c r="B1761" s="1" t="n">
        <v>45181</v>
      </c>
      <c r="C1761" s="1" t="n">
        <v>45822</v>
      </c>
      <c r="D1761" t="inlineStr">
        <is>
          <t>VÄRMLANDS LÄN</t>
        </is>
      </c>
      <c r="E1761" t="inlineStr">
        <is>
          <t>TORSBY</t>
        </is>
      </c>
      <c r="F1761" t="inlineStr">
        <is>
          <t>Bergvik skog väst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42656-2023</t>
        </is>
      </c>
      <c r="B1762" s="1" t="n">
        <v>45181</v>
      </c>
      <c r="C1762" s="1" t="n">
        <v>45822</v>
      </c>
      <c r="D1762" t="inlineStr">
        <is>
          <t>VÄRMLANDS LÄN</t>
        </is>
      </c>
      <c r="E1762" t="inlineStr">
        <is>
          <t>TORSBY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42581-2023</t>
        </is>
      </c>
      <c r="B1763" s="1" t="n">
        <v>45181</v>
      </c>
      <c r="C1763" s="1" t="n">
        <v>45822</v>
      </c>
      <c r="D1763" t="inlineStr">
        <is>
          <t>VÄRMLANDS LÄN</t>
        </is>
      </c>
      <c r="E1763" t="inlineStr">
        <is>
          <t>TORSBY</t>
        </is>
      </c>
      <c r="G1763" t="n">
        <v>17.6</v>
      </c>
      <c r="H1763" t="n">
        <v>0</v>
      </c>
      <c r="I1763" t="n">
        <v>0</v>
      </c>
      <c r="J1763" t="n">
        <v>0</v>
      </c>
      <c r="K1763" t="n">
        <v>0</v>
      </c>
      <c r="L1763" t="n">
        <v>0</v>
      </c>
      <c r="M1763" t="n">
        <v>0</v>
      </c>
      <c r="N1763" t="n">
        <v>0</v>
      </c>
      <c r="O1763" t="n">
        <v>0</v>
      </c>
      <c r="P1763" t="n">
        <v>0</v>
      </c>
      <c r="Q1763" t="n">
        <v>0</v>
      </c>
      <c r="R1763" s="2" t="inlineStr"/>
    </row>
    <row r="1764" ht="15" customHeight="1">
      <c r="A1764" t="inlineStr">
        <is>
          <t>A 42613-2023</t>
        </is>
      </c>
      <c r="B1764" s="1" t="n">
        <v>45181</v>
      </c>
      <c r="C1764" s="1" t="n">
        <v>45822</v>
      </c>
      <c r="D1764" t="inlineStr">
        <is>
          <t>VÄRMLANDS LÄN</t>
        </is>
      </c>
      <c r="E1764" t="inlineStr">
        <is>
          <t>TORSBY</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42635-2023</t>
        </is>
      </c>
      <c r="B1765" s="1" t="n">
        <v>45181</v>
      </c>
      <c r="C1765" s="1" t="n">
        <v>45822</v>
      </c>
      <c r="D1765" t="inlineStr">
        <is>
          <t>VÄRMLANDS LÄN</t>
        </is>
      </c>
      <c r="E1765" t="inlineStr">
        <is>
          <t>TORSBY</t>
        </is>
      </c>
      <c r="G1765" t="n">
        <v>16.1</v>
      </c>
      <c r="H1765" t="n">
        <v>0</v>
      </c>
      <c r="I1765" t="n">
        <v>0</v>
      </c>
      <c r="J1765" t="n">
        <v>0</v>
      </c>
      <c r="K1765" t="n">
        <v>0</v>
      </c>
      <c r="L1765" t="n">
        <v>0</v>
      </c>
      <c r="M1765" t="n">
        <v>0</v>
      </c>
      <c r="N1765" t="n">
        <v>0</v>
      </c>
      <c r="O1765" t="n">
        <v>0</v>
      </c>
      <c r="P1765" t="n">
        <v>0</v>
      </c>
      <c r="Q1765" t="n">
        <v>0</v>
      </c>
      <c r="R1765" s="2" t="inlineStr"/>
    </row>
    <row r="1766" ht="15" customHeight="1">
      <c r="A1766" t="inlineStr">
        <is>
          <t>A 42658-2023</t>
        </is>
      </c>
      <c r="B1766" s="1" t="n">
        <v>45181</v>
      </c>
      <c r="C1766" s="1" t="n">
        <v>45822</v>
      </c>
      <c r="D1766" t="inlineStr">
        <is>
          <t>VÄRMLANDS LÄN</t>
        </is>
      </c>
      <c r="E1766" t="inlineStr">
        <is>
          <t>TORSBY</t>
        </is>
      </c>
      <c r="F1766" t="inlineStr">
        <is>
          <t>Bergvik skog väst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42710-2023</t>
        </is>
      </c>
      <c r="B1767" s="1" t="n">
        <v>45181</v>
      </c>
      <c r="C1767" s="1" t="n">
        <v>45822</v>
      </c>
      <c r="D1767" t="inlineStr">
        <is>
          <t>VÄRMLANDS LÄN</t>
        </is>
      </c>
      <c r="E1767" t="inlineStr">
        <is>
          <t>TORSBY</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42632-2023</t>
        </is>
      </c>
      <c r="B1768" s="1" t="n">
        <v>45181</v>
      </c>
      <c r="C1768" s="1" t="n">
        <v>45822</v>
      </c>
      <c r="D1768" t="inlineStr">
        <is>
          <t>VÄRMLANDS LÄN</t>
        </is>
      </c>
      <c r="E1768" t="inlineStr">
        <is>
          <t>TORSBY</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42944-2023</t>
        </is>
      </c>
      <c r="B1769" s="1" t="n">
        <v>45182</v>
      </c>
      <c r="C1769" s="1" t="n">
        <v>45822</v>
      </c>
      <c r="D1769" t="inlineStr">
        <is>
          <t>VÄRMLANDS LÄN</t>
        </is>
      </c>
      <c r="E1769" t="inlineStr">
        <is>
          <t>TORSBY</t>
        </is>
      </c>
      <c r="F1769" t="inlineStr">
        <is>
          <t>Bergvik skog väst AB</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43084-2023</t>
        </is>
      </c>
      <c r="B1770" s="1" t="n">
        <v>45182</v>
      </c>
      <c r="C1770" s="1" t="n">
        <v>45822</v>
      </c>
      <c r="D1770" t="inlineStr">
        <is>
          <t>VÄRMLANDS LÄN</t>
        </is>
      </c>
      <c r="E1770" t="inlineStr">
        <is>
          <t>TORSBY</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44083-2023</t>
        </is>
      </c>
      <c r="B1771" s="1" t="n">
        <v>45182</v>
      </c>
      <c r="C1771" s="1" t="n">
        <v>45822</v>
      </c>
      <c r="D1771" t="inlineStr">
        <is>
          <t>VÄRMLANDS LÄN</t>
        </is>
      </c>
      <c r="E1771" t="inlineStr">
        <is>
          <t>TORSBY</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44094-2023</t>
        </is>
      </c>
      <c r="B1772" s="1" t="n">
        <v>45182</v>
      </c>
      <c r="C1772" s="1" t="n">
        <v>45822</v>
      </c>
      <c r="D1772" t="inlineStr">
        <is>
          <t>VÄRMLANDS LÄN</t>
        </is>
      </c>
      <c r="E1772" t="inlineStr">
        <is>
          <t>TORSBY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43179-2023</t>
        </is>
      </c>
      <c r="B1773" s="1" t="n">
        <v>45183</v>
      </c>
      <c r="C1773" s="1" t="n">
        <v>45822</v>
      </c>
      <c r="D1773" t="inlineStr">
        <is>
          <t>VÄRMLANDS LÄN</t>
        </is>
      </c>
      <c r="E1773" t="inlineStr">
        <is>
          <t>TORSBY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43361-2023</t>
        </is>
      </c>
      <c r="B1774" s="1" t="n">
        <v>45183</v>
      </c>
      <c r="C1774" s="1" t="n">
        <v>45822</v>
      </c>
      <c r="D1774" t="inlineStr">
        <is>
          <t>VÄRMLANDS LÄN</t>
        </is>
      </c>
      <c r="E1774" t="inlineStr">
        <is>
          <t>TORSBY</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43540-2023</t>
        </is>
      </c>
      <c r="B1775" s="1" t="n">
        <v>45184</v>
      </c>
      <c r="C1775" s="1" t="n">
        <v>45822</v>
      </c>
      <c r="D1775" t="inlineStr">
        <is>
          <t>VÄRMLANDS LÄN</t>
        </is>
      </c>
      <c r="E1775" t="inlineStr">
        <is>
          <t>TORSBY</t>
        </is>
      </c>
      <c r="F1775" t="inlineStr">
        <is>
          <t>Bergvik skog väst AB</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43562-2023</t>
        </is>
      </c>
      <c r="B1776" s="1" t="n">
        <v>45184</v>
      </c>
      <c r="C1776" s="1" t="n">
        <v>45822</v>
      </c>
      <c r="D1776" t="inlineStr">
        <is>
          <t>VÄRMLANDS LÄN</t>
        </is>
      </c>
      <c r="E1776" t="inlineStr">
        <is>
          <t>TORSBY</t>
        </is>
      </c>
      <c r="F1776" t="inlineStr">
        <is>
          <t>Kommuner</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43599-2023</t>
        </is>
      </c>
      <c r="B1777" s="1" t="n">
        <v>45184</v>
      </c>
      <c r="C1777" s="1" t="n">
        <v>45822</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43663-2023</t>
        </is>
      </c>
      <c r="B1778" s="1" t="n">
        <v>45187</v>
      </c>
      <c r="C1778" s="1" t="n">
        <v>45822</v>
      </c>
      <c r="D1778" t="inlineStr">
        <is>
          <t>VÄRMLANDS LÄN</t>
        </is>
      </c>
      <c r="E1778" t="inlineStr">
        <is>
          <t>TORSBY</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43670-2023</t>
        </is>
      </c>
      <c r="B1779" s="1" t="n">
        <v>45187</v>
      </c>
      <c r="C1779" s="1" t="n">
        <v>45822</v>
      </c>
      <c r="D1779" t="inlineStr">
        <is>
          <t>VÄRMLANDS LÄN</t>
        </is>
      </c>
      <c r="E1779" t="inlineStr">
        <is>
          <t>TORSBY</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44047-2023</t>
        </is>
      </c>
      <c r="B1780" s="1" t="n">
        <v>45188</v>
      </c>
      <c r="C1780" s="1" t="n">
        <v>45822</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44150-2023</t>
        </is>
      </c>
      <c r="B1781" s="1" t="n">
        <v>45188</v>
      </c>
      <c r="C1781" s="1" t="n">
        <v>45822</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44044-2023</t>
        </is>
      </c>
      <c r="B1782" s="1" t="n">
        <v>45188</v>
      </c>
      <c r="C1782" s="1" t="n">
        <v>45822</v>
      </c>
      <c r="D1782" t="inlineStr">
        <is>
          <t>VÄRMLANDS LÄN</t>
        </is>
      </c>
      <c r="E1782" t="inlineStr">
        <is>
          <t>TORSBY</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44127-2023</t>
        </is>
      </c>
      <c r="B1783" s="1" t="n">
        <v>45188</v>
      </c>
      <c r="C1783" s="1" t="n">
        <v>45822</v>
      </c>
      <c r="D1783" t="inlineStr">
        <is>
          <t>VÄRMLANDS LÄN</t>
        </is>
      </c>
      <c r="E1783" t="inlineStr">
        <is>
          <t>TORSBY</t>
        </is>
      </c>
      <c r="F1783" t="inlineStr">
        <is>
          <t>Bergvik skog väst AB</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44262-2023</t>
        </is>
      </c>
      <c r="B1784" s="1" t="n">
        <v>45188</v>
      </c>
      <c r="C1784" s="1" t="n">
        <v>45822</v>
      </c>
      <c r="D1784" t="inlineStr">
        <is>
          <t>VÄRMLANDS LÄN</t>
        </is>
      </c>
      <c r="E1784" t="inlineStr">
        <is>
          <t>TORSBY</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44113-2023</t>
        </is>
      </c>
      <c r="B1785" s="1" t="n">
        <v>45188</v>
      </c>
      <c r="C1785" s="1" t="n">
        <v>45822</v>
      </c>
      <c r="D1785" t="inlineStr">
        <is>
          <t>VÄRMLANDS LÄN</t>
        </is>
      </c>
      <c r="E1785" t="inlineStr">
        <is>
          <t>TORSBY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44424-2023</t>
        </is>
      </c>
      <c r="B1786" s="1" t="n">
        <v>45189</v>
      </c>
      <c r="C1786" s="1" t="n">
        <v>45822</v>
      </c>
      <c r="D1786" t="inlineStr">
        <is>
          <t>VÄRMLANDS LÄN</t>
        </is>
      </c>
      <c r="E1786" t="inlineStr">
        <is>
          <t>TORSBY</t>
        </is>
      </c>
      <c r="F1786" t="inlineStr">
        <is>
          <t>Kyrkan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44497-2023</t>
        </is>
      </c>
      <c r="B1787" s="1" t="n">
        <v>45189</v>
      </c>
      <c r="C1787" s="1" t="n">
        <v>45822</v>
      </c>
      <c r="D1787" t="inlineStr">
        <is>
          <t>VÄRMLANDS LÄN</t>
        </is>
      </c>
      <c r="E1787" t="inlineStr">
        <is>
          <t>TORSBY</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44641-2023</t>
        </is>
      </c>
      <c r="B1788" s="1" t="n">
        <v>45189</v>
      </c>
      <c r="C1788" s="1" t="n">
        <v>45822</v>
      </c>
      <c r="D1788" t="inlineStr">
        <is>
          <t>VÄRMLANDS LÄN</t>
        </is>
      </c>
      <c r="E1788" t="inlineStr">
        <is>
          <t>TORSBY</t>
        </is>
      </c>
      <c r="F1788" t="inlineStr">
        <is>
          <t>Bergvik skog väst AB</t>
        </is>
      </c>
      <c r="G1788" t="n">
        <v>20.3</v>
      </c>
      <c r="H1788" t="n">
        <v>0</v>
      </c>
      <c r="I1788" t="n">
        <v>0</v>
      </c>
      <c r="J1788" t="n">
        <v>0</v>
      </c>
      <c r="K1788" t="n">
        <v>0</v>
      </c>
      <c r="L1788" t="n">
        <v>0</v>
      </c>
      <c r="M1788" t="n">
        <v>0</v>
      </c>
      <c r="N1788" t="n">
        <v>0</v>
      </c>
      <c r="O1788" t="n">
        <v>0</v>
      </c>
      <c r="P1788" t="n">
        <v>0</v>
      </c>
      <c r="Q1788" t="n">
        <v>0</v>
      </c>
      <c r="R1788" s="2" t="inlineStr"/>
    </row>
    <row r="1789" ht="15" customHeight="1">
      <c r="A1789" t="inlineStr">
        <is>
          <t>A 44645-2023</t>
        </is>
      </c>
      <c r="B1789" s="1" t="n">
        <v>45189</v>
      </c>
      <c r="C1789" s="1" t="n">
        <v>45822</v>
      </c>
      <c r="D1789" t="inlineStr">
        <is>
          <t>VÄRMLANDS LÄN</t>
        </is>
      </c>
      <c r="E1789" t="inlineStr">
        <is>
          <t>TORSBY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44670-2023</t>
        </is>
      </c>
      <c r="B1790" s="1" t="n">
        <v>45189</v>
      </c>
      <c r="C1790" s="1" t="n">
        <v>45822</v>
      </c>
      <c r="D1790" t="inlineStr">
        <is>
          <t>VÄRMLANDS LÄN</t>
        </is>
      </c>
      <c r="E1790" t="inlineStr">
        <is>
          <t>TORSBY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44710-2023</t>
        </is>
      </c>
      <c r="B1791" s="1" t="n">
        <v>45190</v>
      </c>
      <c r="C1791" s="1" t="n">
        <v>45822</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44730-2023</t>
        </is>
      </c>
      <c r="B1792" s="1" t="n">
        <v>45190</v>
      </c>
      <c r="C1792" s="1" t="n">
        <v>45822</v>
      </c>
      <c r="D1792" t="inlineStr">
        <is>
          <t>VÄRMLANDS LÄN</t>
        </is>
      </c>
      <c r="E1792" t="inlineStr">
        <is>
          <t>TORSBY</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45224-2023</t>
        </is>
      </c>
      <c r="B1793" s="1" t="n">
        <v>45191</v>
      </c>
      <c r="C1793" s="1" t="n">
        <v>45822</v>
      </c>
      <c r="D1793" t="inlineStr">
        <is>
          <t>VÄRMLANDS LÄN</t>
        </is>
      </c>
      <c r="E1793" t="inlineStr">
        <is>
          <t>TORSBY</t>
        </is>
      </c>
      <c r="F1793" t="inlineStr">
        <is>
          <t>Bergvik skog väst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45041-2023</t>
        </is>
      </c>
      <c r="B1794" s="1" t="n">
        <v>45191</v>
      </c>
      <c r="C1794" s="1" t="n">
        <v>45822</v>
      </c>
      <c r="D1794" t="inlineStr">
        <is>
          <t>VÄRMLANDS LÄN</t>
        </is>
      </c>
      <c r="E1794" t="inlineStr">
        <is>
          <t>TORSBY</t>
        </is>
      </c>
      <c r="F1794" t="inlineStr">
        <is>
          <t>Kyrkan</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45152-2023</t>
        </is>
      </c>
      <c r="B1795" s="1" t="n">
        <v>45191</v>
      </c>
      <c r="C1795" s="1" t="n">
        <v>45822</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45169-2023</t>
        </is>
      </c>
      <c r="B1796" s="1" t="n">
        <v>45191</v>
      </c>
      <c r="C1796" s="1" t="n">
        <v>45822</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45231-2023</t>
        </is>
      </c>
      <c r="B1797" s="1" t="n">
        <v>45191</v>
      </c>
      <c r="C1797" s="1" t="n">
        <v>45822</v>
      </c>
      <c r="D1797" t="inlineStr">
        <is>
          <t>VÄRMLANDS LÄN</t>
        </is>
      </c>
      <c r="E1797" t="inlineStr">
        <is>
          <t>TORSBY</t>
        </is>
      </c>
      <c r="F1797" t="inlineStr">
        <is>
          <t>Bergvik skog väst AB</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45228-2023</t>
        </is>
      </c>
      <c r="B1798" s="1" t="n">
        <v>45191</v>
      </c>
      <c r="C1798" s="1" t="n">
        <v>45822</v>
      </c>
      <c r="D1798" t="inlineStr">
        <is>
          <t>VÄRMLANDS LÄN</t>
        </is>
      </c>
      <c r="E1798" t="inlineStr">
        <is>
          <t>TORSBY</t>
        </is>
      </c>
      <c r="F1798" t="inlineStr">
        <is>
          <t>Bergvik skog väst AB</t>
        </is>
      </c>
      <c r="G1798" t="n">
        <v>26.8</v>
      </c>
      <c r="H1798" t="n">
        <v>0</v>
      </c>
      <c r="I1798" t="n">
        <v>0</v>
      </c>
      <c r="J1798" t="n">
        <v>0</v>
      </c>
      <c r="K1798" t="n">
        <v>0</v>
      </c>
      <c r="L1798" t="n">
        <v>0</v>
      </c>
      <c r="M1798" t="n">
        <v>0</v>
      </c>
      <c r="N1798" t="n">
        <v>0</v>
      </c>
      <c r="O1798" t="n">
        <v>0</v>
      </c>
      <c r="P1798" t="n">
        <v>0</v>
      </c>
      <c r="Q1798" t="n">
        <v>0</v>
      </c>
      <c r="R1798" s="2" t="inlineStr"/>
    </row>
    <row r="1799" ht="15" customHeight="1">
      <c r="A1799" t="inlineStr">
        <is>
          <t>A 45587-2023</t>
        </is>
      </c>
      <c r="B1799" s="1" t="n">
        <v>45194</v>
      </c>
      <c r="C1799" s="1" t="n">
        <v>45822</v>
      </c>
      <c r="D1799" t="inlineStr">
        <is>
          <t>VÄRMLANDS LÄN</t>
        </is>
      </c>
      <c r="E1799" t="inlineStr">
        <is>
          <t>TORSBY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45399-2023</t>
        </is>
      </c>
      <c r="B1800" s="1" t="n">
        <v>45194</v>
      </c>
      <c r="C1800" s="1" t="n">
        <v>45822</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45563-2023</t>
        </is>
      </c>
      <c r="B1801" s="1" t="n">
        <v>45194</v>
      </c>
      <c r="C1801" s="1" t="n">
        <v>45822</v>
      </c>
      <c r="D1801" t="inlineStr">
        <is>
          <t>VÄRMLANDS LÄN</t>
        </is>
      </c>
      <c r="E1801" t="inlineStr">
        <is>
          <t>TORSBY</t>
        </is>
      </c>
      <c r="F1801" t="inlineStr">
        <is>
          <t>Bergvik skog väst AB</t>
        </is>
      </c>
      <c r="G1801" t="n">
        <v>22.6</v>
      </c>
      <c r="H1801" t="n">
        <v>0</v>
      </c>
      <c r="I1801" t="n">
        <v>0</v>
      </c>
      <c r="J1801" t="n">
        <v>0</v>
      </c>
      <c r="K1801" t="n">
        <v>0</v>
      </c>
      <c r="L1801" t="n">
        <v>0</v>
      </c>
      <c r="M1801" t="n">
        <v>0</v>
      </c>
      <c r="N1801" t="n">
        <v>0</v>
      </c>
      <c r="O1801" t="n">
        <v>0</v>
      </c>
      <c r="P1801" t="n">
        <v>0</v>
      </c>
      <c r="Q1801" t="n">
        <v>0</v>
      </c>
      <c r="R1801" s="2" t="inlineStr"/>
    </row>
    <row r="1802" ht="15" customHeight="1">
      <c r="A1802" t="inlineStr">
        <is>
          <t>A 45765-2023</t>
        </is>
      </c>
      <c r="B1802" s="1" t="n">
        <v>45195</v>
      </c>
      <c r="C1802" s="1" t="n">
        <v>45822</v>
      </c>
      <c r="D1802" t="inlineStr">
        <is>
          <t>VÄRMLANDS LÄN</t>
        </is>
      </c>
      <c r="E1802" t="inlineStr">
        <is>
          <t>TORSBY</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45872-2023</t>
        </is>
      </c>
      <c r="B1803" s="1" t="n">
        <v>45195</v>
      </c>
      <c r="C1803" s="1" t="n">
        <v>45822</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45775-2023</t>
        </is>
      </c>
      <c r="B1804" s="1" t="n">
        <v>45195</v>
      </c>
      <c r="C1804" s="1" t="n">
        <v>45822</v>
      </c>
      <c r="D1804" t="inlineStr">
        <is>
          <t>VÄRMLANDS LÄN</t>
        </is>
      </c>
      <c r="E1804" t="inlineStr">
        <is>
          <t>TORSBY</t>
        </is>
      </c>
      <c r="F1804" t="inlineStr">
        <is>
          <t>Bergvik skog väst AB</t>
        </is>
      </c>
      <c r="G1804" t="n">
        <v>34.2</v>
      </c>
      <c r="H1804" t="n">
        <v>0</v>
      </c>
      <c r="I1804" t="n">
        <v>0</v>
      </c>
      <c r="J1804" t="n">
        <v>0</v>
      </c>
      <c r="K1804" t="n">
        <v>0</v>
      </c>
      <c r="L1804" t="n">
        <v>0</v>
      </c>
      <c r="M1804" t="n">
        <v>0</v>
      </c>
      <c r="N1804" t="n">
        <v>0</v>
      </c>
      <c r="O1804" t="n">
        <v>0</v>
      </c>
      <c r="P1804" t="n">
        <v>0</v>
      </c>
      <c r="Q1804" t="n">
        <v>0</v>
      </c>
      <c r="R1804" s="2" t="inlineStr"/>
    </row>
    <row r="1805" ht="15" customHeight="1">
      <c r="A1805" t="inlineStr">
        <is>
          <t>A 46003-2023</t>
        </is>
      </c>
      <c r="B1805" s="1" t="n">
        <v>45196</v>
      </c>
      <c r="C1805" s="1" t="n">
        <v>45822</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46048-2023</t>
        </is>
      </c>
      <c r="B1806" s="1" t="n">
        <v>45196</v>
      </c>
      <c r="C1806" s="1" t="n">
        <v>45822</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46001-2023</t>
        </is>
      </c>
      <c r="B1807" s="1" t="n">
        <v>45196</v>
      </c>
      <c r="C1807" s="1" t="n">
        <v>45822</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46202-2023</t>
        </is>
      </c>
      <c r="B1808" s="1" t="n">
        <v>45196</v>
      </c>
      <c r="C1808" s="1" t="n">
        <v>45822</v>
      </c>
      <c r="D1808" t="inlineStr">
        <is>
          <t>VÄRMLANDS LÄN</t>
        </is>
      </c>
      <c r="E1808" t="inlineStr">
        <is>
          <t>TORSBY</t>
        </is>
      </c>
      <c r="F1808" t="inlineStr">
        <is>
          <t>Bergvik skog väst AB</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46233-2023</t>
        </is>
      </c>
      <c r="B1809" s="1" t="n">
        <v>45196</v>
      </c>
      <c r="C1809" s="1" t="n">
        <v>45822</v>
      </c>
      <c r="D1809" t="inlineStr">
        <is>
          <t>VÄRMLANDS LÄN</t>
        </is>
      </c>
      <c r="E1809" t="inlineStr">
        <is>
          <t>TORSBY</t>
        </is>
      </c>
      <c r="F1809" t="inlineStr">
        <is>
          <t>Kyrkan</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46127-2023</t>
        </is>
      </c>
      <c r="B1810" s="1" t="n">
        <v>45196</v>
      </c>
      <c r="C1810" s="1" t="n">
        <v>45822</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46199-2023</t>
        </is>
      </c>
      <c r="B1811" s="1" t="n">
        <v>45196</v>
      </c>
      <c r="C1811" s="1" t="n">
        <v>45822</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46220-2023</t>
        </is>
      </c>
      <c r="B1812" s="1" t="n">
        <v>45196</v>
      </c>
      <c r="C1812" s="1" t="n">
        <v>45822</v>
      </c>
      <c r="D1812" t="inlineStr">
        <is>
          <t>VÄRMLANDS LÄN</t>
        </is>
      </c>
      <c r="E1812" t="inlineStr">
        <is>
          <t>TORSBY</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46156-2023</t>
        </is>
      </c>
      <c r="B1813" s="1" t="n">
        <v>45196</v>
      </c>
      <c r="C1813" s="1" t="n">
        <v>45822</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46180-2023</t>
        </is>
      </c>
      <c r="B1814" s="1" t="n">
        <v>45196</v>
      </c>
      <c r="C1814" s="1" t="n">
        <v>45822</v>
      </c>
      <c r="D1814" t="inlineStr">
        <is>
          <t>VÄRMLANDS LÄN</t>
        </is>
      </c>
      <c r="E1814" t="inlineStr">
        <is>
          <t>TORSBY</t>
        </is>
      </c>
      <c r="F1814" t="inlineStr">
        <is>
          <t>Bergvik skog väst AB</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46195-2023</t>
        </is>
      </c>
      <c r="B1815" s="1" t="n">
        <v>45196</v>
      </c>
      <c r="C1815" s="1" t="n">
        <v>45822</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46221-2023</t>
        </is>
      </c>
      <c r="B1816" s="1" t="n">
        <v>45196</v>
      </c>
      <c r="C1816" s="1" t="n">
        <v>45822</v>
      </c>
      <c r="D1816" t="inlineStr">
        <is>
          <t>VÄRMLANDS LÄN</t>
        </is>
      </c>
      <c r="E1816" t="inlineStr">
        <is>
          <t>TORSBY</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47227-2023</t>
        </is>
      </c>
      <c r="B1817" s="1" t="n">
        <v>45196</v>
      </c>
      <c r="C1817" s="1" t="n">
        <v>45822</v>
      </c>
      <c r="D1817" t="inlineStr">
        <is>
          <t>VÄRMLANDS LÄN</t>
        </is>
      </c>
      <c r="E1817" t="inlineStr">
        <is>
          <t>TORSBY</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46424-2023</t>
        </is>
      </c>
      <c r="B1818" s="1" t="n">
        <v>45197</v>
      </c>
      <c r="C1818" s="1" t="n">
        <v>45822</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46449-2023</t>
        </is>
      </c>
      <c r="B1819" s="1" t="n">
        <v>45197</v>
      </c>
      <c r="C1819" s="1" t="n">
        <v>45822</v>
      </c>
      <c r="D1819" t="inlineStr">
        <is>
          <t>VÄRMLANDS LÄN</t>
        </is>
      </c>
      <c r="E1819" t="inlineStr">
        <is>
          <t>TORSBY</t>
        </is>
      </c>
      <c r="F1819" t="inlineStr">
        <is>
          <t>Bergvik skog väst AB</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46509-2023</t>
        </is>
      </c>
      <c r="B1820" s="1" t="n">
        <v>45197</v>
      </c>
      <c r="C1820" s="1" t="n">
        <v>45822</v>
      </c>
      <c r="D1820" t="inlineStr">
        <is>
          <t>VÄRMLANDS LÄN</t>
        </is>
      </c>
      <c r="E1820" t="inlineStr">
        <is>
          <t>TORSBY</t>
        </is>
      </c>
      <c r="F1820" t="inlineStr">
        <is>
          <t>Bergvik skog väst AB</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46489-2023</t>
        </is>
      </c>
      <c r="B1821" s="1" t="n">
        <v>45197</v>
      </c>
      <c r="C1821" s="1" t="n">
        <v>45822</v>
      </c>
      <c r="D1821" t="inlineStr">
        <is>
          <t>VÄRMLANDS LÄN</t>
        </is>
      </c>
      <c r="E1821" t="inlineStr">
        <is>
          <t>TORSBY</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47119-2023</t>
        </is>
      </c>
      <c r="B1822" s="1" t="n">
        <v>45201</v>
      </c>
      <c r="C1822" s="1" t="n">
        <v>45822</v>
      </c>
      <c r="D1822" t="inlineStr">
        <is>
          <t>VÄRMLANDS LÄN</t>
        </is>
      </c>
      <c r="E1822" t="inlineStr">
        <is>
          <t>TORSBY</t>
        </is>
      </c>
      <c r="F1822" t="inlineStr">
        <is>
          <t>Bergvik skog väst AB</t>
        </is>
      </c>
      <c r="G1822" t="n">
        <v>18.7</v>
      </c>
      <c r="H1822" t="n">
        <v>0</v>
      </c>
      <c r="I1822" t="n">
        <v>0</v>
      </c>
      <c r="J1822" t="n">
        <v>0</v>
      </c>
      <c r="K1822" t="n">
        <v>0</v>
      </c>
      <c r="L1822" t="n">
        <v>0</v>
      </c>
      <c r="M1822" t="n">
        <v>0</v>
      </c>
      <c r="N1822" t="n">
        <v>0</v>
      </c>
      <c r="O1822" t="n">
        <v>0</v>
      </c>
      <c r="P1822" t="n">
        <v>0</v>
      </c>
      <c r="Q1822" t="n">
        <v>0</v>
      </c>
      <c r="R1822" s="2" t="inlineStr"/>
    </row>
    <row r="1823" ht="15" customHeight="1">
      <c r="A1823" t="inlineStr">
        <is>
          <t>A 46880-2023</t>
        </is>
      </c>
      <c r="B1823" s="1" t="n">
        <v>45201</v>
      </c>
      <c r="C1823" s="1" t="n">
        <v>45822</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46938-2023</t>
        </is>
      </c>
      <c r="B1824" s="1" t="n">
        <v>45201</v>
      </c>
      <c r="C1824" s="1" t="n">
        <v>45822</v>
      </c>
      <c r="D1824" t="inlineStr">
        <is>
          <t>VÄRMLANDS LÄN</t>
        </is>
      </c>
      <c r="E1824" t="inlineStr">
        <is>
          <t>TORSBY</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47077-2023</t>
        </is>
      </c>
      <c r="B1825" s="1" t="n">
        <v>45201</v>
      </c>
      <c r="C1825" s="1" t="n">
        <v>45822</v>
      </c>
      <c r="D1825" t="inlineStr">
        <is>
          <t>VÄRMLANDS LÄN</t>
        </is>
      </c>
      <c r="E1825" t="inlineStr">
        <is>
          <t>TORSBY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47275-2023</t>
        </is>
      </c>
      <c r="B1826" s="1" t="n">
        <v>45202</v>
      </c>
      <c r="C1826" s="1" t="n">
        <v>45822</v>
      </c>
      <c r="D1826" t="inlineStr">
        <is>
          <t>VÄRMLANDS LÄN</t>
        </is>
      </c>
      <c r="E1826" t="inlineStr">
        <is>
          <t>TORSBY</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47241-2023</t>
        </is>
      </c>
      <c r="B1827" s="1" t="n">
        <v>45202</v>
      </c>
      <c r="C1827" s="1" t="n">
        <v>45822</v>
      </c>
      <c r="D1827" t="inlineStr">
        <is>
          <t>VÄRMLANDS LÄN</t>
        </is>
      </c>
      <c r="E1827" t="inlineStr">
        <is>
          <t>TORSBY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47355-2023</t>
        </is>
      </c>
      <c r="B1828" s="1" t="n">
        <v>45202</v>
      </c>
      <c r="C1828" s="1" t="n">
        <v>45822</v>
      </c>
      <c r="D1828" t="inlineStr">
        <is>
          <t>VÄRMLANDS LÄN</t>
        </is>
      </c>
      <c r="E1828" t="inlineStr">
        <is>
          <t>TORSBY</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47401-2023</t>
        </is>
      </c>
      <c r="B1829" s="1" t="n">
        <v>45202</v>
      </c>
      <c r="C1829" s="1" t="n">
        <v>45822</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47737-2023</t>
        </is>
      </c>
      <c r="B1830" s="1" t="n">
        <v>45203</v>
      </c>
      <c r="C1830" s="1" t="n">
        <v>45822</v>
      </c>
      <c r="D1830" t="inlineStr">
        <is>
          <t>VÄRMLANDS LÄN</t>
        </is>
      </c>
      <c r="E1830" t="inlineStr">
        <is>
          <t>TORSBY</t>
        </is>
      </c>
      <c r="F1830" t="inlineStr">
        <is>
          <t>Bergvik skog väst AB</t>
        </is>
      </c>
      <c r="G1830" t="n">
        <v>24.4</v>
      </c>
      <c r="H1830" t="n">
        <v>0</v>
      </c>
      <c r="I1830" t="n">
        <v>0</v>
      </c>
      <c r="J1830" t="n">
        <v>0</v>
      </c>
      <c r="K1830" t="n">
        <v>0</v>
      </c>
      <c r="L1830" t="n">
        <v>0</v>
      </c>
      <c r="M1830" t="n">
        <v>0</v>
      </c>
      <c r="N1830" t="n">
        <v>0</v>
      </c>
      <c r="O1830" t="n">
        <v>0</v>
      </c>
      <c r="P1830" t="n">
        <v>0</v>
      </c>
      <c r="Q1830" t="n">
        <v>0</v>
      </c>
      <c r="R1830" s="2" t="inlineStr"/>
    </row>
    <row r="1831" ht="15" customHeight="1">
      <c r="A1831" t="inlineStr">
        <is>
          <t>A 47615-2023</t>
        </is>
      </c>
      <c r="B1831" s="1" t="n">
        <v>45203</v>
      </c>
      <c r="C1831" s="1" t="n">
        <v>45822</v>
      </c>
      <c r="D1831" t="inlineStr">
        <is>
          <t>VÄRMLANDS LÄN</t>
        </is>
      </c>
      <c r="E1831" t="inlineStr">
        <is>
          <t>TORSBY</t>
        </is>
      </c>
      <c r="F1831" t="inlineStr">
        <is>
          <t>Bergvik skog väst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47730-2023</t>
        </is>
      </c>
      <c r="B1832" s="1" t="n">
        <v>45203</v>
      </c>
      <c r="C1832" s="1" t="n">
        <v>45822</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47734-2023</t>
        </is>
      </c>
      <c r="B1833" s="1" t="n">
        <v>45203</v>
      </c>
      <c r="C1833" s="1" t="n">
        <v>45822</v>
      </c>
      <c r="D1833" t="inlineStr">
        <is>
          <t>VÄRMLANDS LÄN</t>
        </is>
      </c>
      <c r="E1833" t="inlineStr">
        <is>
          <t>TORSBY</t>
        </is>
      </c>
      <c r="F1833" t="inlineStr">
        <is>
          <t>Bergvik skog väst AB</t>
        </is>
      </c>
      <c r="G1833" t="n">
        <v>23.3</v>
      </c>
      <c r="H1833" t="n">
        <v>0</v>
      </c>
      <c r="I1833" t="n">
        <v>0</v>
      </c>
      <c r="J1833" t="n">
        <v>0</v>
      </c>
      <c r="K1833" t="n">
        <v>0</v>
      </c>
      <c r="L1833" t="n">
        <v>0</v>
      </c>
      <c r="M1833" t="n">
        <v>0</v>
      </c>
      <c r="N1833" t="n">
        <v>0</v>
      </c>
      <c r="O1833" t="n">
        <v>0</v>
      </c>
      <c r="P1833" t="n">
        <v>0</v>
      </c>
      <c r="Q1833" t="n">
        <v>0</v>
      </c>
      <c r="R1833" s="2" t="inlineStr"/>
    </row>
    <row r="1834" ht="15" customHeight="1">
      <c r="A1834" t="inlineStr">
        <is>
          <t>A 48724-2023</t>
        </is>
      </c>
      <c r="B1834" s="1" t="n">
        <v>45203</v>
      </c>
      <c r="C1834" s="1" t="n">
        <v>45822</v>
      </c>
      <c r="D1834" t="inlineStr">
        <is>
          <t>VÄRMLANDS LÄN</t>
        </is>
      </c>
      <c r="E1834" t="inlineStr">
        <is>
          <t>TORSBY</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47842-2023</t>
        </is>
      </c>
      <c r="B1835" s="1" t="n">
        <v>45204</v>
      </c>
      <c r="C1835" s="1" t="n">
        <v>45822</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48106-2023</t>
        </is>
      </c>
      <c r="B1836" s="1" t="n">
        <v>45205</v>
      </c>
      <c r="C1836" s="1" t="n">
        <v>45822</v>
      </c>
      <c r="D1836" t="inlineStr">
        <is>
          <t>VÄRMLANDS LÄN</t>
        </is>
      </c>
      <c r="E1836" t="inlineStr">
        <is>
          <t>TORSBY</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48145-2023</t>
        </is>
      </c>
      <c r="B1837" s="1" t="n">
        <v>45205</v>
      </c>
      <c r="C1837" s="1" t="n">
        <v>45822</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48236-2023</t>
        </is>
      </c>
      <c r="B1838" s="1" t="n">
        <v>45205</v>
      </c>
      <c r="C1838" s="1" t="n">
        <v>45822</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48155-2023</t>
        </is>
      </c>
      <c r="B1839" s="1" t="n">
        <v>45205</v>
      </c>
      <c r="C1839" s="1" t="n">
        <v>45822</v>
      </c>
      <c r="D1839" t="inlineStr">
        <is>
          <t>VÄRMLANDS LÄN</t>
        </is>
      </c>
      <c r="E1839" t="inlineStr">
        <is>
          <t>TORSBY</t>
        </is>
      </c>
      <c r="F1839" t="inlineStr">
        <is>
          <t>Kyrkan</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48170-2023</t>
        </is>
      </c>
      <c r="B1840" s="1" t="n">
        <v>45205</v>
      </c>
      <c r="C1840" s="1" t="n">
        <v>45822</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48324-2023</t>
        </is>
      </c>
      <c r="B1841" s="1" t="n">
        <v>45205</v>
      </c>
      <c r="C1841" s="1" t="n">
        <v>45822</v>
      </c>
      <c r="D1841" t="inlineStr">
        <is>
          <t>VÄRMLANDS LÄN</t>
        </is>
      </c>
      <c r="E1841" t="inlineStr">
        <is>
          <t>TORSBY</t>
        </is>
      </c>
      <c r="F1841" t="inlineStr">
        <is>
          <t>Bergvik skog väst AB</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48381-2023</t>
        </is>
      </c>
      <c r="B1842" s="1" t="n">
        <v>45205</v>
      </c>
      <c r="C1842" s="1" t="n">
        <v>45822</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48384-2023</t>
        </is>
      </c>
      <c r="B1843" s="1" t="n">
        <v>45205</v>
      </c>
      <c r="C1843" s="1" t="n">
        <v>45822</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48383-2023</t>
        </is>
      </c>
      <c r="B1844" s="1" t="n">
        <v>45205</v>
      </c>
      <c r="C1844" s="1" t="n">
        <v>45822</v>
      </c>
      <c r="D1844" t="inlineStr">
        <is>
          <t>VÄRMLANDS LÄN</t>
        </is>
      </c>
      <c r="E1844" t="inlineStr">
        <is>
          <t>TORSBY</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48456-2023</t>
        </is>
      </c>
      <c r="B1845" s="1" t="n">
        <v>45206</v>
      </c>
      <c r="C1845" s="1" t="n">
        <v>45822</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48625-2023</t>
        </is>
      </c>
      <c r="B1846" s="1" t="n">
        <v>45208</v>
      </c>
      <c r="C1846" s="1" t="n">
        <v>45822</v>
      </c>
      <c r="D1846" t="inlineStr">
        <is>
          <t>VÄRMLANDS LÄN</t>
        </is>
      </c>
      <c r="E1846" t="inlineStr">
        <is>
          <t>TORSBY</t>
        </is>
      </c>
      <c r="F1846" t="inlineStr">
        <is>
          <t>Bergvik skog väst AB</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48727-2023</t>
        </is>
      </c>
      <c r="B1847" s="1" t="n">
        <v>45208</v>
      </c>
      <c r="C1847" s="1" t="n">
        <v>45822</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48753-2023</t>
        </is>
      </c>
      <c r="B1848" s="1" t="n">
        <v>45208</v>
      </c>
      <c r="C1848" s="1" t="n">
        <v>45822</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48762-2023</t>
        </is>
      </c>
      <c r="B1849" s="1" t="n">
        <v>45208</v>
      </c>
      <c r="C1849" s="1" t="n">
        <v>45822</v>
      </c>
      <c r="D1849" t="inlineStr">
        <is>
          <t>VÄRMLANDS LÄN</t>
        </is>
      </c>
      <c r="E1849" t="inlineStr">
        <is>
          <t>TORSBY</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49717-2023</t>
        </is>
      </c>
      <c r="B1850" s="1" t="n">
        <v>45208</v>
      </c>
      <c r="C1850" s="1" t="n">
        <v>45822</v>
      </c>
      <c r="D1850" t="inlineStr">
        <is>
          <t>VÄRMLANDS LÄN</t>
        </is>
      </c>
      <c r="E1850" t="inlineStr">
        <is>
          <t>TORSBY</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50166-2023</t>
        </is>
      </c>
      <c r="B1851" s="1" t="n">
        <v>45208</v>
      </c>
      <c r="C1851" s="1" t="n">
        <v>45822</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50149-2023</t>
        </is>
      </c>
      <c r="B1852" s="1" t="n">
        <v>45208</v>
      </c>
      <c r="C1852" s="1" t="n">
        <v>45822</v>
      </c>
      <c r="D1852" t="inlineStr">
        <is>
          <t>VÄRMLANDS LÄN</t>
        </is>
      </c>
      <c r="E1852" t="inlineStr">
        <is>
          <t>TORSBY</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48805-2023</t>
        </is>
      </c>
      <c r="B1853" s="1" t="n">
        <v>45209</v>
      </c>
      <c r="C1853" s="1" t="n">
        <v>45822</v>
      </c>
      <c r="D1853" t="inlineStr">
        <is>
          <t>VÄRMLANDS LÄN</t>
        </is>
      </c>
      <c r="E1853" t="inlineStr">
        <is>
          <t>TORSBY</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48842-2023</t>
        </is>
      </c>
      <c r="B1854" s="1" t="n">
        <v>45209</v>
      </c>
      <c r="C1854" s="1" t="n">
        <v>45822</v>
      </c>
      <c r="D1854" t="inlineStr">
        <is>
          <t>VÄRMLANDS LÄN</t>
        </is>
      </c>
      <c r="E1854" t="inlineStr">
        <is>
          <t>TORSBY</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49170-2023</t>
        </is>
      </c>
      <c r="B1855" s="1" t="n">
        <v>45210</v>
      </c>
      <c r="C1855" s="1" t="n">
        <v>45822</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49179-2023</t>
        </is>
      </c>
      <c r="B1856" s="1" t="n">
        <v>45210</v>
      </c>
      <c r="C1856" s="1" t="n">
        <v>45822</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49296-2023</t>
        </is>
      </c>
      <c r="B1857" s="1" t="n">
        <v>45210</v>
      </c>
      <c r="C1857" s="1" t="n">
        <v>45822</v>
      </c>
      <c r="D1857" t="inlineStr">
        <is>
          <t>VÄRMLANDS LÄN</t>
        </is>
      </c>
      <c r="E1857" t="inlineStr">
        <is>
          <t>TORSBY</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51079-2023</t>
        </is>
      </c>
      <c r="B1858" s="1" t="n">
        <v>45211</v>
      </c>
      <c r="C1858" s="1" t="n">
        <v>45822</v>
      </c>
      <c r="D1858" t="inlineStr">
        <is>
          <t>VÄRMLANDS LÄN</t>
        </is>
      </c>
      <c r="E1858" t="inlineStr">
        <is>
          <t>TORSBY</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49755-2023</t>
        </is>
      </c>
      <c r="B1859" s="1" t="n">
        <v>45212</v>
      </c>
      <c r="C1859" s="1" t="n">
        <v>45822</v>
      </c>
      <c r="D1859" t="inlineStr">
        <is>
          <t>VÄRMLANDS LÄN</t>
        </is>
      </c>
      <c r="E1859" t="inlineStr">
        <is>
          <t>TORSBY</t>
        </is>
      </c>
      <c r="F1859" t="inlineStr">
        <is>
          <t>Bergvik skog väst AB</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49777-2023</t>
        </is>
      </c>
      <c r="B1860" s="1" t="n">
        <v>45212</v>
      </c>
      <c r="C1860" s="1" t="n">
        <v>45822</v>
      </c>
      <c r="D1860" t="inlineStr">
        <is>
          <t>VÄRMLANDS LÄN</t>
        </is>
      </c>
      <c r="E1860" t="inlineStr">
        <is>
          <t>TORSBY</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49815-2023</t>
        </is>
      </c>
      <c r="B1861" s="1" t="n">
        <v>45212</v>
      </c>
      <c r="C1861" s="1" t="n">
        <v>45822</v>
      </c>
      <c r="D1861" t="inlineStr">
        <is>
          <t>VÄRMLANDS LÄN</t>
        </is>
      </c>
      <c r="E1861" t="inlineStr">
        <is>
          <t>TORSBY</t>
        </is>
      </c>
      <c r="F1861" t="inlineStr">
        <is>
          <t>Bergvik skog väst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49745-2023</t>
        </is>
      </c>
      <c r="B1862" s="1" t="n">
        <v>45212</v>
      </c>
      <c r="C1862" s="1" t="n">
        <v>45822</v>
      </c>
      <c r="D1862" t="inlineStr">
        <is>
          <t>VÄRMLANDS LÄN</t>
        </is>
      </c>
      <c r="E1862" t="inlineStr">
        <is>
          <t>TORSBY</t>
        </is>
      </c>
      <c r="F1862" t="inlineStr">
        <is>
          <t>Bergvik skog väst AB</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51144-2023</t>
        </is>
      </c>
      <c r="B1863" s="1" t="n">
        <v>45212</v>
      </c>
      <c r="C1863" s="1" t="n">
        <v>45822</v>
      </c>
      <c r="D1863" t="inlineStr">
        <is>
          <t>VÄRMLANDS LÄN</t>
        </is>
      </c>
      <c r="E1863" t="inlineStr">
        <is>
          <t>TORSBY</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49982-2023</t>
        </is>
      </c>
      <c r="B1864" s="1" t="n">
        <v>45215</v>
      </c>
      <c r="C1864" s="1" t="n">
        <v>45822</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50147-2023</t>
        </is>
      </c>
      <c r="B1865" s="1" t="n">
        <v>45215</v>
      </c>
      <c r="C1865" s="1" t="n">
        <v>45822</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50138-2023</t>
        </is>
      </c>
      <c r="B1866" s="1" t="n">
        <v>45215</v>
      </c>
      <c r="C1866" s="1" t="n">
        <v>45822</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50144-2023</t>
        </is>
      </c>
      <c r="B1867" s="1" t="n">
        <v>45215</v>
      </c>
      <c r="C1867" s="1" t="n">
        <v>45822</v>
      </c>
      <c r="D1867" t="inlineStr">
        <is>
          <t>VÄRMLANDS LÄN</t>
        </is>
      </c>
      <c r="E1867" t="inlineStr">
        <is>
          <t>TORSBY</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50171-2023</t>
        </is>
      </c>
      <c r="B1868" s="1" t="n">
        <v>45215</v>
      </c>
      <c r="C1868" s="1" t="n">
        <v>45822</v>
      </c>
      <c r="D1868" t="inlineStr">
        <is>
          <t>VÄRMLANDS LÄN</t>
        </is>
      </c>
      <c r="E1868" t="inlineStr">
        <is>
          <t>TORSBY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50445-2023</t>
        </is>
      </c>
      <c r="B1869" s="1" t="n">
        <v>45216</v>
      </c>
      <c r="C1869" s="1" t="n">
        <v>45822</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50429-2023</t>
        </is>
      </c>
      <c r="B1870" s="1" t="n">
        <v>45216</v>
      </c>
      <c r="C1870" s="1" t="n">
        <v>45822</v>
      </c>
      <c r="D1870" t="inlineStr">
        <is>
          <t>VÄRMLANDS LÄN</t>
        </is>
      </c>
      <c r="E1870" t="inlineStr">
        <is>
          <t>TORSBY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50439-2023</t>
        </is>
      </c>
      <c r="B1871" s="1" t="n">
        <v>45216</v>
      </c>
      <c r="C1871" s="1" t="n">
        <v>45822</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50660-2023</t>
        </is>
      </c>
      <c r="B1872" s="1" t="n">
        <v>45217</v>
      </c>
      <c r="C1872" s="1" t="n">
        <v>45822</v>
      </c>
      <c r="D1872" t="inlineStr">
        <is>
          <t>VÄRMLANDS LÄN</t>
        </is>
      </c>
      <c r="E1872" t="inlineStr">
        <is>
          <t>TORSBY</t>
        </is>
      </c>
      <c r="F1872" t="inlineStr">
        <is>
          <t>Bergvik skog väst AB</t>
        </is>
      </c>
      <c r="G1872" t="n">
        <v>26.5</v>
      </c>
      <c r="H1872" t="n">
        <v>0</v>
      </c>
      <c r="I1872" t="n">
        <v>0</v>
      </c>
      <c r="J1872" t="n">
        <v>0</v>
      </c>
      <c r="K1872" t="n">
        <v>0</v>
      </c>
      <c r="L1872" t="n">
        <v>0</v>
      </c>
      <c r="M1872" t="n">
        <v>0</v>
      </c>
      <c r="N1872" t="n">
        <v>0</v>
      </c>
      <c r="O1872" t="n">
        <v>0</v>
      </c>
      <c r="P1872" t="n">
        <v>0</v>
      </c>
      <c r="Q1872" t="n">
        <v>0</v>
      </c>
      <c r="R1872" s="2" t="inlineStr"/>
    </row>
    <row r="1873" ht="15" customHeight="1">
      <c r="A1873" t="inlineStr">
        <is>
          <t>A 50523-2023</t>
        </is>
      </c>
      <c r="B1873" s="1" t="n">
        <v>45217</v>
      </c>
      <c r="C1873" s="1" t="n">
        <v>45822</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50608-2023</t>
        </is>
      </c>
      <c r="B1874" s="1" t="n">
        <v>45217</v>
      </c>
      <c r="C1874" s="1" t="n">
        <v>45822</v>
      </c>
      <c r="D1874" t="inlineStr">
        <is>
          <t>VÄRMLANDS LÄN</t>
        </is>
      </c>
      <c r="E1874" t="inlineStr">
        <is>
          <t>TORSBY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50680-2023</t>
        </is>
      </c>
      <c r="B1875" s="1" t="n">
        <v>45217</v>
      </c>
      <c r="C1875" s="1" t="n">
        <v>45822</v>
      </c>
      <c r="D1875" t="inlineStr">
        <is>
          <t>VÄRMLANDS LÄN</t>
        </is>
      </c>
      <c r="E1875" t="inlineStr">
        <is>
          <t>TORSBY</t>
        </is>
      </c>
      <c r="F1875" t="inlineStr">
        <is>
          <t>Bergvik skog väst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50852-2023</t>
        </is>
      </c>
      <c r="B1876" s="1" t="n">
        <v>45218</v>
      </c>
      <c r="C1876" s="1" t="n">
        <v>45822</v>
      </c>
      <c r="D1876" t="inlineStr">
        <is>
          <t>VÄRMLANDS LÄN</t>
        </is>
      </c>
      <c r="E1876" t="inlineStr">
        <is>
          <t>TORSBY</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50973-2023</t>
        </is>
      </c>
      <c r="B1877" s="1" t="n">
        <v>45218</v>
      </c>
      <c r="C1877" s="1" t="n">
        <v>45822</v>
      </c>
      <c r="D1877" t="inlineStr">
        <is>
          <t>VÄRMLANDS LÄN</t>
        </is>
      </c>
      <c r="E1877" t="inlineStr">
        <is>
          <t>TORSBY</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51199-2023</t>
        </is>
      </c>
      <c r="B1878" s="1" t="n">
        <v>45219</v>
      </c>
      <c r="C1878" s="1" t="n">
        <v>45822</v>
      </c>
      <c r="D1878" t="inlineStr">
        <is>
          <t>VÄRMLANDS LÄN</t>
        </is>
      </c>
      <c r="E1878" t="inlineStr">
        <is>
          <t>TORSBY</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51215-2023</t>
        </is>
      </c>
      <c r="B1879" s="1" t="n">
        <v>45219</v>
      </c>
      <c r="C1879" s="1" t="n">
        <v>45822</v>
      </c>
      <c r="D1879" t="inlineStr">
        <is>
          <t>VÄRMLANDS LÄN</t>
        </is>
      </c>
      <c r="E1879" t="inlineStr">
        <is>
          <t>TORSBY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51343-2023</t>
        </is>
      </c>
      <c r="B1880" s="1" t="n">
        <v>45219</v>
      </c>
      <c r="C1880" s="1" t="n">
        <v>45822</v>
      </c>
      <c r="D1880" t="inlineStr">
        <is>
          <t>VÄRMLANDS LÄN</t>
        </is>
      </c>
      <c r="E1880" t="inlineStr">
        <is>
          <t>TORSBY</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51386-2023</t>
        </is>
      </c>
      <c r="B1881" s="1" t="n">
        <v>45219</v>
      </c>
      <c r="C1881" s="1" t="n">
        <v>45822</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51309-2023</t>
        </is>
      </c>
      <c r="B1882" s="1" t="n">
        <v>45219</v>
      </c>
      <c r="C1882" s="1" t="n">
        <v>45822</v>
      </c>
      <c r="D1882" t="inlineStr">
        <is>
          <t>VÄRMLANDS LÄN</t>
        </is>
      </c>
      <c r="E1882" t="inlineStr">
        <is>
          <t>TORSBY</t>
        </is>
      </c>
      <c r="F1882" t="inlineStr">
        <is>
          <t>Bergvik skog väst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51751-2023</t>
        </is>
      </c>
      <c r="B1883" s="1" t="n">
        <v>45222</v>
      </c>
      <c r="C1883" s="1" t="n">
        <v>45822</v>
      </c>
      <c r="D1883" t="inlineStr">
        <is>
          <t>VÄRMLANDS LÄN</t>
        </is>
      </c>
      <c r="E1883" t="inlineStr">
        <is>
          <t>TORSBY</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51788-2023</t>
        </is>
      </c>
      <c r="B1884" s="1" t="n">
        <v>45222</v>
      </c>
      <c r="C1884" s="1" t="n">
        <v>45822</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51753-2023</t>
        </is>
      </c>
      <c r="B1885" s="1" t="n">
        <v>45222</v>
      </c>
      <c r="C1885" s="1" t="n">
        <v>45822</v>
      </c>
      <c r="D1885" t="inlineStr">
        <is>
          <t>VÄRMLANDS LÄN</t>
        </is>
      </c>
      <c r="E1885" t="inlineStr">
        <is>
          <t>TORSBY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52078-2023</t>
        </is>
      </c>
      <c r="B1886" s="1" t="n">
        <v>45223</v>
      </c>
      <c r="C1886" s="1" t="n">
        <v>45822</v>
      </c>
      <c r="D1886" t="inlineStr">
        <is>
          <t>VÄRMLANDS LÄN</t>
        </is>
      </c>
      <c r="E1886" t="inlineStr">
        <is>
          <t>TORSBY</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52050-2023</t>
        </is>
      </c>
      <c r="B1887" s="1" t="n">
        <v>45223</v>
      </c>
      <c r="C1887" s="1" t="n">
        <v>45822</v>
      </c>
      <c r="D1887" t="inlineStr">
        <is>
          <t>VÄRMLANDS LÄN</t>
        </is>
      </c>
      <c r="E1887" t="inlineStr">
        <is>
          <t>TORSBY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52067-2023</t>
        </is>
      </c>
      <c r="B1888" s="1" t="n">
        <v>45223</v>
      </c>
      <c r="C1888" s="1" t="n">
        <v>45822</v>
      </c>
      <c r="D1888" t="inlineStr">
        <is>
          <t>VÄRMLANDS LÄN</t>
        </is>
      </c>
      <c r="E1888" t="inlineStr">
        <is>
          <t>TORSBY</t>
        </is>
      </c>
      <c r="F1888" t="inlineStr">
        <is>
          <t>Bergvik skog väst AB</t>
        </is>
      </c>
      <c r="G1888" t="n">
        <v>40.4</v>
      </c>
      <c r="H1888" t="n">
        <v>0</v>
      </c>
      <c r="I1888" t="n">
        <v>0</v>
      </c>
      <c r="J1888" t="n">
        <v>0</v>
      </c>
      <c r="K1888" t="n">
        <v>0</v>
      </c>
      <c r="L1888" t="n">
        <v>0</v>
      </c>
      <c r="M1888" t="n">
        <v>0</v>
      </c>
      <c r="N1888" t="n">
        <v>0</v>
      </c>
      <c r="O1888" t="n">
        <v>0</v>
      </c>
      <c r="P1888" t="n">
        <v>0</v>
      </c>
      <c r="Q1888" t="n">
        <v>0</v>
      </c>
      <c r="R1888" s="2" t="inlineStr"/>
    </row>
    <row r="1889" ht="15" customHeight="1">
      <c r="A1889" t="inlineStr">
        <is>
          <t>A 53499-2023</t>
        </is>
      </c>
      <c r="B1889" s="1" t="n">
        <v>45223</v>
      </c>
      <c r="C1889" s="1" t="n">
        <v>45822</v>
      </c>
      <c r="D1889" t="inlineStr">
        <is>
          <t>VÄRMLANDS LÄN</t>
        </is>
      </c>
      <c r="E1889" t="inlineStr">
        <is>
          <t>TORSBY</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52275-2023</t>
        </is>
      </c>
      <c r="B1890" s="1" t="n">
        <v>45224</v>
      </c>
      <c r="C1890" s="1" t="n">
        <v>45822</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52385-2023</t>
        </is>
      </c>
      <c r="B1891" s="1" t="n">
        <v>45224</v>
      </c>
      <c r="C1891" s="1" t="n">
        <v>45822</v>
      </c>
      <c r="D1891" t="inlineStr">
        <is>
          <t>VÄRMLANDS LÄN</t>
        </is>
      </c>
      <c r="E1891" t="inlineStr">
        <is>
          <t>TORSBY</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53652-2023</t>
        </is>
      </c>
      <c r="B1892" s="1" t="n">
        <v>45224</v>
      </c>
      <c r="C1892" s="1" t="n">
        <v>45822</v>
      </c>
      <c r="D1892" t="inlineStr">
        <is>
          <t>VÄRMLANDS LÄN</t>
        </is>
      </c>
      <c r="E1892" t="inlineStr">
        <is>
          <t>TORSBY</t>
        </is>
      </c>
      <c r="F1892" t="inlineStr">
        <is>
          <t>Övriga statliga verk och myndigheter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52541-2023</t>
        </is>
      </c>
      <c r="B1893" s="1" t="n">
        <v>45225</v>
      </c>
      <c r="C1893" s="1" t="n">
        <v>45822</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52580-2023</t>
        </is>
      </c>
      <c r="B1894" s="1" t="n">
        <v>45225</v>
      </c>
      <c r="C1894" s="1" t="n">
        <v>45822</v>
      </c>
      <c r="D1894" t="inlineStr">
        <is>
          <t>VÄRMLANDS LÄN</t>
        </is>
      </c>
      <c r="E1894" t="inlineStr">
        <is>
          <t>TORSBY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52555-2023</t>
        </is>
      </c>
      <c r="B1895" s="1" t="n">
        <v>45225</v>
      </c>
      <c r="C1895" s="1" t="n">
        <v>45822</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52532-2023</t>
        </is>
      </c>
      <c r="B1896" s="1" t="n">
        <v>45225</v>
      </c>
      <c r="C1896" s="1" t="n">
        <v>45822</v>
      </c>
      <c r="D1896" t="inlineStr">
        <is>
          <t>VÄRMLANDS LÄN</t>
        </is>
      </c>
      <c r="E1896" t="inlineStr">
        <is>
          <t>TORSBY</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52591-2023</t>
        </is>
      </c>
      <c r="B1897" s="1" t="n">
        <v>45225</v>
      </c>
      <c r="C1897" s="1" t="n">
        <v>45822</v>
      </c>
      <c r="D1897" t="inlineStr">
        <is>
          <t>VÄRMLANDS LÄN</t>
        </is>
      </c>
      <c r="E1897" t="inlineStr">
        <is>
          <t>TORSBY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52984-2023</t>
        </is>
      </c>
      <c r="B1898" s="1" t="n">
        <v>45226</v>
      </c>
      <c r="C1898" s="1" t="n">
        <v>45822</v>
      </c>
      <c r="D1898" t="inlineStr">
        <is>
          <t>VÄRMLANDS LÄN</t>
        </is>
      </c>
      <c r="E1898" t="inlineStr">
        <is>
          <t>TORSBY</t>
        </is>
      </c>
      <c r="F1898" t="inlineStr">
        <is>
          <t>Bergvik skog väst AB</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52982-2023</t>
        </is>
      </c>
      <c r="B1899" s="1" t="n">
        <v>45226</v>
      </c>
      <c r="C1899" s="1" t="n">
        <v>45822</v>
      </c>
      <c r="D1899" t="inlineStr">
        <is>
          <t>VÄRMLANDS LÄN</t>
        </is>
      </c>
      <c r="E1899" t="inlineStr">
        <is>
          <t>TORSBY</t>
        </is>
      </c>
      <c r="G1899" t="n">
        <v>35.5</v>
      </c>
      <c r="H1899" t="n">
        <v>0</v>
      </c>
      <c r="I1899" t="n">
        <v>0</v>
      </c>
      <c r="J1899" t="n">
        <v>0</v>
      </c>
      <c r="K1899" t="n">
        <v>0</v>
      </c>
      <c r="L1899" t="n">
        <v>0</v>
      </c>
      <c r="M1899" t="n">
        <v>0</v>
      </c>
      <c r="N1899" t="n">
        <v>0</v>
      </c>
      <c r="O1899" t="n">
        <v>0</v>
      </c>
      <c r="P1899" t="n">
        <v>0</v>
      </c>
      <c r="Q1899" t="n">
        <v>0</v>
      </c>
      <c r="R1899" s="2" t="inlineStr"/>
    </row>
    <row r="1900" ht="15" customHeight="1">
      <c r="A1900" t="inlineStr">
        <is>
          <t>A 52810-2023</t>
        </is>
      </c>
      <c r="B1900" s="1" t="n">
        <v>45226</v>
      </c>
      <c r="C1900" s="1" t="n">
        <v>45822</v>
      </c>
      <c r="D1900" t="inlineStr">
        <is>
          <t>VÄRMLANDS LÄN</t>
        </is>
      </c>
      <c r="E1900" t="inlineStr">
        <is>
          <t>TORSBY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53103-2023</t>
        </is>
      </c>
      <c r="B1901" s="1" t="n">
        <v>45228</v>
      </c>
      <c r="C1901" s="1" t="n">
        <v>45822</v>
      </c>
      <c r="D1901" t="inlineStr">
        <is>
          <t>VÄRMLANDS LÄN</t>
        </is>
      </c>
      <c r="E1901" t="inlineStr">
        <is>
          <t>TORSBY</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53116-2023</t>
        </is>
      </c>
      <c r="B1902" s="1" t="n">
        <v>45228</v>
      </c>
      <c r="C1902" s="1" t="n">
        <v>45822</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53346-2023</t>
        </is>
      </c>
      <c r="B1903" s="1" t="n">
        <v>45229</v>
      </c>
      <c r="C1903" s="1" t="n">
        <v>45822</v>
      </c>
      <c r="D1903" t="inlineStr">
        <is>
          <t>VÄRMLANDS LÄN</t>
        </is>
      </c>
      <c r="E1903" t="inlineStr">
        <is>
          <t>TORSBY</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54879-2023</t>
        </is>
      </c>
      <c r="B1904" s="1" t="n">
        <v>45229</v>
      </c>
      <c r="C1904" s="1" t="n">
        <v>45822</v>
      </c>
      <c r="D1904" t="inlineStr">
        <is>
          <t>VÄRMLANDS LÄN</t>
        </is>
      </c>
      <c r="E1904" t="inlineStr">
        <is>
          <t>TORSBY</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54822-2023</t>
        </is>
      </c>
      <c r="B1905" s="1" t="n">
        <v>45229</v>
      </c>
      <c r="C1905" s="1" t="n">
        <v>45822</v>
      </c>
      <c r="D1905" t="inlineStr">
        <is>
          <t>VÄRMLANDS LÄN</t>
        </is>
      </c>
      <c r="E1905" t="inlineStr">
        <is>
          <t>TORSBY</t>
        </is>
      </c>
      <c r="F1905" t="inlineStr">
        <is>
          <t>Övriga Aktiebolag</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53557-2023</t>
        </is>
      </c>
      <c r="B1906" s="1" t="n">
        <v>45230</v>
      </c>
      <c r="C1906" s="1" t="n">
        <v>45822</v>
      </c>
      <c r="D1906" t="inlineStr">
        <is>
          <t>VÄRMLANDS LÄN</t>
        </is>
      </c>
      <c r="E1906" t="inlineStr">
        <is>
          <t>TORSBY</t>
        </is>
      </c>
      <c r="F1906" t="inlineStr">
        <is>
          <t>Bergvik skog väst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53495-2023</t>
        </is>
      </c>
      <c r="B1907" s="1" t="n">
        <v>45230</v>
      </c>
      <c r="C1907" s="1" t="n">
        <v>45822</v>
      </c>
      <c r="D1907" t="inlineStr">
        <is>
          <t>VÄRMLANDS LÄN</t>
        </is>
      </c>
      <c r="E1907" t="inlineStr">
        <is>
          <t>TORSBY</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53794-2023</t>
        </is>
      </c>
      <c r="B1908" s="1" t="n">
        <v>45231</v>
      </c>
      <c r="C1908" s="1" t="n">
        <v>45822</v>
      </c>
      <c r="D1908" t="inlineStr">
        <is>
          <t>VÄRMLANDS LÄN</t>
        </is>
      </c>
      <c r="E1908" t="inlineStr">
        <is>
          <t>TORSBY</t>
        </is>
      </c>
      <c r="G1908" t="n">
        <v>17.3</v>
      </c>
      <c r="H1908" t="n">
        <v>0</v>
      </c>
      <c r="I1908" t="n">
        <v>0</v>
      </c>
      <c r="J1908" t="n">
        <v>0</v>
      </c>
      <c r="K1908" t="n">
        <v>0</v>
      </c>
      <c r="L1908" t="n">
        <v>0</v>
      </c>
      <c r="M1908" t="n">
        <v>0</v>
      </c>
      <c r="N1908" t="n">
        <v>0</v>
      </c>
      <c r="O1908" t="n">
        <v>0</v>
      </c>
      <c r="P1908" t="n">
        <v>0</v>
      </c>
      <c r="Q1908" t="n">
        <v>0</v>
      </c>
      <c r="R1908" s="2" t="inlineStr"/>
    </row>
    <row r="1909" ht="15" customHeight="1">
      <c r="A1909" t="inlineStr">
        <is>
          <t>A 53921-2023</t>
        </is>
      </c>
      <c r="B1909" s="1" t="n">
        <v>45231</v>
      </c>
      <c r="C1909" s="1" t="n">
        <v>45822</v>
      </c>
      <c r="D1909" t="inlineStr">
        <is>
          <t>VÄRMLANDS LÄN</t>
        </is>
      </c>
      <c r="E1909" t="inlineStr">
        <is>
          <t>TORSBY</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53945-2023</t>
        </is>
      </c>
      <c r="B1910" s="1" t="n">
        <v>45231</v>
      </c>
      <c r="C1910" s="1" t="n">
        <v>45822</v>
      </c>
      <c r="D1910" t="inlineStr">
        <is>
          <t>VÄRMLANDS LÄN</t>
        </is>
      </c>
      <c r="E1910" t="inlineStr">
        <is>
          <t>TORSBY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53922-2023</t>
        </is>
      </c>
      <c r="B1911" s="1" t="n">
        <v>45231</v>
      </c>
      <c r="C1911" s="1" t="n">
        <v>45822</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54162-2023</t>
        </is>
      </c>
      <c r="B1912" s="1" t="n">
        <v>45232</v>
      </c>
      <c r="C1912" s="1" t="n">
        <v>45822</v>
      </c>
      <c r="D1912" t="inlineStr">
        <is>
          <t>VÄRMLANDS LÄN</t>
        </is>
      </c>
      <c r="E1912" t="inlineStr">
        <is>
          <t>TORSBY</t>
        </is>
      </c>
      <c r="F1912" t="inlineStr">
        <is>
          <t>Bergvik skog väst AB</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54262-2023</t>
        </is>
      </c>
      <c r="B1913" s="1" t="n">
        <v>45232</v>
      </c>
      <c r="C1913" s="1" t="n">
        <v>45822</v>
      </c>
      <c r="D1913" t="inlineStr">
        <is>
          <t>VÄRMLANDS LÄN</t>
        </is>
      </c>
      <c r="E1913" t="inlineStr">
        <is>
          <t>TORSBY</t>
        </is>
      </c>
      <c r="F1913" t="inlineStr">
        <is>
          <t>Bergvik skog väst AB</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54223-2023</t>
        </is>
      </c>
      <c r="B1914" s="1" t="n">
        <v>45232</v>
      </c>
      <c r="C1914" s="1" t="n">
        <v>45822</v>
      </c>
      <c r="D1914" t="inlineStr">
        <is>
          <t>VÄRMLANDS LÄN</t>
        </is>
      </c>
      <c r="E1914" t="inlineStr">
        <is>
          <t>TORSBY</t>
        </is>
      </c>
      <c r="F1914" t="inlineStr">
        <is>
          <t>Bergvik skog väst AB</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54191-2023</t>
        </is>
      </c>
      <c r="B1915" s="1" t="n">
        <v>45232</v>
      </c>
      <c r="C1915" s="1" t="n">
        <v>45822</v>
      </c>
      <c r="D1915" t="inlineStr">
        <is>
          <t>VÄRMLANDS LÄN</t>
        </is>
      </c>
      <c r="E1915" t="inlineStr">
        <is>
          <t>TORSBY</t>
        </is>
      </c>
      <c r="F1915" t="inlineStr">
        <is>
          <t>Bergvik skog väst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54204-2023</t>
        </is>
      </c>
      <c r="B1916" s="1" t="n">
        <v>45232</v>
      </c>
      <c r="C1916" s="1" t="n">
        <v>45822</v>
      </c>
      <c r="D1916" t="inlineStr">
        <is>
          <t>VÄRMLANDS LÄN</t>
        </is>
      </c>
      <c r="E1916" t="inlineStr">
        <is>
          <t>TORSBY</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54556-2023</t>
        </is>
      </c>
      <c r="B1917" s="1" t="n">
        <v>45233</v>
      </c>
      <c r="C1917" s="1" t="n">
        <v>45822</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54551-2023</t>
        </is>
      </c>
      <c r="B1918" s="1" t="n">
        <v>45233</v>
      </c>
      <c r="C1918" s="1" t="n">
        <v>45822</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54442-2023</t>
        </is>
      </c>
      <c r="B1919" s="1" t="n">
        <v>45233</v>
      </c>
      <c r="C1919" s="1" t="n">
        <v>45822</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54386-2023</t>
        </is>
      </c>
      <c r="B1920" s="1" t="n">
        <v>45233</v>
      </c>
      <c r="C1920" s="1" t="n">
        <v>45822</v>
      </c>
      <c r="D1920" t="inlineStr">
        <is>
          <t>VÄRMLANDS LÄN</t>
        </is>
      </c>
      <c r="E1920" t="inlineStr">
        <is>
          <t>TORSBY</t>
        </is>
      </c>
      <c r="F1920" t="inlineStr">
        <is>
          <t>Bergvik skog väst AB</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54528-2023</t>
        </is>
      </c>
      <c r="B1921" s="1" t="n">
        <v>45233</v>
      </c>
      <c r="C1921" s="1" t="n">
        <v>45822</v>
      </c>
      <c r="D1921" t="inlineStr">
        <is>
          <t>VÄRMLANDS LÄN</t>
        </is>
      </c>
      <c r="E1921" t="inlineStr">
        <is>
          <t>TORSBY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54562-2023</t>
        </is>
      </c>
      <c r="B1922" s="1" t="n">
        <v>45233</v>
      </c>
      <c r="C1922" s="1" t="n">
        <v>45822</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54532-2023</t>
        </is>
      </c>
      <c r="B1923" s="1" t="n">
        <v>45233</v>
      </c>
      <c r="C1923" s="1" t="n">
        <v>45822</v>
      </c>
      <c r="D1923" t="inlineStr">
        <is>
          <t>VÄRMLANDS LÄN</t>
        </is>
      </c>
      <c r="E1923" t="inlineStr">
        <is>
          <t>TORSBY</t>
        </is>
      </c>
      <c r="F1923" t="inlineStr">
        <is>
          <t>Bergvik skog väst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54525-2023</t>
        </is>
      </c>
      <c r="B1924" s="1" t="n">
        <v>45233</v>
      </c>
      <c r="C1924" s="1" t="n">
        <v>45822</v>
      </c>
      <c r="D1924" t="inlineStr">
        <is>
          <t>VÄRMLANDS LÄN</t>
        </is>
      </c>
      <c r="E1924" t="inlineStr">
        <is>
          <t>TORSBY</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54487-2023</t>
        </is>
      </c>
      <c r="B1925" s="1" t="n">
        <v>45233</v>
      </c>
      <c r="C1925" s="1" t="n">
        <v>45822</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54409-2023</t>
        </is>
      </c>
      <c r="B1926" s="1" t="n">
        <v>45233</v>
      </c>
      <c r="C1926" s="1" t="n">
        <v>45822</v>
      </c>
      <c r="D1926" t="inlineStr">
        <is>
          <t>VÄRMLANDS LÄN</t>
        </is>
      </c>
      <c r="E1926" t="inlineStr">
        <is>
          <t>TORSBY</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54714-2023</t>
        </is>
      </c>
      <c r="B1927" s="1" t="n">
        <v>45236</v>
      </c>
      <c r="C1927" s="1" t="n">
        <v>45822</v>
      </c>
      <c r="D1927" t="inlineStr">
        <is>
          <t>VÄRMLANDS LÄN</t>
        </is>
      </c>
      <c r="E1927" t="inlineStr">
        <is>
          <t>TORSBY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54766-2023</t>
        </is>
      </c>
      <c r="B1928" s="1" t="n">
        <v>45236</v>
      </c>
      <c r="C1928" s="1" t="n">
        <v>45822</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54777-2023</t>
        </is>
      </c>
      <c r="B1929" s="1" t="n">
        <v>45236</v>
      </c>
      <c r="C1929" s="1" t="n">
        <v>45822</v>
      </c>
      <c r="D1929" t="inlineStr">
        <is>
          <t>VÄRMLANDS LÄN</t>
        </is>
      </c>
      <c r="E1929" t="inlineStr">
        <is>
          <t>TORSBY</t>
        </is>
      </c>
      <c r="F1929" t="inlineStr">
        <is>
          <t>Bergvik skog väst AB</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54876-2023</t>
        </is>
      </c>
      <c r="B1930" s="1" t="n">
        <v>45236</v>
      </c>
      <c r="C1930" s="1" t="n">
        <v>45822</v>
      </c>
      <c r="D1930" t="inlineStr">
        <is>
          <t>VÄRMLANDS LÄN</t>
        </is>
      </c>
      <c r="E1930" t="inlineStr">
        <is>
          <t>TORSBY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54708-2023</t>
        </is>
      </c>
      <c r="B1931" s="1" t="n">
        <v>45236</v>
      </c>
      <c r="C1931" s="1" t="n">
        <v>45822</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55031-2023</t>
        </is>
      </c>
      <c r="B1932" s="1" t="n">
        <v>45237</v>
      </c>
      <c r="C1932" s="1" t="n">
        <v>45822</v>
      </c>
      <c r="D1932" t="inlineStr">
        <is>
          <t>VÄRMLANDS LÄN</t>
        </is>
      </c>
      <c r="E1932" t="inlineStr">
        <is>
          <t>TORSBY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55100-2023</t>
        </is>
      </c>
      <c r="B1933" s="1" t="n">
        <v>45237</v>
      </c>
      <c r="C1933" s="1" t="n">
        <v>45822</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55401-2023</t>
        </is>
      </c>
      <c r="B1934" s="1" t="n">
        <v>45238</v>
      </c>
      <c r="C1934" s="1" t="n">
        <v>45822</v>
      </c>
      <c r="D1934" t="inlineStr">
        <is>
          <t>VÄRMLANDS LÄN</t>
        </is>
      </c>
      <c r="E1934" t="inlineStr">
        <is>
          <t>TORSBY</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55461-2023</t>
        </is>
      </c>
      <c r="B1935" s="1" t="n">
        <v>45238</v>
      </c>
      <c r="C1935" s="1" t="n">
        <v>45822</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55480-2023</t>
        </is>
      </c>
      <c r="B1936" s="1" t="n">
        <v>45238</v>
      </c>
      <c r="C1936" s="1" t="n">
        <v>45822</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55485-2023</t>
        </is>
      </c>
      <c r="B1937" s="1" t="n">
        <v>45238</v>
      </c>
      <c r="C1937" s="1" t="n">
        <v>45822</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55478-2023</t>
        </is>
      </c>
      <c r="B1938" s="1" t="n">
        <v>45238</v>
      </c>
      <c r="C1938" s="1" t="n">
        <v>45822</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55522-2023</t>
        </is>
      </c>
      <c r="B1939" s="1" t="n">
        <v>45238</v>
      </c>
      <c r="C1939" s="1" t="n">
        <v>45822</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55527-2023</t>
        </is>
      </c>
      <c r="B1940" s="1" t="n">
        <v>45238</v>
      </c>
      <c r="C1940" s="1" t="n">
        <v>45822</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56716-2023</t>
        </is>
      </c>
      <c r="B1941" s="1" t="n">
        <v>45238</v>
      </c>
      <c r="C1941" s="1" t="n">
        <v>45822</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56712-2023</t>
        </is>
      </c>
      <c r="B1942" s="1" t="n">
        <v>45238</v>
      </c>
      <c r="C1942" s="1" t="n">
        <v>45822</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55447-2023</t>
        </is>
      </c>
      <c r="B1943" s="1" t="n">
        <v>45238</v>
      </c>
      <c r="C1943" s="1" t="n">
        <v>45822</v>
      </c>
      <c r="D1943" t="inlineStr">
        <is>
          <t>VÄRMLANDS LÄN</t>
        </is>
      </c>
      <c r="E1943" t="inlineStr">
        <is>
          <t>TORSBY</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56714-2023</t>
        </is>
      </c>
      <c r="B1944" s="1" t="n">
        <v>45238</v>
      </c>
      <c r="C1944" s="1" t="n">
        <v>45822</v>
      </c>
      <c r="D1944" t="inlineStr">
        <is>
          <t>VÄRMLANDS LÄN</t>
        </is>
      </c>
      <c r="E1944" t="inlineStr">
        <is>
          <t>TORSBY</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55759-2023</t>
        </is>
      </c>
      <c r="B1945" s="1" t="n">
        <v>45239</v>
      </c>
      <c r="C1945" s="1" t="n">
        <v>45822</v>
      </c>
      <c r="D1945" t="inlineStr">
        <is>
          <t>VÄRMLANDS LÄN</t>
        </is>
      </c>
      <c r="E1945" t="inlineStr">
        <is>
          <t>TORSBY</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57092-2023</t>
        </is>
      </c>
      <c r="B1946" s="1" t="n">
        <v>45239</v>
      </c>
      <c r="C1946" s="1" t="n">
        <v>45822</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57091-2023</t>
        </is>
      </c>
      <c r="B1947" s="1" t="n">
        <v>45239</v>
      </c>
      <c r="C1947" s="1" t="n">
        <v>45822</v>
      </c>
      <c r="D1947" t="inlineStr">
        <is>
          <t>VÄRMLANDS LÄN</t>
        </is>
      </c>
      <c r="E1947" t="inlineStr">
        <is>
          <t>TORSBY</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56889-2023</t>
        </is>
      </c>
      <c r="B1948" s="1" t="n">
        <v>45239</v>
      </c>
      <c r="C1948" s="1" t="n">
        <v>45822</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55727-2023</t>
        </is>
      </c>
      <c r="B1949" s="1" t="n">
        <v>45239</v>
      </c>
      <c r="C1949" s="1" t="n">
        <v>45822</v>
      </c>
      <c r="D1949" t="inlineStr">
        <is>
          <t>VÄRMLANDS LÄN</t>
        </is>
      </c>
      <c r="E1949" t="inlineStr">
        <is>
          <t>TORSBY</t>
        </is>
      </c>
      <c r="F1949" t="inlineStr">
        <is>
          <t>Bergvik skog väst AB</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56164-2023</t>
        </is>
      </c>
      <c r="B1950" s="1" t="n">
        <v>45240</v>
      </c>
      <c r="C1950" s="1" t="n">
        <v>45822</v>
      </c>
      <c r="D1950" t="inlineStr">
        <is>
          <t>VÄRMLANDS LÄN</t>
        </is>
      </c>
      <c r="E1950" t="inlineStr">
        <is>
          <t>TORSBY</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56170-2023</t>
        </is>
      </c>
      <c r="B1951" s="1" t="n">
        <v>45240</v>
      </c>
      <c r="C1951" s="1" t="n">
        <v>45822</v>
      </c>
      <c r="D1951" t="inlineStr">
        <is>
          <t>VÄRMLANDS LÄN</t>
        </is>
      </c>
      <c r="E1951" t="inlineStr">
        <is>
          <t>TORSBY</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56116-2023</t>
        </is>
      </c>
      <c r="B1952" s="1" t="n">
        <v>45240</v>
      </c>
      <c r="C1952" s="1" t="n">
        <v>45822</v>
      </c>
      <c r="D1952" t="inlineStr">
        <is>
          <t>VÄRMLANDS LÄN</t>
        </is>
      </c>
      <c r="E1952" t="inlineStr">
        <is>
          <t>TORSBY</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56021-2023</t>
        </is>
      </c>
      <c r="B1953" s="1" t="n">
        <v>45240</v>
      </c>
      <c r="C1953" s="1" t="n">
        <v>45822</v>
      </c>
      <c r="D1953" t="inlineStr">
        <is>
          <t>VÄRMLANDS LÄN</t>
        </is>
      </c>
      <c r="E1953" t="inlineStr">
        <is>
          <t>TORSBY</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56426-2023</t>
        </is>
      </c>
      <c r="B1954" s="1" t="n">
        <v>45243</v>
      </c>
      <c r="C1954" s="1" t="n">
        <v>45822</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56724-2023</t>
        </is>
      </c>
      <c r="B1955" s="1" t="n">
        <v>45244</v>
      </c>
      <c r="C1955" s="1" t="n">
        <v>45822</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56880-2023</t>
        </is>
      </c>
      <c r="B1956" s="1" t="n">
        <v>45244</v>
      </c>
      <c r="C1956" s="1" t="n">
        <v>45822</v>
      </c>
      <c r="D1956" t="inlineStr">
        <is>
          <t>VÄRMLANDS LÄN</t>
        </is>
      </c>
      <c r="E1956" t="inlineStr">
        <is>
          <t>TORSBY</t>
        </is>
      </c>
      <c r="F1956" t="inlineStr">
        <is>
          <t>Övriga Aktiebolag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56881-2023</t>
        </is>
      </c>
      <c r="B1957" s="1" t="n">
        <v>45244</v>
      </c>
      <c r="C1957" s="1" t="n">
        <v>45822</v>
      </c>
      <c r="D1957" t="inlineStr">
        <is>
          <t>VÄRMLANDS LÄN</t>
        </is>
      </c>
      <c r="E1957" t="inlineStr">
        <is>
          <t>TORSBY</t>
        </is>
      </c>
      <c r="F1957" t="inlineStr">
        <is>
          <t>Övriga Aktiebolag</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56875-2023</t>
        </is>
      </c>
      <c r="B1958" s="1" t="n">
        <v>45244</v>
      </c>
      <c r="C1958" s="1" t="n">
        <v>45822</v>
      </c>
      <c r="D1958" t="inlineStr">
        <is>
          <t>VÄRMLANDS LÄN</t>
        </is>
      </c>
      <c r="E1958" t="inlineStr">
        <is>
          <t>TORSBY</t>
        </is>
      </c>
      <c r="F1958" t="inlineStr">
        <is>
          <t>Övriga Aktiebolag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56811-2023</t>
        </is>
      </c>
      <c r="B1959" s="1" t="n">
        <v>45244</v>
      </c>
      <c r="C1959" s="1" t="n">
        <v>45822</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56815-2023</t>
        </is>
      </c>
      <c r="B1960" s="1" t="n">
        <v>45244</v>
      </c>
      <c r="C1960" s="1" t="n">
        <v>45822</v>
      </c>
      <c r="D1960" t="inlineStr">
        <is>
          <t>VÄRMLANDS LÄN</t>
        </is>
      </c>
      <c r="E1960" t="inlineStr">
        <is>
          <t>TORSBY</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56902-2023</t>
        </is>
      </c>
      <c r="B1961" s="1" t="n">
        <v>45244</v>
      </c>
      <c r="C1961" s="1" t="n">
        <v>45822</v>
      </c>
      <c r="D1961" t="inlineStr">
        <is>
          <t>VÄRMLANDS LÄN</t>
        </is>
      </c>
      <c r="E1961" t="inlineStr">
        <is>
          <t>TORSBY</t>
        </is>
      </c>
      <c r="G1961" t="n">
        <v>17.4</v>
      </c>
      <c r="H1961" t="n">
        <v>0</v>
      </c>
      <c r="I1961" t="n">
        <v>0</v>
      </c>
      <c r="J1961" t="n">
        <v>0</v>
      </c>
      <c r="K1961" t="n">
        <v>0</v>
      </c>
      <c r="L1961" t="n">
        <v>0</v>
      </c>
      <c r="M1961" t="n">
        <v>0</v>
      </c>
      <c r="N1961" t="n">
        <v>0</v>
      </c>
      <c r="O1961" t="n">
        <v>0</v>
      </c>
      <c r="P1961" t="n">
        <v>0</v>
      </c>
      <c r="Q1961" t="n">
        <v>0</v>
      </c>
      <c r="R1961" s="2" t="inlineStr"/>
    </row>
    <row r="1962" ht="15" customHeight="1">
      <c r="A1962" t="inlineStr">
        <is>
          <t>A 56970-2023</t>
        </is>
      </c>
      <c r="B1962" s="1" t="n">
        <v>45244</v>
      </c>
      <c r="C1962" s="1" t="n">
        <v>45822</v>
      </c>
      <c r="D1962" t="inlineStr">
        <is>
          <t>VÄRMLANDS LÄN</t>
        </is>
      </c>
      <c r="E1962" t="inlineStr">
        <is>
          <t>TORSBY</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57017-2023</t>
        </is>
      </c>
      <c r="B1963" s="1" t="n">
        <v>45244</v>
      </c>
      <c r="C1963" s="1" t="n">
        <v>45822</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57117-2023</t>
        </is>
      </c>
      <c r="B1964" s="1" t="n">
        <v>45245</v>
      </c>
      <c r="C1964" s="1" t="n">
        <v>45822</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57143-2023</t>
        </is>
      </c>
      <c r="B1965" s="1" t="n">
        <v>45245</v>
      </c>
      <c r="C1965" s="1" t="n">
        <v>45822</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57345-2023</t>
        </is>
      </c>
      <c r="B1966" s="1" t="n">
        <v>45245</v>
      </c>
      <c r="C1966" s="1" t="n">
        <v>45822</v>
      </c>
      <c r="D1966" t="inlineStr">
        <is>
          <t>VÄRMLANDS LÄN</t>
        </is>
      </c>
      <c r="E1966" t="inlineStr">
        <is>
          <t>TORSBY</t>
        </is>
      </c>
      <c r="F1966" t="inlineStr">
        <is>
          <t>Bergvik skog väst AB</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57135-2023</t>
        </is>
      </c>
      <c r="B1967" s="1" t="n">
        <v>45245</v>
      </c>
      <c r="C1967" s="1" t="n">
        <v>45822</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57216-2023</t>
        </is>
      </c>
      <c r="B1968" s="1" t="n">
        <v>45245</v>
      </c>
      <c r="C1968" s="1" t="n">
        <v>45822</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57538-2023</t>
        </is>
      </c>
      <c r="B1969" s="1" t="n">
        <v>45246</v>
      </c>
      <c r="C1969" s="1" t="n">
        <v>45822</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57547-2023</t>
        </is>
      </c>
      <c r="B1970" s="1" t="n">
        <v>45246</v>
      </c>
      <c r="C1970" s="1" t="n">
        <v>45822</v>
      </c>
      <c r="D1970" t="inlineStr">
        <is>
          <t>VÄRMLANDS LÄN</t>
        </is>
      </c>
      <c r="E1970" t="inlineStr">
        <is>
          <t>TORSBY</t>
        </is>
      </c>
      <c r="F1970" t="inlineStr">
        <is>
          <t>Bergvik skog väst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57569-2023</t>
        </is>
      </c>
      <c r="B1971" s="1" t="n">
        <v>45246</v>
      </c>
      <c r="C1971" s="1" t="n">
        <v>45822</v>
      </c>
      <c r="D1971" t="inlineStr">
        <is>
          <t>VÄRMLANDS LÄN</t>
        </is>
      </c>
      <c r="E1971" t="inlineStr">
        <is>
          <t>TORSBY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57647-2023</t>
        </is>
      </c>
      <c r="B1972" s="1" t="n">
        <v>45246</v>
      </c>
      <c r="C1972" s="1" t="n">
        <v>45822</v>
      </c>
      <c r="D1972" t="inlineStr">
        <is>
          <t>VÄRMLANDS LÄN</t>
        </is>
      </c>
      <c r="E1972" t="inlineStr">
        <is>
          <t>TORSBY</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57642-2023</t>
        </is>
      </c>
      <c r="B1973" s="1" t="n">
        <v>45246</v>
      </c>
      <c r="C1973" s="1" t="n">
        <v>45822</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57921-2023</t>
        </is>
      </c>
      <c r="B1974" s="1" t="n">
        <v>45247</v>
      </c>
      <c r="C1974" s="1" t="n">
        <v>45822</v>
      </c>
      <c r="D1974" t="inlineStr">
        <is>
          <t>VÄRMLANDS LÄN</t>
        </is>
      </c>
      <c r="E1974" t="inlineStr">
        <is>
          <t>TORSBY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58013-2023</t>
        </is>
      </c>
      <c r="B1975" s="1" t="n">
        <v>45247</v>
      </c>
      <c r="C1975" s="1" t="n">
        <v>45822</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57980-2023</t>
        </is>
      </c>
      <c r="B1976" s="1" t="n">
        <v>45247</v>
      </c>
      <c r="C1976" s="1" t="n">
        <v>45822</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57990-2023</t>
        </is>
      </c>
      <c r="B1977" s="1" t="n">
        <v>45247</v>
      </c>
      <c r="C1977" s="1" t="n">
        <v>45822</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58037-2023</t>
        </is>
      </c>
      <c r="B1978" s="1" t="n">
        <v>45247</v>
      </c>
      <c r="C1978" s="1" t="n">
        <v>45822</v>
      </c>
      <c r="D1978" t="inlineStr">
        <is>
          <t>VÄRMLANDS LÄN</t>
        </is>
      </c>
      <c r="E1978" t="inlineStr">
        <is>
          <t>TORSBY</t>
        </is>
      </c>
      <c r="F1978" t="inlineStr">
        <is>
          <t>Bergvik skog väst AB</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58600-2023</t>
        </is>
      </c>
      <c r="B1979" s="1" t="n">
        <v>45247</v>
      </c>
      <c r="C1979" s="1" t="n">
        <v>45822</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58185-2023</t>
        </is>
      </c>
      <c r="B1980" s="1" t="n">
        <v>45250</v>
      </c>
      <c r="C1980" s="1" t="n">
        <v>45822</v>
      </c>
      <c r="D1980" t="inlineStr">
        <is>
          <t>VÄRMLANDS LÄN</t>
        </is>
      </c>
      <c r="E1980" t="inlineStr">
        <is>
          <t>TORSBY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58386-2023</t>
        </is>
      </c>
      <c r="B1981" s="1" t="n">
        <v>45250</v>
      </c>
      <c r="C1981" s="1" t="n">
        <v>45822</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58430-2023</t>
        </is>
      </c>
      <c r="B1982" s="1" t="n">
        <v>45250</v>
      </c>
      <c r="C1982" s="1" t="n">
        <v>45822</v>
      </c>
      <c r="D1982" t="inlineStr">
        <is>
          <t>VÄRMLANDS LÄN</t>
        </is>
      </c>
      <c r="E1982" t="inlineStr">
        <is>
          <t>TORSBY</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58438-2023</t>
        </is>
      </c>
      <c r="B1983" s="1" t="n">
        <v>45250</v>
      </c>
      <c r="C1983" s="1" t="n">
        <v>45822</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58394-2023</t>
        </is>
      </c>
      <c r="B1984" s="1" t="n">
        <v>45250</v>
      </c>
      <c r="C1984" s="1" t="n">
        <v>45822</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58235-2023</t>
        </is>
      </c>
      <c r="B1985" s="1" t="n">
        <v>45250</v>
      </c>
      <c r="C1985" s="1" t="n">
        <v>45822</v>
      </c>
      <c r="D1985" t="inlineStr">
        <is>
          <t>VÄRMLANDS LÄN</t>
        </is>
      </c>
      <c r="E1985" t="inlineStr">
        <is>
          <t>TORSBY</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58429-2023</t>
        </is>
      </c>
      <c r="B1986" s="1" t="n">
        <v>45250</v>
      </c>
      <c r="C1986" s="1" t="n">
        <v>45822</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58378-2023</t>
        </is>
      </c>
      <c r="B1987" s="1" t="n">
        <v>45250</v>
      </c>
      <c r="C1987" s="1" t="n">
        <v>45822</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58383-2023</t>
        </is>
      </c>
      <c r="B1988" s="1" t="n">
        <v>45250</v>
      </c>
      <c r="C1988" s="1" t="n">
        <v>45822</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59256-2023</t>
        </is>
      </c>
      <c r="B1989" s="1" t="n">
        <v>45251</v>
      </c>
      <c r="C1989" s="1" t="n">
        <v>45822</v>
      </c>
      <c r="D1989" t="inlineStr">
        <is>
          <t>VÄRMLANDS LÄN</t>
        </is>
      </c>
      <c r="E1989" t="inlineStr">
        <is>
          <t>TORSBY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59239-2023</t>
        </is>
      </c>
      <c r="B1990" s="1" t="n">
        <v>45253</v>
      </c>
      <c r="C1990" s="1" t="n">
        <v>45822</v>
      </c>
      <c r="D1990" t="inlineStr">
        <is>
          <t>VÄRMLANDS LÄN</t>
        </is>
      </c>
      <c r="E1990" t="inlineStr">
        <is>
          <t>TORSBY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59236-2023</t>
        </is>
      </c>
      <c r="B1991" s="1" t="n">
        <v>45253</v>
      </c>
      <c r="C1991" s="1" t="n">
        <v>45822</v>
      </c>
      <c r="D1991" t="inlineStr">
        <is>
          <t>VÄRMLANDS LÄN</t>
        </is>
      </c>
      <c r="E1991" t="inlineStr">
        <is>
          <t>TORSBY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59488-2023</t>
        </is>
      </c>
      <c r="B1992" s="1" t="n">
        <v>45254</v>
      </c>
      <c r="C1992" s="1" t="n">
        <v>45822</v>
      </c>
      <c r="D1992" t="inlineStr">
        <is>
          <t>VÄRMLANDS LÄN</t>
        </is>
      </c>
      <c r="E1992" t="inlineStr">
        <is>
          <t>TORSBY</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59781-2023</t>
        </is>
      </c>
      <c r="B1993" s="1" t="n">
        <v>45257</v>
      </c>
      <c r="C1993" s="1" t="n">
        <v>45822</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59941-2023</t>
        </is>
      </c>
      <c r="B1994" s="1" t="n">
        <v>45257</v>
      </c>
      <c r="C1994" s="1" t="n">
        <v>45822</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59872-2023</t>
        </is>
      </c>
      <c r="B1995" s="1" t="n">
        <v>45257</v>
      </c>
      <c r="C1995" s="1" t="n">
        <v>45822</v>
      </c>
      <c r="D1995" t="inlineStr">
        <is>
          <t>VÄRMLANDS LÄN</t>
        </is>
      </c>
      <c r="E1995" t="inlineStr">
        <is>
          <t>TORSBY</t>
        </is>
      </c>
      <c r="F1995" t="inlineStr">
        <is>
          <t>Bergvik skog väst AB</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60058-2023</t>
        </is>
      </c>
      <c r="B1996" s="1" t="n">
        <v>45258</v>
      </c>
      <c r="C1996" s="1" t="n">
        <v>45822</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60046-2023</t>
        </is>
      </c>
      <c r="B1997" s="1" t="n">
        <v>45258</v>
      </c>
      <c r="C1997" s="1" t="n">
        <v>45822</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60100-2023</t>
        </is>
      </c>
      <c r="B1998" s="1" t="n">
        <v>45258</v>
      </c>
      <c r="C1998" s="1" t="n">
        <v>45822</v>
      </c>
      <c r="D1998" t="inlineStr">
        <is>
          <t>VÄRMLANDS LÄN</t>
        </is>
      </c>
      <c r="E1998" t="inlineStr">
        <is>
          <t>TORSBY</t>
        </is>
      </c>
      <c r="F1998" t="inlineStr">
        <is>
          <t>Bergvik skog väst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60088-2023</t>
        </is>
      </c>
      <c r="B1999" s="1" t="n">
        <v>45258</v>
      </c>
      <c r="C1999" s="1" t="n">
        <v>45822</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60133-2023</t>
        </is>
      </c>
      <c r="B2000" s="1" t="n">
        <v>45258</v>
      </c>
      <c r="C2000" s="1" t="n">
        <v>45822</v>
      </c>
      <c r="D2000" t="inlineStr">
        <is>
          <t>VÄRMLANDS LÄN</t>
        </is>
      </c>
      <c r="E2000" t="inlineStr">
        <is>
          <t>TORSBY</t>
        </is>
      </c>
      <c r="F2000" t="inlineStr">
        <is>
          <t>Bergvik skog väst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60314-2023</t>
        </is>
      </c>
      <c r="B2001" s="1" t="n">
        <v>45258</v>
      </c>
      <c r="C2001" s="1" t="n">
        <v>45822</v>
      </c>
      <c r="D2001" t="inlineStr">
        <is>
          <t>VÄRMLANDS LÄN</t>
        </is>
      </c>
      <c r="E2001" t="inlineStr">
        <is>
          <t>TORSBY</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60523-2023</t>
        </is>
      </c>
      <c r="B2002" s="1" t="n">
        <v>45259</v>
      </c>
      <c r="C2002" s="1" t="n">
        <v>45822</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60486-2023</t>
        </is>
      </c>
      <c r="B2003" s="1" t="n">
        <v>45259</v>
      </c>
      <c r="C2003" s="1" t="n">
        <v>45822</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60525-2023</t>
        </is>
      </c>
      <c r="B2004" s="1" t="n">
        <v>45259</v>
      </c>
      <c r="C2004" s="1" t="n">
        <v>45822</v>
      </c>
      <c r="D2004" t="inlineStr">
        <is>
          <t>VÄRMLANDS LÄN</t>
        </is>
      </c>
      <c r="E2004" t="inlineStr">
        <is>
          <t>TORSBY</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61157-2023</t>
        </is>
      </c>
      <c r="B2005" s="1" t="n">
        <v>45262</v>
      </c>
      <c r="C2005" s="1" t="n">
        <v>45822</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61164-2023</t>
        </is>
      </c>
      <c r="B2006" s="1" t="n">
        <v>45262</v>
      </c>
      <c r="C2006" s="1" t="n">
        <v>45822</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61229-2023</t>
        </is>
      </c>
      <c r="B2007" s="1" t="n">
        <v>45264</v>
      </c>
      <c r="C2007" s="1" t="n">
        <v>45822</v>
      </c>
      <c r="D2007" t="inlineStr">
        <is>
          <t>VÄRMLANDS LÄN</t>
        </is>
      </c>
      <c r="E2007" t="inlineStr">
        <is>
          <t>TORSBY</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61256-2023</t>
        </is>
      </c>
      <c r="B2008" s="1" t="n">
        <v>45264</v>
      </c>
      <c r="C2008" s="1" t="n">
        <v>45822</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61370-2023</t>
        </is>
      </c>
      <c r="B2009" s="1" t="n">
        <v>45264</v>
      </c>
      <c r="C2009" s="1" t="n">
        <v>45822</v>
      </c>
      <c r="D2009" t="inlineStr">
        <is>
          <t>VÄRMLANDS LÄN</t>
        </is>
      </c>
      <c r="E2009" t="inlineStr">
        <is>
          <t>TORSBY</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61923-2023</t>
        </is>
      </c>
      <c r="B2010" s="1" t="n">
        <v>45266</v>
      </c>
      <c r="C2010" s="1" t="n">
        <v>45822</v>
      </c>
      <c r="D2010" t="inlineStr">
        <is>
          <t>VÄRMLANDS LÄN</t>
        </is>
      </c>
      <c r="E2010" t="inlineStr">
        <is>
          <t>TORSBY</t>
        </is>
      </c>
      <c r="F2010" t="inlineStr">
        <is>
          <t>Kommuner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61921-2023</t>
        </is>
      </c>
      <c r="B2011" s="1" t="n">
        <v>45266</v>
      </c>
      <c r="C2011" s="1" t="n">
        <v>45822</v>
      </c>
      <c r="D2011" t="inlineStr">
        <is>
          <t>VÄRMLANDS LÄN</t>
        </is>
      </c>
      <c r="E2011" t="inlineStr">
        <is>
          <t>TORSBY</t>
        </is>
      </c>
      <c r="F2011" t="inlineStr">
        <is>
          <t>Kommuner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62037-2023</t>
        </is>
      </c>
      <c r="B2012" s="1" t="n">
        <v>45266</v>
      </c>
      <c r="C2012" s="1" t="n">
        <v>45822</v>
      </c>
      <c r="D2012" t="inlineStr">
        <is>
          <t>VÄRMLANDS LÄN</t>
        </is>
      </c>
      <c r="E2012" t="inlineStr">
        <is>
          <t>TORSBY</t>
        </is>
      </c>
      <c r="F2012" t="inlineStr">
        <is>
          <t>Bergvik skog väst AB</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62258-2023</t>
        </is>
      </c>
      <c r="B2013" s="1" t="n">
        <v>45266</v>
      </c>
      <c r="C2013" s="1" t="n">
        <v>45822</v>
      </c>
      <c r="D2013" t="inlineStr">
        <is>
          <t>VÄRMLANDS LÄN</t>
        </is>
      </c>
      <c r="E2013" t="inlineStr">
        <is>
          <t>TORSBY</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62250-2023</t>
        </is>
      </c>
      <c r="B2014" s="1" t="n">
        <v>45266</v>
      </c>
      <c r="C2014" s="1" t="n">
        <v>45822</v>
      </c>
      <c r="D2014" t="inlineStr">
        <is>
          <t>VÄRMLANDS LÄN</t>
        </is>
      </c>
      <c r="E2014" t="inlineStr">
        <is>
          <t>TORSBY</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62274-2023</t>
        </is>
      </c>
      <c r="B2015" s="1" t="n">
        <v>45267</v>
      </c>
      <c r="C2015" s="1" t="n">
        <v>45822</v>
      </c>
      <c r="D2015" t="inlineStr">
        <is>
          <t>VÄRMLANDS LÄN</t>
        </is>
      </c>
      <c r="E2015" t="inlineStr">
        <is>
          <t>TORSBY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62168-2023</t>
        </is>
      </c>
      <c r="B2016" s="1" t="n">
        <v>45267</v>
      </c>
      <c r="C2016" s="1" t="n">
        <v>45822</v>
      </c>
      <c r="D2016" t="inlineStr">
        <is>
          <t>VÄRMLANDS LÄN</t>
        </is>
      </c>
      <c r="E2016" t="inlineStr">
        <is>
          <t>TORSBY</t>
        </is>
      </c>
      <c r="F2016" t="inlineStr">
        <is>
          <t>Kommuner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62210-2023</t>
        </is>
      </c>
      <c r="B2017" s="1" t="n">
        <v>45267</v>
      </c>
      <c r="C2017" s="1" t="n">
        <v>45822</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62236-2023</t>
        </is>
      </c>
      <c r="B2018" s="1" t="n">
        <v>45267</v>
      </c>
      <c r="C2018" s="1" t="n">
        <v>45822</v>
      </c>
      <c r="D2018" t="inlineStr">
        <is>
          <t>VÄRMLANDS LÄN</t>
        </is>
      </c>
      <c r="E2018" t="inlineStr">
        <is>
          <t>TORSBY</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62240-2023</t>
        </is>
      </c>
      <c r="B2019" s="1" t="n">
        <v>45267</v>
      </c>
      <c r="C2019" s="1" t="n">
        <v>45822</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62317-2023</t>
        </is>
      </c>
      <c r="B2020" s="1" t="n">
        <v>45267</v>
      </c>
      <c r="C2020" s="1" t="n">
        <v>45822</v>
      </c>
      <c r="D2020" t="inlineStr">
        <is>
          <t>VÄRMLANDS LÄN</t>
        </is>
      </c>
      <c r="E2020" t="inlineStr">
        <is>
          <t>TORSBY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62507-2023</t>
        </is>
      </c>
      <c r="B2021" s="1" t="n">
        <v>45267</v>
      </c>
      <c r="C2021" s="1" t="n">
        <v>45822</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62387-2023</t>
        </is>
      </c>
      <c r="B2022" s="1" t="n">
        <v>45268</v>
      </c>
      <c r="C2022" s="1" t="n">
        <v>45822</v>
      </c>
      <c r="D2022" t="inlineStr">
        <is>
          <t>VÄRMLANDS LÄN</t>
        </is>
      </c>
      <c r="E2022" t="inlineStr">
        <is>
          <t>TORSBY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62445-2023</t>
        </is>
      </c>
      <c r="B2023" s="1" t="n">
        <v>45268</v>
      </c>
      <c r="C2023" s="1" t="n">
        <v>45822</v>
      </c>
      <c r="D2023" t="inlineStr">
        <is>
          <t>VÄRMLANDS LÄN</t>
        </is>
      </c>
      <c r="E2023" t="inlineStr">
        <is>
          <t>TORSBY</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62510-2023</t>
        </is>
      </c>
      <c r="B2024" s="1" t="n">
        <v>45268</v>
      </c>
      <c r="C2024" s="1" t="n">
        <v>45822</v>
      </c>
      <c r="D2024" t="inlineStr">
        <is>
          <t>VÄRMLANDS LÄN</t>
        </is>
      </c>
      <c r="E2024" t="inlineStr">
        <is>
          <t>TORSBY</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62618-2023</t>
        </is>
      </c>
      <c r="B2025" s="1" t="n">
        <v>45271</v>
      </c>
      <c r="C2025" s="1" t="n">
        <v>45822</v>
      </c>
      <c r="D2025" t="inlineStr">
        <is>
          <t>VÄRMLANDS LÄN</t>
        </is>
      </c>
      <c r="E2025" t="inlineStr">
        <is>
          <t>TORSBY</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62957-2023</t>
        </is>
      </c>
      <c r="B2026" s="1" t="n">
        <v>45271</v>
      </c>
      <c r="C2026" s="1" t="n">
        <v>45822</v>
      </c>
      <c r="D2026" t="inlineStr">
        <is>
          <t>VÄRMLANDS LÄN</t>
        </is>
      </c>
      <c r="E2026" t="inlineStr">
        <is>
          <t>TORSBY</t>
        </is>
      </c>
      <c r="F2026" t="inlineStr">
        <is>
          <t>Övriga statliga verk och myndigheter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62950-2023</t>
        </is>
      </c>
      <c r="B2027" s="1" t="n">
        <v>45271</v>
      </c>
      <c r="C2027" s="1" t="n">
        <v>45822</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63030-2023</t>
        </is>
      </c>
      <c r="B2028" s="1" t="n">
        <v>45272</v>
      </c>
      <c r="C2028" s="1" t="n">
        <v>45822</v>
      </c>
      <c r="D2028" t="inlineStr">
        <is>
          <t>VÄRMLANDS LÄN</t>
        </is>
      </c>
      <c r="E2028" t="inlineStr">
        <is>
          <t>TORSBY</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63031-2023</t>
        </is>
      </c>
      <c r="B2029" s="1" t="n">
        <v>45272</v>
      </c>
      <c r="C2029" s="1" t="n">
        <v>45822</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63028-2023</t>
        </is>
      </c>
      <c r="B2030" s="1" t="n">
        <v>45272</v>
      </c>
      <c r="C2030" s="1" t="n">
        <v>45822</v>
      </c>
      <c r="D2030" t="inlineStr">
        <is>
          <t>VÄRMLANDS LÄN</t>
        </is>
      </c>
      <c r="E2030" t="inlineStr">
        <is>
          <t>TORSBY</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63032-2023</t>
        </is>
      </c>
      <c r="B2031" s="1" t="n">
        <v>45272</v>
      </c>
      <c r="C2031" s="1" t="n">
        <v>45822</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63177-2023</t>
        </is>
      </c>
      <c r="B2032" s="1" t="n">
        <v>45272</v>
      </c>
      <c r="C2032" s="1" t="n">
        <v>45822</v>
      </c>
      <c r="D2032" t="inlineStr">
        <is>
          <t>VÄRMLANDS LÄN</t>
        </is>
      </c>
      <c r="E2032" t="inlineStr">
        <is>
          <t>TORSBY</t>
        </is>
      </c>
      <c r="G2032" t="n">
        <v>14.9</v>
      </c>
      <c r="H2032" t="n">
        <v>0</v>
      </c>
      <c r="I2032" t="n">
        <v>0</v>
      </c>
      <c r="J2032" t="n">
        <v>0</v>
      </c>
      <c r="K2032" t="n">
        <v>0</v>
      </c>
      <c r="L2032" t="n">
        <v>0</v>
      </c>
      <c r="M2032" t="n">
        <v>0</v>
      </c>
      <c r="N2032" t="n">
        <v>0</v>
      </c>
      <c r="O2032" t="n">
        <v>0</v>
      </c>
      <c r="P2032" t="n">
        <v>0</v>
      </c>
      <c r="Q2032" t="n">
        <v>0</v>
      </c>
      <c r="R2032" s="2" t="inlineStr"/>
    </row>
    <row r="2033" ht="15" customHeight="1">
      <c r="A2033" t="inlineStr">
        <is>
          <t>A 63160-2023</t>
        </is>
      </c>
      <c r="B2033" s="1" t="n">
        <v>45273</v>
      </c>
      <c r="C2033" s="1" t="n">
        <v>45822</v>
      </c>
      <c r="D2033" t="inlineStr">
        <is>
          <t>VÄRMLANDS LÄN</t>
        </is>
      </c>
      <c r="E2033" t="inlineStr">
        <is>
          <t>TORSBY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63146-2023</t>
        </is>
      </c>
      <c r="B2034" s="1" t="n">
        <v>45273</v>
      </c>
      <c r="C2034" s="1" t="n">
        <v>45822</v>
      </c>
      <c r="D2034" t="inlineStr">
        <is>
          <t>VÄRMLANDS LÄN</t>
        </is>
      </c>
      <c r="E2034" t="inlineStr">
        <is>
          <t>TORSBY</t>
        </is>
      </c>
      <c r="F2034" t="inlineStr">
        <is>
          <t>Bergvik skog väst AB</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63266-2023</t>
        </is>
      </c>
      <c r="B2035" s="1" t="n">
        <v>45273</v>
      </c>
      <c r="C2035" s="1" t="n">
        <v>45822</v>
      </c>
      <c r="D2035" t="inlineStr">
        <is>
          <t>VÄRMLANDS LÄN</t>
        </is>
      </c>
      <c r="E2035" t="inlineStr">
        <is>
          <t>TORSBY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63083-2023</t>
        </is>
      </c>
      <c r="B2036" s="1" t="n">
        <v>45273</v>
      </c>
      <c r="C2036" s="1" t="n">
        <v>45822</v>
      </c>
      <c r="D2036" t="inlineStr">
        <is>
          <t>VÄRMLANDS LÄN</t>
        </is>
      </c>
      <c r="E2036" t="inlineStr">
        <is>
          <t>TORSBY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63244-2023</t>
        </is>
      </c>
      <c r="B2037" s="1" t="n">
        <v>45273</v>
      </c>
      <c r="C2037" s="1" t="n">
        <v>45822</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63158-2023</t>
        </is>
      </c>
      <c r="B2038" s="1" t="n">
        <v>45273</v>
      </c>
      <c r="C2038" s="1" t="n">
        <v>45822</v>
      </c>
      <c r="D2038" t="inlineStr">
        <is>
          <t>VÄRMLANDS LÄN</t>
        </is>
      </c>
      <c r="E2038" t="inlineStr">
        <is>
          <t>TORSBY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63363-2023</t>
        </is>
      </c>
      <c r="B2039" s="1" t="n">
        <v>45273</v>
      </c>
      <c r="C2039" s="1" t="n">
        <v>45822</v>
      </c>
      <c r="D2039" t="inlineStr">
        <is>
          <t>VÄRMLANDS LÄN</t>
        </is>
      </c>
      <c r="E2039" t="inlineStr">
        <is>
          <t>TORSBY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63399-2023</t>
        </is>
      </c>
      <c r="B2040" s="1" t="n">
        <v>45274</v>
      </c>
      <c r="C2040" s="1" t="n">
        <v>45822</v>
      </c>
      <c r="D2040" t="inlineStr">
        <is>
          <t>VÄRMLANDS LÄN</t>
        </is>
      </c>
      <c r="E2040" t="inlineStr">
        <is>
          <t>TORSBY</t>
        </is>
      </c>
      <c r="F2040" t="inlineStr">
        <is>
          <t>Bergvik skog väst AB</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63409-2023</t>
        </is>
      </c>
      <c r="B2041" s="1" t="n">
        <v>45274</v>
      </c>
      <c r="C2041" s="1" t="n">
        <v>45822</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63821-2023</t>
        </is>
      </c>
      <c r="B2042" s="1" t="n">
        <v>45275</v>
      </c>
      <c r="C2042" s="1" t="n">
        <v>45822</v>
      </c>
      <c r="D2042" t="inlineStr">
        <is>
          <t>VÄRMLANDS LÄN</t>
        </is>
      </c>
      <c r="E2042" t="inlineStr">
        <is>
          <t>TORSBY</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63820-2023</t>
        </is>
      </c>
      <c r="B2043" s="1" t="n">
        <v>45278</v>
      </c>
      <c r="C2043" s="1" t="n">
        <v>45822</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63866-2023</t>
        </is>
      </c>
      <c r="B2044" s="1" t="n">
        <v>45278</v>
      </c>
      <c r="C2044" s="1" t="n">
        <v>45822</v>
      </c>
      <c r="D2044" t="inlineStr">
        <is>
          <t>VÄRMLANDS LÄN</t>
        </is>
      </c>
      <c r="E2044" t="inlineStr">
        <is>
          <t>TORSBY</t>
        </is>
      </c>
      <c r="F2044" t="inlineStr">
        <is>
          <t>Bergvik skog väst AB</t>
        </is>
      </c>
      <c r="G2044" t="n">
        <v>58.2</v>
      </c>
      <c r="H2044" t="n">
        <v>0</v>
      </c>
      <c r="I2044" t="n">
        <v>0</v>
      </c>
      <c r="J2044" t="n">
        <v>0</v>
      </c>
      <c r="K2044" t="n">
        <v>0</v>
      </c>
      <c r="L2044" t="n">
        <v>0</v>
      </c>
      <c r="M2044" t="n">
        <v>0</v>
      </c>
      <c r="N2044" t="n">
        <v>0</v>
      </c>
      <c r="O2044" t="n">
        <v>0</v>
      </c>
      <c r="P2044" t="n">
        <v>0</v>
      </c>
      <c r="Q2044" t="n">
        <v>0</v>
      </c>
      <c r="R2044" s="2" t="inlineStr"/>
    </row>
    <row r="2045" ht="15" customHeight="1">
      <c r="A2045" t="inlineStr">
        <is>
          <t>A 63955-2023</t>
        </is>
      </c>
      <c r="B2045" s="1" t="n">
        <v>45278</v>
      </c>
      <c r="C2045" s="1" t="n">
        <v>45822</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63967-2023</t>
        </is>
      </c>
      <c r="B2046" s="1" t="n">
        <v>45278</v>
      </c>
      <c r="C2046" s="1" t="n">
        <v>45822</v>
      </c>
      <c r="D2046" t="inlineStr">
        <is>
          <t>VÄRMLANDS LÄN</t>
        </is>
      </c>
      <c r="E2046" t="inlineStr">
        <is>
          <t>TORSBY</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64162-2023</t>
        </is>
      </c>
      <c r="B2047" s="1" t="n">
        <v>45279</v>
      </c>
      <c r="C2047" s="1" t="n">
        <v>45822</v>
      </c>
      <c r="D2047" t="inlineStr">
        <is>
          <t>VÄRMLANDS LÄN</t>
        </is>
      </c>
      <c r="E2047" t="inlineStr">
        <is>
          <t>TORSBY</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64432-2023</t>
        </is>
      </c>
      <c r="B2048" s="1" t="n">
        <v>45280</v>
      </c>
      <c r="C2048" s="1" t="n">
        <v>45822</v>
      </c>
      <c r="D2048" t="inlineStr">
        <is>
          <t>VÄRMLANDS LÄN</t>
        </is>
      </c>
      <c r="E2048" t="inlineStr">
        <is>
          <t>TORSBY</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64389-2023</t>
        </is>
      </c>
      <c r="B2049" s="1" t="n">
        <v>45280</v>
      </c>
      <c r="C2049" s="1" t="n">
        <v>45822</v>
      </c>
      <c r="D2049" t="inlineStr">
        <is>
          <t>VÄRMLANDS LÄN</t>
        </is>
      </c>
      <c r="E2049" t="inlineStr">
        <is>
          <t>TORSBY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64454-2023</t>
        </is>
      </c>
      <c r="B2050" s="1" t="n">
        <v>45280</v>
      </c>
      <c r="C2050" s="1" t="n">
        <v>45822</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64395-2023</t>
        </is>
      </c>
      <c r="B2051" s="1" t="n">
        <v>45280</v>
      </c>
      <c r="C2051" s="1" t="n">
        <v>45822</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64400-2023</t>
        </is>
      </c>
      <c r="B2052" s="1" t="n">
        <v>45280</v>
      </c>
      <c r="C2052" s="1" t="n">
        <v>45822</v>
      </c>
      <c r="D2052" t="inlineStr">
        <is>
          <t>VÄRMLANDS LÄN</t>
        </is>
      </c>
      <c r="E2052" t="inlineStr">
        <is>
          <t>TORSBY</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64429-2023</t>
        </is>
      </c>
      <c r="B2053" s="1" t="n">
        <v>45280</v>
      </c>
      <c r="C2053" s="1" t="n">
        <v>45822</v>
      </c>
      <c r="D2053" t="inlineStr">
        <is>
          <t>VÄRMLANDS LÄN</t>
        </is>
      </c>
      <c r="E2053" t="inlineStr">
        <is>
          <t>TORSBY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64590-2023</t>
        </is>
      </c>
      <c r="B2054" s="1" t="n">
        <v>45281</v>
      </c>
      <c r="C2054" s="1" t="n">
        <v>45822</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64602-2023</t>
        </is>
      </c>
      <c r="B2055" s="1" t="n">
        <v>45281</v>
      </c>
      <c r="C2055" s="1" t="n">
        <v>45822</v>
      </c>
      <c r="D2055" t="inlineStr">
        <is>
          <t>VÄRMLANDS LÄN</t>
        </is>
      </c>
      <c r="E2055" t="inlineStr">
        <is>
          <t>TORSBY</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64641-2023</t>
        </is>
      </c>
      <c r="B2056" s="1" t="n">
        <v>45281</v>
      </c>
      <c r="C2056" s="1" t="n">
        <v>45822</v>
      </c>
      <c r="D2056" t="inlineStr">
        <is>
          <t>VÄRMLANDS LÄN</t>
        </is>
      </c>
      <c r="E2056" t="inlineStr">
        <is>
          <t>TORSBY</t>
        </is>
      </c>
      <c r="F2056" t="inlineStr">
        <is>
          <t>Bergvik skog väst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64671-2023</t>
        </is>
      </c>
      <c r="B2057" s="1" t="n">
        <v>45281</v>
      </c>
      <c r="C2057" s="1" t="n">
        <v>45822</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64664-2023</t>
        </is>
      </c>
      <c r="B2058" s="1" t="n">
        <v>45281</v>
      </c>
      <c r="C2058" s="1" t="n">
        <v>45822</v>
      </c>
      <c r="D2058" t="inlineStr">
        <is>
          <t>VÄRMLANDS LÄN</t>
        </is>
      </c>
      <c r="E2058" t="inlineStr">
        <is>
          <t>TORSBY</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64672-2023</t>
        </is>
      </c>
      <c r="B2059" s="1" t="n">
        <v>45281</v>
      </c>
      <c r="C2059" s="1" t="n">
        <v>45822</v>
      </c>
      <c r="D2059" t="inlineStr">
        <is>
          <t>VÄRMLANDS LÄN</t>
        </is>
      </c>
      <c r="E2059" t="inlineStr">
        <is>
          <t>TORSBY</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64640-2023</t>
        </is>
      </c>
      <c r="B2060" s="1" t="n">
        <v>45281</v>
      </c>
      <c r="C2060" s="1" t="n">
        <v>45822</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65081-2023</t>
        </is>
      </c>
      <c r="B2061" s="1" t="n">
        <v>45288</v>
      </c>
      <c r="C2061" s="1" t="n">
        <v>45822</v>
      </c>
      <c r="D2061" t="inlineStr">
        <is>
          <t>VÄRMLANDS LÄN</t>
        </is>
      </c>
      <c r="E2061" t="inlineStr">
        <is>
          <t>TORSBY</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65134-2023</t>
        </is>
      </c>
      <c r="B2062" s="1" t="n">
        <v>45288</v>
      </c>
      <c r="C2062" s="1" t="n">
        <v>45822</v>
      </c>
      <c r="D2062" t="inlineStr">
        <is>
          <t>VÄRMLANDS LÄN</t>
        </is>
      </c>
      <c r="E2062" t="inlineStr">
        <is>
          <t>TORSBY</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65204-2023</t>
        </is>
      </c>
      <c r="B2063" s="1" t="n">
        <v>45289</v>
      </c>
      <c r="C2063" s="1" t="n">
        <v>45822</v>
      </c>
      <c r="D2063" t="inlineStr">
        <is>
          <t>VÄRMLANDS LÄN</t>
        </is>
      </c>
      <c r="E2063" t="inlineStr">
        <is>
          <t>TORSBY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173-2024</t>
        </is>
      </c>
      <c r="B2064" s="1" t="n">
        <v>45294</v>
      </c>
      <c r="C2064" s="1" t="n">
        <v>45822</v>
      </c>
      <c r="D2064" t="inlineStr">
        <is>
          <t>VÄRMLANDS LÄN</t>
        </is>
      </c>
      <c r="E2064" t="inlineStr">
        <is>
          <t>TORSBY</t>
        </is>
      </c>
      <c r="F2064" t="inlineStr">
        <is>
          <t>Bergvik skog väst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119-2024</t>
        </is>
      </c>
      <c r="B2065" s="1" t="n">
        <v>45294</v>
      </c>
      <c r="C2065" s="1" t="n">
        <v>45822</v>
      </c>
      <c r="D2065" t="inlineStr">
        <is>
          <t>VÄRMLANDS LÄN</t>
        </is>
      </c>
      <c r="E2065" t="inlineStr">
        <is>
          <t>TORSBY</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144-2024</t>
        </is>
      </c>
      <c r="B2066" s="1" t="n">
        <v>45294</v>
      </c>
      <c r="C2066" s="1" t="n">
        <v>45822</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234-2024</t>
        </is>
      </c>
      <c r="B2067" s="1" t="n">
        <v>45294</v>
      </c>
      <c r="C2067" s="1" t="n">
        <v>45822</v>
      </c>
      <c r="D2067" t="inlineStr">
        <is>
          <t>VÄRMLANDS LÄN</t>
        </is>
      </c>
      <c r="E2067" t="inlineStr">
        <is>
          <t>TORSBY</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176-2024</t>
        </is>
      </c>
      <c r="B2068" s="1" t="n">
        <v>45294</v>
      </c>
      <c r="C2068" s="1" t="n">
        <v>45822</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235-2024</t>
        </is>
      </c>
      <c r="B2069" s="1" t="n">
        <v>45294</v>
      </c>
      <c r="C2069" s="1" t="n">
        <v>45822</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236-2024</t>
        </is>
      </c>
      <c r="B2070" s="1" t="n">
        <v>45294</v>
      </c>
      <c r="C2070" s="1" t="n">
        <v>45822</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266-2024</t>
        </is>
      </c>
      <c r="B2071" s="1" t="n">
        <v>45295</v>
      </c>
      <c r="C2071" s="1" t="n">
        <v>45822</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276-2024</t>
        </is>
      </c>
      <c r="B2072" s="1" t="n">
        <v>45295</v>
      </c>
      <c r="C2072" s="1" t="n">
        <v>45822</v>
      </c>
      <c r="D2072" t="inlineStr">
        <is>
          <t>VÄRMLANDS LÄN</t>
        </is>
      </c>
      <c r="E2072" t="inlineStr">
        <is>
          <t>TORSBY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324-2024</t>
        </is>
      </c>
      <c r="B2073" s="1" t="n">
        <v>45295</v>
      </c>
      <c r="C2073" s="1" t="n">
        <v>45822</v>
      </c>
      <c r="D2073" t="inlineStr">
        <is>
          <t>VÄRMLANDS LÄN</t>
        </is>
      </c>
      <c r="E2073" t="inlineStr">
        <is>
          <t>TORSBY</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423-2024</t>
        </is>
      </c>
      <c r="B2074" s="1" t="n">
        <v>45296</v>
      </c>
      <c r="C2074" s="1" t="n">
        <v>45822</v>
      </c>
      <c r="D2074" t="inlineStr">
        <is>
          <t>VÄRMLANDS LÄN</t>
        </is>
      </c>
      <c r="E2074" t="inlineStr">
        <is>
          <t>TORSBY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502-2024</t>
        </is>
      </c>
      <c r="B2075" s="1" t="n">
        <v>45299</v>
      </c>
      <c r="C2075" s="1" t="n">
        <v>45822</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737-2024</t>
        </is>
      </c>
      <c r="B2076" s="1" t="n">
        <v>45300</v>
      </c>
      <c r="C2076" s="1" t="n">
        <v>45822</v>
      </c>
      <c r="D2076" t="inlineStr">
        <is>
          <t>VÄRMLANDS LÄN</t>
        </is>
      </c>
      <c r="E2076" t="inlineStr">
        <is>
          <t>TORSBY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714-2024</t>
        </is>
      </c>
      <c r="B2077" s="1" t="n">
        <v>45300</v>
      </c>
      <c r="C2077" s="1" t="n">
        <v>45822</v>
      </c>
      <c r="D2077" t="inlineStr">
        <is>
          <t>VÄRMLANDS LÄN</t>
        </is>
      </c>
      <c r="E2077" t="inlineStr">
        <is>
          <t>TORSBY</t>
        </is>
      </c>
      <c r="G2077" t="n">
        <v>18.1</v>
      </c>
      <c r="H2077" t="n">
        <v>0</v>
      </c>
      <c r="I2077" t="n">
        <v>0</v>
      </c>
      <c r="J2077" t="n">
        <v>0</v>
      </c>
      <c r="K2077" t="n">
        <v>0</v>
      </c>
      <c r="L2077" t="n">
        <v>0</v>
      </c>
      <c r="M2077" t="n">
        <v>0</v>
      </c>
      <c r="N2077" t="n">
        <v>0</v>
      </c>
      <c r="O2077" t="n">
        <v>0</v>
      </c>
      <c r="P2077" t="n">
        <v>0</v>
      </c>
      <c r="Q2077" t="n">
        <v>0</v>
      </c>
      <c r="R2077" s="2" t="inlineStr"/>
    </row>
    <row r="2078" ht="15" customHeight="1">
      <c r="A2078" t="inlineStr">
        <is>
          <t>A 731-2024</t>
        </is>
      </c>
      <c r="B2078" s="1" t="n">
        <v>45300</v>
      </c>
      <c r="C2078" s="1" t="n">
        <v>45822</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924-2024</t>
        </is>
      </c>
      <c r="B2079" s="1" t="n">
        <v>45301</v>
      </c>
      <c r="C2079" s="1" t="n">
        <v>45822</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869-2024</t>
        </is>
      </c>
      <c r="B2080" s="1" t="n">
        <v>45301</v>
      </c>
      <c r="C2080" s="1" t="n">
        <v>45822</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877-2024</t>
        </is>
      </c>
      <c r="B2081" s="1" t="n">
        <v>45301</v>
      </c>
      <c r="C2081" s="1" t="n">
        <v>45822</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1001-2024</t>
        </is>
      </c>
      <c r="B2082" s="1" t="n">
        <v>45301</v>
      </c>
      <c r="C2082" s="1" t="n">
        <v>45822</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894-2024</t>
        </is>
      </c>
      <c r="B2083" s="1" t="n">
        <v>45301</v>
      </c>
      <c r="C2083" s="1" t="n">
        <v>45822</v>
      </c>
      <c r="D2083" t="inlineStr">
        <is>
          <t>VÄRMLANDS LÄN</t>
        </is>
      </c>
      <c r="E2083" t="inlineStr">
        <is>
          <t>TORSBY</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1042-2024</t>
        </is>
      </c>
      <c r="B2084" s="1" t="n">
        <v>45301</v>
      </c>
      <c r="C2084" s="1" t="n">
        <v>45822</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1046-2024</t>
        </is>
      </c>
      <c r="B2085" s="1" t="n">
        <v>45301</v>
      </c>
      <c r="C2085" s="1" t="n">
        <v>45822</v>
      </c>
      <c r="D2085" t="inlineStr">
        <is>
          <t>VÄRMLANDS LÄN</t>
        </is>
      </c>
      <c r="E2085" t="inlineStr">
        <is>
          <t>TORSBY</t>
        </is>
      </c>
      <c r="G2085" t="n">
        <v>17.5</v>
      </c>
      <c r="H2085" t="n">
        <v>0</v>
      </c>
      <c r="I2085" t="n">
        <v>0</v>
      </c>
      <c r="J2085" t="n">
        <v>0</v>
      </c>
      <c r="K2085" t="n">
        <v>0</v>
      </c>
      <c r="L2085" t="n">
        <v>0</v>
      </c>
      <c r="M2085" t="n">
        <v>0</v>
      </c>
      <c r="N2085" t="n">
        <v>0</v>
      </c>
      <c r="O2085" t="n">
        <v>0</v>
      </c>
      <c r="P2085" t="n">
        <v>0</v>
      </c>
      <c r="Q2085" t="n">
        <v>0</v>
      </c>
      <c r="R2085" s="2" t="inlineStr"/>
    </row>
    <row r="2086" ht="15" customHeight="1">
      <c r="A2086" t="inlineStr">
        <is>
          <t>A 1041-2024</t>
        </is>
      </c>
      <c r="B2086" s="1" t="n">
        <v>45301</v>
      </c>
      <c r="C2086" s="1" t="n">
        <v>45822</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1040-2024</t>
        </is>
      </c>
      <c r="B2087" s="1" t="n">
        <v>45301</v>
      </c>
      <c r="C2087" s="1" t="n">
        <v>45822</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1080-2024</t>
        </is>
      </c>
      <c r="B2088" s="1" t="n">
        <v>45302</v>
      </c>
      <c r="C2088" s="1" t="n">
        <v>45822</v>
      </c>
      <c r="D2088" t="inlineStr">
        <is>
          <t>VÄRMLANDS LÄN</t>
        </is>
      </c>
      <c r="E2088" t="inlineStr">
        <is>
          <t>TORSBY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1086-2024</t>
        </is>
      </c>
      <c r="B2089" s="1" t="n">
        <v>45302</v>
      </c>
      <c r="C2089" s="1" t="n">
        <v>45822</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1091-2024</t>
        </is>
      </c>
      <c r="B2090" s="1" t="n">
        <v>45302</v>
      </c>
      <c r="C2090" s="1" t="n">
        <v>45822</v>
      </c>
      <c r="D2090" t="inlineStr">
        <is>
          <t>VÄRMLANDS LÄN</t>
        </is>
      </c>
      <c r="E2090" t="inlineStr">
        <is>
          <t>TORSBY</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1243-2024</t>
        </is>
      </c>
      <c r="B2091" s="1" t="n">
        <v>45302</v>
      </c>
      <c r="C2091" s="1" t="n">
        <v>45822</v>
      </c>
      <c r="D2091" t="inlineStr">
        <is>
          <t>VÄRMLANDS LÄN</t>
        </is>
      </c>
      <c r="E2091" t="inlineStr">
        <is>
          <t>TORSBY</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1154-2024</t>
        </is>
      </c>
      <c r="B2092" s="1" t="n">
        <v>45302</v>
      </c>
      <c r="C2092" s="1" t="n">
        <v>45822</v>
      </c>
      <c r="D2092" t="inlineStr">
        <is>
          <t>VÄRMLANDS LÄN</t>
        </is>
      </c>
      <c r="E2092" t="inlineStr">
        <is>
          <t>TORSBY</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1090-2024</t>
        </is>
      </c>
      <c r="B2093" s="1" t="n">
        <v>45302</v>
      </c>
      <c r="C2093" s="1" t="n">
        <v>45822</v>
      </c>
      <c r="D2093" t="inlineStr">
        <is>
          <t>VÄRMLANDS LÄN</t>
        </is>
      </c>
      <c r="E2093" t="inlineStr">
        <is>
          <t>TORSBY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1094-2024</t>
        </is>
      </c>
      <c r="B2094" s="1" t="n">
        <v>45302</v>
      </c>
      <c r="C2094" s="1" t="n">
        <v>45822</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1232-2024</t>
        </is>
      </c>
      <c r="B2095" s="1" t="n">
        <v>45302</v>
      </c>
      <c r="C2095" s="1" t="n">
        <v>45822</v>
      </c>
      <c r="D2095" t="inlineStr">
        <is>
          <t>VÄRMLANDS LÄN</t>
        </is>
      </c>
      <c r="E2095" t="inlineStr">
        <is>
          <t>TORSBY</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1236-2024</t>
        </is>
      </c>
      <c r="B2096" s="1" t="n">
        <v>45302</v>
      </c>
      <c r="C2096" s="1" t="n">
        <v>45822</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1275-2024</t>
        </is>
      </c>
      <c r="B2097" s="1" t="n">
        <v>45302</v>
      </c>
      <c r="C2097" s="1" t="n">
        <v>45822</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1363-2024</t>
        </is>
      </c>
      <c r="B2098" s="1" t="n">
        <v>45303</v>
      </c>
      <c r="C2098" s="1" t="n">
        <v>45822</v>
      </c>
      <c r="D2098" t="inlineStr">
        <is>
          <t>VÄRMLANDS LÄN</t>
        </is>
      </c>
      <c r="E2098" t="inlineStr">
        <is>
          <t>TORSBY</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1527-2024</t>
        </is>
      </c>
      <c r="B2099" s="1" t="n">
        <v>45306</v>
      </c>
      <c r="C2099" s="1" t="n">
        <v>45822</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1522-2024</t>
        </is>
      </c>
      <c r="B2100" s="1" t="n">
        <v>45306</v>
      </c>
      <c r="C2100" s="1" t="n">
        <v>45822</v>
      </c>
      <c r="D2100" t="inlineStr">
        <is>
          <t>VÄRMLANDS LÄN</t>
        </is>
      </c>
      <c r="E2100" t="inlineStr">
        <is>
          <t>TORSBY</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1547-2024</t>
        </is>
      </c>
      <c r="B2101" s="1" t="n">
        <v>45306</v>
      </c>
      <c r="C2101" s="1" t="n">
        <v>45822</v>
      </c>
      <c r="D2101" t="inlineStr">
        <is>
          <t>VÄRMLANDS LÄN</t>
        </is>
      </c>
      <c r="E2101" t="inlineStr">
        <is>
          <t>TORSBY</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1528-2024</t>
        </is>
      </c>
      <c r="B2102" s="1" t="n">
        <v>45306</v>
      </c>
      <c r="C2102" s="1" t="n">
        <v>45822</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1637-2024</t>
        </is>
      </c>
      <c r="B2103" s="1" t="n">
        <v>45306</v>
      </c>
      <c r="C2103" s="1" t="n">
        <v>45822</v>
      </c>
      <c r="D2103" t="inlineStr">
        <is>
          <t>VÄRMLANDS LÄN</t>
        </is>
      </c>
      <c r="E2103" t="inlineStr">
        <is>
          <t>TORSBY</t>
        </is>
      </c>
      <c r="G2103" t="n">
        <v>11.9</v>
      </c>
      <c r="H2103" t="n">
        <v>0</v>
      </c>
      <c r="I2103" t="n">
        <v>0</v>
      </c>
      <c r="J2103" t="n">
        <v>0</v>
      </c>
      <c r="K2103" t="n">
        <v>0</v>
      </c>
      <c r="L2103" t="n">
        <v>0</v>
      </c>
      <c r="M2103" t="n">
        <v>0</v>
      </c>
      <c r="N2103" t="n">
        <v>0</v>
      </c>
      <c r="O2103" t="n">
        <v>0</v>
      </c>
      <c r="P2103" t="n">
        <v>0</v>
      </c>
      <c r="Q2103" t="n">
        <v>0</v>
      </c>
      <c r="R2103" s="2" t="inlineStr"/>
    </row>
    <row r="2104" ht="15" customHeight="1">
      <c r="A2104" t="inlineStr">
        <is>
          <t>A 1608-2024</t>
        </is>
      </c>
      <c r="B2104" s="1" t="n">
        <v>45306</v>
      </c>
      <c r="C2104" s="1" t="n">
        <v>45822</v>
      </c>
      <c r="D2104" t="inlineStr">
        <is>
          <t>VÄRMLANDS LÄN</t>
        </is>
      </c>
      <c r="E2104" t="inlineStr">
        <is>
          <t>TORSBY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1700-2024</t>
        </is>
      </c>
      <c r="B2105" s="1" t="n">
        <v>45307</v>
      </c>
      <c r="C2105" s="1" t="n">
        <v>45822</v>
      </c>
      <c r="D2105" t="inlineStr">
        <is>
          <t>VÄRMLANDS LÄN</t>
        </is>
      </c>
      <c r="E2105" t="inlineStr">
        <is>
          <t>TORSBY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1803-2024</t>
        </is>
      </c>
      <c r="B2106" s="1" t="n">
        <v>45307</v>
      </c>
      <c r="C2106" s="1" t="n">
        <v>45822</v>
      </c>
      <c r="D2106" t="inlineStr">
        <is>
          <t>VÄRMLANDS LÄN</t>
        </is>
      </c>
      <c r="E2106" t="inlineStr">
        <is>
          <t>TORSBY</t>
        </is>
      </c>
      <c r="G2106" t="n">
        <v>12.9</v>
      </c>
      <c r="H2106" t="n">
        <v>0</v>
      </c>
      <c r="I2106" t="n">
        <v>0</v>
      </c>
      <c r="J2106" t="n">
        <v>0</v>
      </c>
      <c r="K2106" t="n">
        <v>0</v>
      </c>
      <c r="L2106" t="n">
        <v>0</v>
      </c>
      <c r="M2106" t="n">
        <v>0</v>
      </c>
      <c r="N2106" t="n">
        <v>0</v>
      </c>
      <c r="O2106" t="n">
        <v>0</v>
      </c>
      <c r="P2106" t="n">
        <v>0</v>
      </c>
      <c r="Q2106" t="n">
        <v>0</v>
      </c>
      <c r="R2106" s="2" t="inlineStr"/>
    </row>
    <row r="2107" ht="15" customHeight="1">
      <c r="A2107" t="inlineStr">
        <is>
          <t>A 1757-2024</t>
        </is>
      </c>
      <c r="B2107" s="1" t="n">
        <v>45307</v>
      </c>
      <c r="C2107" s="1" t="n">
        <v>45822</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1970-2024</t>
        </is>
      </c>
      <c r="B2108" s="1" t="n">
        <v>45308</v>
      </c>
      <c r="C2108" s="1" t="n">
        <v>45822</v>
      </c>
      <c r="D2108" t="inlineStr">
        <is>
          <t>VÄRMLANDS LÄN</t>
        </is>
      </c>
      <c r="E2108" t="inlineStr">
        <is>
          <t>TORSBY</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2155-2024</t>
        </is>
      </c>
      <c r="B2109" s="1" t="n">
        <v>45309</v>
      </c>
      <c r="C2109" s="1" t="n">
        <v>45822</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2130-2024</t>
        </is>
      </c>
      <c r="B2110" s="1" t="n">
        <v>45309</v>
      </c>
      <c r="C2110" s="1" t="n">
        <v>45822</v>
      </c>
      <c r="D2110" t="inlineStr">
        <is>
          <t>VÄRMLANDS LÄN</t>
        </is>
      </c>
      <c r="E2110" t="inlineStr">
        <is>
          <t>TORSBY</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2308-2024</t>
        </is>
      </c>
      <c r="B2111" s="1" t="n">
        <v>45310</v>
      </c>
      <c r="C2111" s="1" t="n">
        <v>45822</v>
      </c>
      <c r="D2111" t="inlineStr">
        <is>
          <t>VÄRMLANDS LÄN</t>
        </is>
      </c>
      <c r="E2111" t="inlineStr">
        <is>
          <t>TORSBY</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2328-2024</t>
        </is>
      </c>
      <c r="B2112" s="1" t="n">
        <v>45310</v>
      </c>
      <c r="C2112" s="1" t="n">
        <v>45822</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2466-2024</t>
        </is>
      </c>
      <c r="B2113" s="1" t="n">
        <v>45313</v>
      </c>
      <c r="C2113" s="1" t="n">
        <v>45822</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2689-2024</t>
        </is>
      </c>
      <c r="B2114" s="1" t="n">
        <v>45314</v>
      </c>
      <c r="C2114" s="1" t="n">
        <v>45822</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2784-2024</t>
        </is>
      </c>
      <c r="B2115" s="1" t="n">
        <v>45314</v>
      </c>
      <c r="C2115" s="1" t="n">
        <v>45822</v>
      </c>
      <c r="D2115" t="inlineStr">
        <is>
          <t>VÄRMLANDS LÄN</t>
        </is>
      </c>
      <c r="E2115" t="inlineStr">
        <is>
          <t>TORSBY</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2662-2024</t>
        </is>
      </c>
      <c r="B2116" s="1" t="n">
        <v>45314</v>
      </c>
      <c r="C2116" s="1" t="n">
        <v>45822</v>
      </c>
      <c r="D2116" t="inlineStr">
        <is>
          <t>VÄRMLANDS LÄN</t>
        </is>
      </c>
      <c r="E2116" t="inlineStr">
        <is>
          <t>TORSBY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2870-2024</t>
        </is>
      </c>
      <c r="B2117" s="1" t="n">
        <v>45315</v>
      </c>
      <c r="C2117" s="1" t="n">
        <v>45822</v>
      </c>
      <c r="D2117" t="inlineStr">
        <is>
          <t>VÄRMLANDS LÄN</t>
        </is>
      </c>
      <c r="E2117" t="inlineStr">
        <is>
          <t>TORSBY</t>
        </is>
      </c>
      <c r="F2117" t="inlineStr">
        <is>
          <t>Bergvik skog väst AB</t>
        </is>
      </c>
      <c r="G2117" t="n">
        <v>16.6</v>
      </c>
      <c r="H2117" t="n">
        <v>0</v>
      </c>
      <c r="I2117" t="n">
        <v>0</v>
      </c>
      <c r="J2117" t="n">
        <v>0</v>
      </c>
      <c r="K2117" t="n">
        <v>0</v>
      </c>
      <c r="L2117" t="n">
        <v>0</v>
      </c>
      <c r="M2117" t="n">
        <v>0</v>
      </c>
      <c r="N2117" t="n">
        <v>0</v>
      </c>
      <c r="O2117" t="n">
        <v>0</v>
      </c>
      <c r="P2117" t="n">
        <v>0</v>
      </c>
      <c r="Q2117" t="n">
        <v>0</v>
      </c>
      <c r="R2117" s="2" t="inlineStr"/>
    </row>
    <row r="2118" ht="15" customHeight="1">
      <c r="A2118" t="inlineStr">
        <is>
          <t>A 3106-2024</t>
        </is>
      </c>
      <c r="B2118" s="1" t="n">
        <v>45316</v>
      </c>
      <c r="C2118" s="1" t="n">
        <v>45822</v>
      </c>
      <c r="D2118" t="inlineStr">
        <is>
          <t>VÄRMLANDS LÄN</t>
        </is>
      </c>
      <c r="E2118" t="inlineStr">
        <is>
          <t>TORSBY</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3069-2024</t>
        </is>
      </c>
      <c r="B2119" s="1" t="n">
        <v>45316</v>
      </c>
      <c r="C2119" s="1" t="n">
        <v>45822</v>
      </c>
      <c r="D2119" t="inlineStr">
        <is>
          <t>VÄRMLANDS LÄN</t>
        </is>
      </c>
      <c r="E2119" t="inlineStr">
        <is>
          <t>TORSBY</t>
        </is>
      </c>
      <c r="G2119" t="n">
        <v>14.8</v>
      </c>
      <c r="H2119" t="n">
        <v>0</v>
      </c>
      <c r="I2119" t="n">
        <v>0</v>
      </c>
      <c r="J2119" t="n">
        <v>0</v>
      </c>
      <c r="K2119" t="n">
        <v>0</v>
      </c>
      <c r="L2119" t="n">
        <v>0</v>
      </c>
      <c r="M2119" t="n">
        <v>0</v>
      </c>
      <c r="N2119" t="n">
        <v>0</v>
      </c>
      <c r="O2119" t="n">
        <v>0</v>
      </c>
      <c r="P2119" t="n">
        <v>0</v>
      </c>
      <c r="Q2119" t="n">
        <v>0</v>
      </c>
      <c r="R2119" s="2" t="inlineStr"/>
    </row>
    <row r="2120" ht="15" customHeight="1">
      <c r="A2120" t="inlineStr">
        <is>
          <t>A 3326-2024</t>
        </is>
      </c>
      <c r="B2120" s="1" t="n">
        <v>45317</v>
      </c>
      <c r="C2120" s="1" t="n">
        <v>45822</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3298-2024</t>
        </is>
      </c>
      <c r="B2121" s="1" t="n">
        <v>45317</v>
      </c>
      <c r="C2121" s="1" t="n">
        <v>45822</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3331-2024</t>
        </is>
      </c>
      <c r="B2122" s="1" t="n">
        <v>45317</v>
      </c>
      <c r="C2122" s="1" t="n">
        <v>45822</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3591-2024</t>
        </is>
      </c>
      <c r="B2123" s="1" t="n">
        <v>45320</v>
      </c>
      <c r="C2123" s="1" t="n">
        <v>45822</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3479-2024</t>
        </is>
      </c>
      <c r="B2124" s="1" t="n">
        <v>45320</v>
      </c>
      <c r="C2124" s="1" t="n">
        <v>45822</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3536-2024</t>
        </is>
      </c>
      <c r="B2125" s="1" t="n">
        <v>45320</v>
      </c>
      <c r="C2125" s="1" t="n">
        <v>45822</v>
      </c>
      <c r="D2125" t="inlineStr">
        <is>
          <t>VÄRMLANDS LÄN</t>
        </is>
      </c>
      <c r="E2125" t="inlineStr">
        <is>
          <t>TORSBY</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3590-2024</t>
        </is>
      </c>
      <c r="B2126" s="1" t="n">
        <v>45320</v>
      </c>
      <c r="C2126" s="1" t="n">
        <v>45822</v>
      </c>
      <c r="D2126" t="inlineStr">
        <is>
          <t>VÄRMLANDS LÄN</t>
        </is>
      </c>
      <c r="E2126" t="inlineStr">
        <is>
          <t>TORSBY</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3608-2024</t>
        </is>
      </c>
      <c r="B2127" s="1" t="n">
        <v>45320</v>
      </c>
      <c r="C2127" s="1" t="n">
        <v>45822</v>
      </c>
      <c r="D2127" t="inlineStr">
        <is>
          <t>VÄRMLANDS LÄN</t>
        </is>
      </c>
      <c r="E2127" t="inlineStr">
        <is>
          <t>TORSBY</t>
        </is>
      </c>
      <c r="G2127" t="n">
        <v>20.2</v>
      </c>
      <c r="H2127" t="n">
        <v>0</v>
      </c>
      <c r="I2127" t="n">
        <v>0</v>
      </c>
      <c r="J2127" t="n">
        <v>0</v>
      </c>
      <c r="K2127" t="n">
        <v>0</v>
      </c>
      <c r="L2127" t="n">
        <v>0</v>
      </c>
      <c r="M2127" t="n">
        <v>0</v>
      </c>
      <c r="N2127" t="n">
        <v>0</v>
      </c>
      <c r="O2127" t="n">
        <v>0</v>
      </c>
      <c r="P2127" t="n">
        <v>0</v>
      </c>
      <c r="Q2127" t="n">
        <v>0</v>
      </c>
      <c r="R2127" s="2" t="inlineStr"/>
    </row>
    <row r="2128" ht="15" customHeight="1">
      <c r="A2128" t="inlineStr">
        <is>
          <t>A 3678-2024</t>
        </is>
      </c>
      <c r="B2128" s="1" t="n">
        <v>45321</v>
      </c>
      <c r="C2128" s="1" t="n">
        <v>45822</v>
      </c>
      <c r="D2128" t="inlineStr">
        <is>
          <t>VÄRMLANDS LÄN</t>
        </is>
      </c>
      <c r="E2128" t="inlineStr">
        <is>
          <t>TORSBY</t>
        </is>
      </c>
      <c r="G2128" t="n">
        <v>24.6</v>
      </c>
      <c r="H2128" t="n">
        <v>0</v>
      </c>
      <c r="I2128" t="n">
        <v>0</v>
      </c>
      <c r="J2128" t="n">
        <v>0</v>
      </c>
      <c r="K2128" t="n">
        <v>0</v>
      </c>
      <c r="L2128" t="n">
        <v>0</v>
      </c>
      <c r="M2128" t="n">
        <v>0</v>
      </c>
      <c r="N2128" t="n">
        <v>0</v>
      </c>
      <c r="O2128" t="n">
        <v>0</v>
      </c>
      <c r="P2128" t="n">
        <v>0</v>
      </c>
      <c r="Q2128" t="n">
        <v>0</v>
      </c>
      <c r="R2128" s="2" t="inlineStr"/>
    </row>
    <row r="2129" ht="15" customHeight="1">
      <c r="A2129" t="inlineStr">
        <is>
          <t>A 3672-2024</t>
        </is>
      </c>
      <c r="B2129" s="1" t="n">
        <v>45321</v>
      </c>
      <c r="C2129" s="1" t="n">
        <v>45822</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3720-2024</t>
        </is>
      </c>
      <c r="B2130" s="1" t="n">
        <v>45321</v>
      </c>
      <c r="C2130" s="1" t="n">
        <v>45822</v>
      </c>
      <c r="D2130" t="inlineStr">
        <is>
          <t>VÄRMLANDS LÄN</t>
        </is>
      </c>
      <c r="E2130" t="inlineStr">
        <is>
          <t>TORSBY</t>
        </is>
      </c>
      <c r="F2130" t="inlineStr">
        <is>
          <t>Bergvik skog väst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3724-2024</t>
        </is>
      </c>
      <c r="B2131" s="1" t="n">
        <v>45321</v>
      </c>
      <c r="C2131" s="1" t="n">
        <v>45822</v>
      </c>
      <c r="D2131" t="inlineStr">
        <is>
          <t>VÄRMLANDS LÄN</t>
        </is>
      </c>
      <c r="E2131" t="inlineStr">
        <is>
          <t>TORSBY</t>
        </is>
      </c>
      <c r="F2131" t="inlineStr">
        <is>
          <t>Bergvik skog väst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3673-2024</t>
        </is>
      </c>
      <c r="B2132" s="1" t="n">
        <v>45321</v>
      </c>
      <c r="C2132" s="1" t="n">
        <v>45822</v>
      </c>
      <c r="D2132" t="inlineStr">
        <is>
          <t>VÄRMLANDS LÄN</t>
        </is>
      </c>
      <c r="E2132" t="inlineStr">
        <is>
          <t>TORSBY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3750-2024</t>
        </is>
      </c>
      <c r="B2133" s="1" t="n">
        <v>45321</v>
      </c>
      <c r="C2133" s="1" t="n">
        <v>45822</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3734-2024</t>
        </is>
      </c>
      <c r="B2134" s="1" t="n">
        <v>45321</v>
      </c>
      <c r="C2134" s="1" t="n">
        <v>45822</v>
      </c>
      <c r="D2134" t="inlineStr">
        <is>
          <t>VÄRMLANDS LÄN</t>
        </is>
      </c>
      <c r="E2134" t="inlineStr">
        <is>
          <t>TORSBY</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3822-2024</t>
        </is>
      </c>
      <c r="B2135" s="1" t="n">
        <v>45321</v>
      </c>
      <c r="C2135" s="1" t="n">
        <v>45822</v>
      </c>
      <c r="D2135" t="inlineStr">
        <is>
          <t>VÄRMLANDS LÄN</t>
        </is>
      </c>
      <c r="E2135" t="inlineStr">
        <is>
          <t>TORSBY</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3922-2024</t>
        </is>
      </c>
      <c r="B2136" s="1" t="n">
        <v>45322</v>
      </c>
      <c r="C2136" s="1" t="n">
        <v>45822</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4030-2024</t>
        </is>
      </c>
      <c r="B2137" s="1" t="n">
        <v>45323</v>
      </c>
      <c r="C2137" s="1" t="n">
        <v>45822</v>
      </c>
      <c r="D2137" t="inlineStr">
        <is>
          <t>VÄRMLANDS LÄN</t>
        </is>
      </c>
      <c r="E2137" t="inlineStr">
        <is>
          <t>TORSBY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4070-2024</t>
        </is>
      </c>
      <c r="B2138" s="1" t="n">
        <v>45323</v>
      </c>
      <c r="C2138" s="1" t="n">
        <v>45822</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4078-2024</t>
        </is>
      </c>
      <c r="B2139" s="1" t="n">
        <v>45323</v>
      </c>
      <c r="C2139" s="1" t="n">
        <v>45822</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4231-2024</t>
        </is>
      </c>
      <c r="B2140" s="1" t="n">
        <v>45324</v>
      </c>
      <c r="C2140" s="1" t="n">
        <v>45822</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4219-2024</t>
        </is>
      </c>
      <c r="B2141" s="1" t="n">
        <v>45324</v>
      </c>
      <c r="C2141" s="1" t="n">
        <v>45822</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4908-2024</t>
        </is>
      </c>
      <c r="B2142" s="1" t="n">
        <v>45329</v>
      </c>
      <c r="C2142" s="1" t="n">
        <v>45822</v>
      </c>
      <c r="D2142" t="inlineStr">
        <is>
          <t>VÄRMLANDS LÄN</t>
        </is>
      </c>
      <c r="E2142" t="inlineStr">
        <is>
          <t>TORSBY</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4918-2024</t>
        </is>
      </c>
      <c r="B2143" s="1" t="n">
        <v>45329</v>
      </c>
      <c r="C2143" s="1" t="n">
        <v>45822</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4920-2024</t>
        </is>
      </c>
      <c r="B2144" s="1" t="n">
        <v>45329</v>
      </c>
      <c r="C2144" s="1" t="n">
        <v>45822</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4913-2024</t>
        </is>
      </c>
      <c r="B2145" s="1" t="n">
        <v>45329</v>
      </c>
      <c r="C2145" s="1" t="n">
        <v>45822</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5115-2024</t>
        </is>
      </c>
      <c r="B2146" s="1" t="n">
        <v>45330</v>
      </c>
      <c r="C2146" s="1" t="n">
        <v>45822</v>
      </c>
      <c r="D2146" t="inlineStr">
        <is>
          <t>VÄRMLANDS LÄN</t>
        </is>
      </c>
      <c r="E2146" t="inlineStr">
        <is>
          <t>TORSBY</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5351-2024</t>
        </is>
      </c>
      <c r="B2147" s="1" t="n">
        <v>45331</v>
      </c>
      <c r="C2147" s="1" t="n">
        <v>45822</v>
      </c>
      <c r="D2147" t="inlineStr">
        <is>
          <t>VÄRMLANDS LÄN</t>
        </is>
      </c>
      <c r="E2147" t="inlineStr">
        <is>
          <t>TORSBY</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5509-2024</t>
        </is>
      </c>
      <c r="B2148" s="1" t="n">
        <v>45334</v>
      </c>
      <c r="C2148" s="1" t="n">
        <v>45822</v>
      </c>
      <c r="D2148" t="inlineStr">
        <is>
          <t>VÄRMLANDS LÄN</t>
        </is>
      </c>
      <c r="E2148" t="inlineStr">
        <is>
          <t>TORSBY</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5814-2024</t>
        </is>
      </c>
      <c r="B2149" s="1" t="n">
        <v>45335</v>
      </c>
      <c r="C2149" s="1" t="n">
        <v>45822</v>
      </c>
      <c r="D2149" t="inlineStr">
        <is>
          <t>VÄRMLANDS LÄN</t>
        </is>
      </c>
      <c r="E2149" t="inlineStr">
        <is>
          <t>TORSBY</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5863-2024</t>
        </is>
      </c>
      <c r="B2150" s="1" t="n">
        <v>45335</v>
      </c>
      <c r="C2150" s="1" t="n">
        <v>45822</v>
      </c>
      <c r="D2150" t="inlineStr">
        <is>
          <t>VÄRMLANDS LÄN</t>
        </is>
      </c>
      <c r="E2150" t="inlineStr">
        <is>
          <t>TORSBY</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5948-2024</t>
        </is>
      </c>
      <c r="B2151" s="1" t="n">
        <v>45336</v>
      </c>
      <c r="C2151" s="1" t="n">
        <v>45822</v>
      </c>
      <c r="D2151" t="inlineStr">
        <is>
          <t>VÄRMLANDS LÄN</t>
        </is>
      </c>
      <c r="E2151" t="inlineStr">
        <is>
          <t>TORSBY</t>
        </is>
      </c>
      <c r="F2151" t="inlineStr">
        <is>
          <t>Bergvik skog väst AB</t>
        </is>
      </c>
      <c r="G2151" t="n">
        <v>9.300000000000001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6013-2024</t>
        </is>
      </c>
      <c r="B2152" s="1" t="n">
        <v>45336</v>
      </c>
      <c r="C2152" s="1" t="n">
        <v>45822</v>
      </c>
      <c r="D2152" t="inlineStr">
        <is>
          <t>VÄRMLANDS LÄN</t>
        </is>
      </c>
      <c r="E2152" t="inlineStr">
        <is>
          <t>TORSBY</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6371-2024</t>
        </is>
      </c>
      <c r="B2153" s="1" t="n">
        <v>45338</v>
      </c>
      <c r="C2153" s="1" t="n">
        <v>45822</v>
      </c>
      <c r="D2153" t="inlineStr">
        <is>
          <t>VÄRMLANDS LÄN</t>
        </is>
      </c>
      <c r="E2153" t="inlineStr">
        <is>
          <t>TORSBY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6648-2024</t>
        </is>
      </c>
      <c r="B2154" s="1" t="n">
        <v>45341</v>
      </c>
      <c r="C2154" s="1" t="n">
        <v>45822</v>
      </c>
      <c r="D2154" t="inlineStr">
        <is>
          <t>VÄRMLANDS LÄN</t>
        </is>
      </c>
      <c r="E2154" t="inlineStr">
        <is>
          <t>TORSBY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6646-2024</t>
        </is>
      </c>
      <c r="B2155" s="1" t="n">
        <v>45341</v>
      </c>
      <c r="C2155" s="1" t="n">
        <v>45822</v>
      </c>
      <c r="D2155" t="inlineStr">
        <is>
          <t>VÄRMLANDS LÄN</t>
        </is>
      </c>
      <c r="E2155" t="inlineStr">
        <is>
          <t>TORSBY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6675-2024</t>
        </is>
      </c>
      <c r="B2156" s="1" t="n">
        <v>45341</v>
      </c>
      <c r="C2156" s="1" t="n">
        <v>45822</v>
      </c>
      <c r="D2156" t="inlineStr">
        <is>
          <t>VÄRMLANDS LÄN</t>
        </is>
      </c>
      <c r="E2156" t="inlineStr">
        <is>
          <t>TORSBY</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6828-2024</t>
        </is>
      </c>
      <c r="B2157" s="1" t="n">
        <v>45342</v>
      </c>
      <c r="C2157" s="1" t="n">
        <v>45822</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6943-2024</t>
        </is>
      </c>
      <c r="B2158" s="1" t="n">
        <v>45343</v>
      </c>
      <c r="C2158" s="1" t="n">
        <v>45822</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6942-2024</t>
        </is>
      </c>
      <c r="B2159" s="1" t="n">
        <v>45343</v>
      </c>
      <c r="C2159" s="1" t="n">
        <v>45822</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7221-2024</t>
        </is>
      </c>
      <c r="B2160" s="1" t="n">
        <v>45344</v>
      </c>
      <c r="C2160" s="1" t="n">
        <v>45822</v>
      </c>
      <c r="D2160" t="inlineStr">
        <is>
          <t>VÄRMLANDS LÄN</t>
        </is>
      </c>
      <c r="E2160" t="inlineStr">
        <is>
          <t>TORSBY</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7490-2024</t>
        </is>
      </c>
      <c r="B2161" s="1" t="n">
        <v>45346</v>
      </c>
      <c r="C2161" s="1" t="n">
        <v>45822</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7494-2024</t>
        </is>
      </c>
      <c r="B2162" s="1" t="n">
        <v>45346</v>
      </c>
      <c r="C2162" s="1" t="n">
        <v>45822</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7487-2024</t>
        </is>
      </c>
      <c r="B2163" s="1" t="n">
        <v>45346</v>
      </c>
      <c r="C2163" s="1" t="n">
        <v>45822</v>
      </c>
      <c r="D2163" t="inlineStr">
        <is>
          <t>VÄRMLANDS LÄN</t>
        </is>
      </c>
      <c r="E2163" t="inlineStr">
        <is>
          <t>TORSBY</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7491-2024</t>
        </is>
      </c>
      <c r="B2164" s="1" t="n">
        <v>45346</v>
      </c>
      <c r="C2164" s="1" t="n">
        <v>45822</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7489-2024</t>
        </is>
      </c>
      <c r="B2165" s="1" t="n">
        <v>45346</v>
      </c>
      <c r="C2165" s="1" t="n">
        <v>45822</v>
      </c>
      <c r="D2165" t="inlineStr">
        <is>
          <t>VÄRMLANDS LÄN</t>
        </is>
      </c>
      <c r="E2165" t="inlineStr">
        <is>
          <t>TORSBY</t>
        </is>
      </c>
      <c r="G2165" t="n">
        <v>13.2</v>
      </c>
      <c r="H2165" t="n">
        <v>0</v>
      </c>
      <c r="I2165" t="n">
        <v>0</v>
      </c>
      <c r="J2165" t="n">
        <v>0</v>
      </c>
      <c r="K2165" t="n">
        <v>0</v>
      </c>
      <c r="L2165" t="n">
        <v>0</v>
      </c>
      <c r="M2165" t="n">
        <v>0</v>
      </c>
      <c r="N2165" t="n">
        <v>0</v>
      </c>
      <c r="O2165" t="n">
        <v>0</v>
      </c>
      <c r="P2165" t="n">
        <v>0</v>
      </c>
      <c r="Q2165" t="n">
        <v>0</v>
      </c>
      <c r="R2165" s="2" t="inlineStr"/>
    </row>
    <row r="2166" ht="15" customHeight="1">
      <c r="A2166" t="inlineStr">
        <is>
          <t>A 7493-2024</t>
        </is>
      </c>
      <c r="B2166" s="1" t="n">
        <v>45346</v>
      </c>
      <c r="C2166" s="1" t="n">
        <v>45822</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7488-2024</t>
        </is>
      </c>
      <c r="B2167" s="1" t="n">
        <v>45346</v>
      </c>
      <c r="C2167" s="1" t="n">
        <v>45822</v>
      </c>
      <c r="D2167" t="inlineStr">
        <is>
          <t>VÄRMLANDS LÄN</t>
        </is>
      </c>
      <c r="E2167" t="inlineStr">
        <is>
          <t>TORSBY</t>
        </is>
      </c>
      <c r="G2167" t="n">
        <v>9.4</v>
      </c>
      <c r="H2167" t="n">
        <v>0</v>
      </c>
      <c r="I2167" t="n">
        <v>0</v>
      </c>
      <c r="J2167" t="n">
        <v>0</v>
      </c>
      <c r="K2167" t="n">
        <v>0</v>
      </c>
      <c r="L2167" t="n">
        <v>0</v>
      </c>
      <c r="M2167" t="n">
        <v>0</v>
      </c>
      <c r="N2167" t="n">
        <v>0</v>
      </c>
      <c r="O2167" t="n">
        <v>0</v>
      </c>
      <c r="P2167" t="n">
        <v>0</v>
      </c>
      <c r="Q2167" t="n">
        <v>0</v>
      </c>
      <c r="R2167" s="2" t="inlineStr"/>
    </row>
    <row r="2168" ht="15" customHeight="1">
      <c r="A2168" t="inlineStr">
        <is>
          <t>A 7500-2024</t>
        </is>
      </c>
      <c r="B2168" s="1" t="n">
        <v>45347</v>
      </c>
      <c r="C2168" s="1" t="n">
        <v>45822</v>
      </c>
      <c r="D2168" t="inlineStr">
        <is>
          <t>VÄRMLANDS LÄN</t>
        </is>
      </c>
      <c r="E2168" t="inlineStr">
        <is>
          <t>TORSBY</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7651-2024</t>
        </is>
      </c>
      <c r="B2169" s="1" t="n">
        <v>45348</v>
      </c>
      <c r="C2169" s="1" t="n">
        <v>45822</v>
      </c>
      <c r="D2169" t="inlineStr">
        <is>
          <t>VÄRMLANDS LÄN</t>
        </is>
      </c>
      <c r="E2169" t="inlineStr">
        <is>
          <t>TORSBY</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7636-2024</t>
        </is>
      </c>
      <c r="B2170" s="1" t="n">
        <v>45348</v>
      </c>
      <c r="C2170" s="1" t="n">
        <v>45822</v>
      </c>
      <c r="D2170" t="inlineStr">
        <is>
          <t>VÄRMLANDS LÄN</t>
        </is>
      </c>
      <c r="E2170" t="inlineStr">
        <is>
          <t>TORSBY</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7676-2024</t>
        </is>
      </c>
      <c r="B2171" s="1" t="n">
        <v>45348</v>
      </c>
      <c r="C2171" s="1" t="n">
        <v>45822</v>
      </c>
      <c r="D2171" t="inlineStr">
        <is>
          <t>VÄRMLANDS LÄN</t>
        </is>
      </c>
      <c r="E2171" t="inlineStr">
        <is>
          <t>TORSBY</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7677-2024</t>
        </is>
      </c>
      <c r="B2172" s="1" t="n">
        <v>45348</v>
      </c>
      <c r="C2172" s="1" t="n">
        <v>45822</v>
      </c>
      <c r="D2172" t="inlineStr">
        <is>
          <t>VÄRMLANDS LÄN</t>
        </is>
      </c>
      <c r="E2172" t="inlineStr">
        <is>
          <t>TORSBY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7757-2024</t>
        </is>
      </c>
      <c r="B2173" s="1" t="n">
        <v>45349</v>
      </c>
      <c r="C2173" s="1" t="n">
        <v>45822</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7927-2024</t>
        </is>
      </c>
      <c r="B2174" s="1" t="n">
        <v>45350</v>
      </c>
      <c r="C2174" s="1" t="n">
        <v>45822</v>
      </c>
      <c r="D2174" t="inlineStr">
        <is>
          <t>VÄRMLANDS LÄN</t>
        </is>
      </c>
      <c r="E2174" t="inlineStr">
        <is>
          <t>TORSBY</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8012-2024</t>
        </is>
      </c>
      <c r="B2175" s="1" t="n">
        <v>45350</v>
      </c>
      <c r="C2175" s="1" t="n">
        <v>45822</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8625-2024</t>
        </is>
      </c>
      <c r="B2176" s="1" t="n">
        <v>45355</v>
      </c>
      <c r="C2176" s="1" t="n">
        <v>45822</v>
      </c>
      <c r="D2176" t="inlineStr">
        <is>
          <t>VÄRMLANDS LÄN</t>
        </is>
      </c>
      <c r="E2176" t="inlineStr">
        <is>
          <t>TORSBY</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8728-2024</t>
        </is>
      </c>
      <c r="B2177" s="1" t="n">
        <v>45356</v>
      </c>
      <c r="C2177" s="1" t="n">
        <v>45822</v>
      </c>
      <c r="D2177" t="inlineStr">
        <is>
          <t>VÄRMLANDS LÄN</t>
        </is>
      </c>
      <c r="E2177" t="inlineStr">
        <is>
          <t>TORSBY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8720-2024</t>
        </is>
      </c>
      <c r="B2178" s="1" t="n">
        <v>45356</v>
      </c>
      <c r="C2178" s="1" t="n">
        <v>45822</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8725-2024</t>
        </is>
      </c>
      <c r="B2179" s="1" t="n">
        <v>45356</v>
      </c>
      <c r="C2179" s="1" t="n">
        <v>45822</v>
      </c>
      <c r="D2179" t="inlineStr">
        <is>
          <t>VÄRMLANDS LÄN</t>
        </is>
      </c>
      <c r="E2179" t="inlineStr">
        <is>
          <t>TORSBY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8719-2024</t>
        </is>
      </c>
      <c r="B2180" s="1" t="n">
        <v>45356</v>
      </c>
      <c r="C2180" s="1" t="n">
        <v>45822</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9203-2024</t>
        </is>
      </c>
      <c r="B2181" s="1" t="n">
        <v>45358</v>
      </c>
      <c r="C2181" s="1" t="n">
        <v>45822</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9381-2024</t>
        </is>
      </c>
      <c r="B2182" s="1" t="n">
        <v>45359</v>
      </c>
      <c r="C2182" s="1" t="n">
        <v>45822</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9764-2024</t>
        </is>
      </c>
      <c r="B2183" s="1" t="n">
        <v>45362</v>
      </c>
      <c r="C2183" s="1" t="n">
        <v>45822</v>
      </c>
      <c r="D2183" t="inlineStr">
        <is>
          <t>VÄRMLANDS LÄN</t>
        </is>
      </c>
      <c r="E2183" t="inlineStr">
        <is>
          <t>TORSBY</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9799-2024</t>
        </is>
      </c>
      <c r="B2184" s="1" t="n">
        <v>45362</v>
      </c>
      <c r="C2184" s="1" t="n">
        <v>45822</v>
      </c>
      <c r="D2184" t="inlineStr">
        <is>
          <t>VÄRMLANDS LÄN</t>
        </is>
      </c>
      <c r="E2184" t="inlineStr">
        <is>
          <t>TORSBY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9793-2024</t>
        </is>
      </c>
      <c r="B2185" s="1" t="n">
        <v>45362</v>
      </c>
      <c r="C2185" s="1" t="n">
        <v>45822</v>
      </c>
      <c r="D2185" t="inlineStr">
        <is>
          <t>VÄRMLANDS LÄN</t>
        </is>
      </c>
      <c r="E2185" t="inlineStr">
        <is>
          <t>TORSBY</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9797-2024</t>
        </is>
      </c>
      <c r="B2186" s="1" t="n">
        <v>45362</v>
      </c>
      <c r="C2186" s="1" t="n">
        <v>45822</v>
      </c>
      <c r="D2186" t="inlineStr">
        <is>
          <t>VÄRMLANDS LÄN</t>
        </is>
      </c>
      <c r="E2186" t="inlineStr">
        <is>
          <t>TORSBY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9902-2024</t>
        </is>
      </c>
      <c r="B2187" s="1" t="n">
        <v>45363</v>
      </c>
      <c r="C2187" s="1" t="n">
        <v>45822</v>
      </c>
      <c r="D2187" t="inlineStr">
        <is>
          <t>VÄRMLANDS LÄN</t>
        </is>
      </c>
      <c r="E2187" t="inlineStr">
        <is>
          <t>TORSBY</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9900-2024</t>
        </is>
      </c>
      <c r="B2188" s="1" t="n">
        <v>45363</v>
      </c>
      <c r="C2188" s="1" t="n">
        <v>45822</v>
      </c>
      <c r="D2188" t="inlineStr">
        <is>
          <t>VÄRMLANDS LÄN</t>
        </is>
      </c>
      <c r="E2188" t="inlineStr">
        <is>
          <t>TORSBY</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9904-2024</t>
        </is>
      </c>
      <c r="B2189" s="1" t="n">
        <v>45363</v>
      </c>
      <c r="C2189" s="1" t="n">
        <v>45822</v>
      </c>
      <c r="D2189" t="inlineStr">
        <is>
          <t>VÄRMLANDS LÄN</t>
        </is>
      </c>
      <c r="E2189" t="inlineStr">
        <is>
          <t>TORSBY</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9908-2024</t>
        </is>
      </c>
      <c r="B2190" s="1" t="n">
        <v>45363</v>
      </c>
      <c r="C2190" s="1" t="n">
        <v>45822</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9912-2024</t>
        </is>
      </c>
      <c r="B2191" s="1" t="n">
        <v>45363</v>
      </c>
      <c r="C2191" s="1" t="n">
        <v>45822</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9871-2024</t>
        </is>
      </c>
      <c r="B2192" s="1" t="n">
        <v>45363</v>
      </c>
      <c r="C2192" s="1" t="n">
        <v>45822</v>
      </c>
      <c r="D2192" t="inlineStr">
        <is>
          <t>VÄRMLANDS LÄN</t>
        </is>
      </c>
      <c r="E2192" t="inlineStr">
        <is>
          <t>TORSBY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10011-2024</t>
        </is>
      </c>
      <c r="B2193" s="1" t="n">
        <v>45363</v>
      </c>
      <c r="C2193" s="1" t="n">
        <v>45822</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10304-2024</t>
        </is>
      </c>
      <c r="B2194" s="1" t="n">
        <v>45365</v>
      </c>
      <c r="C2194" s="1" t="n">
        <v>45822</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10372-2024</t>
        </is>
      </c>
      <c r="B2195" s="1" t="n">
        <v>45365</v>
      </c>
      <c r="C2195" s="1" t="n">
        <v>45822</v>
      </c>
      <c r="D2195" t="inlineStr">
        <is>
          <t>VÄRMLANDS LÄN</t>
        </is>
      </c>
      <c r="E2195" t="inlineStr">
        <is>
          <t>TORSBY</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10380-2024</t>
        </is>
      </c>
      <c r="B2196" s="1" t="n">
        <v>45365</v>
      </c>
      <c r="C2196" s="1" t="n">
        <v>45822</v>
      </c>
      <c r="D2196" t="inlineStr">
        <is>
          <t>VÄRMLANDS LÄN</t>
        </is>
      </c>
      <c r="E2196" t="inlineStr">
        <is>
          <t>TORSBY</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10466-2024</t>
        </is>
      </c>
      <c r="B2197" s="1" t="n">
        <v>45366</v>
      </c>
      <c r="C2197" s="1" t="n">
        <v>45822</v>
      </c>
      <c r="D2197" t="inlineStr">
        <is>
          <t>VÄRMLANDS LÄN</t>
        </is>
      </c>
      <c r="E2197" t="inlineStr">
        <is>
          <t>TORSBY</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10589-2024</t>
        </is>
      </c>
      <c r="B2198" s="1" t="n">
        <v>45366</v>
      </c>
      <c r="C2198" s="1" t="n">
        <v>45822</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10587-2024</t>
        </is>
      </c>
      <c r="B2199" s="1" t="n">
        <v>45366</v>
      </c>
      <c r="C2199" s="1" t="n">
        <v>45822</v>
      </c>
      <c r="D2199" t="inlineStr">
        <is>
          <t>VÄRMLANDS LÄN</t>
        </is>
      </c>
      <c r="E2199" t="inlineStr">
        <is>
          <t>TORSBY</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10684-2024</t>
        </is>
      </c>
      <c r="B2200" s="1" t="n">
        <v>45369</v>
      </c>
      <c r="C2200" s="1" t="n">
        <v>45822</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10895-2024</t>
        </is>
      </c>
      <c r="B2201" s="1" t="n">
        <v>45370</v>
      </c>
      <c r="C2201" s="1" t="n">
        <v>45822</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11121-2024</t>
        </is>
      </c>
      <c r="B2202" s="1" t="n">
        <v>45371</v>
      </c>
      <c r="C2202" s="1" t="n">
        <v>45822</v>
      </c>
      <c r="D2202" t="inlineStr">
        <is>
          <t>VÄRMLANDS LÄN</t>
        </is>
      </c>
      <c r="E2202" t="inlineStr">
        <is>
          <t>TORSBY</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11153-2024</t>
        </is>
      </c>
      <c r="B2203" s="1" t="n">
        <v>45371</v>
      </c>
      <c r="C2203" s="1" t="n">
        <v>45822</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11135-2024</t>
        </is>
      </c>
      <c r="B2204" s="1" t="n">
        <v>45371</v>
      </c>
      <c r="C2204" s="1" t="n">
        <v>45822</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11143-2024</t>
        </is>
      </c>
      <c r="B2205" s="1" t="n">
        <v>45371</v>
      </c>
      <c r="C2205" s="1" t="n">
        <v>45822</v>
      </c>
      <c r="D2205" t="inlineStr">
        <is>
          <t>VÄRMLANDS LÄN</t>
        </is>
      </c>
      <c r="E2205" t="inlineStr">
        <is>
          <t>TORSBY</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11187-2024</t>
        </is>
      </c>
      <c r="B2206" s="1" t="n">
        <v>45371</v>
      </c>
      <c r="C2206" s="1" t="n">
        <v>45822</v>
      </c>
      <c r="D2206" t="inlineStr">
        <is>
          <t>VÄRMLANDS LÄN</t>
        </is>
      </c>
      <c r="E2206" t="inlineStr">
        <is>
          <t>TORSBY</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11211-2024</t>
        </is>
      </c>
      <c r="B2207" s="1" t="n">
        <v>45371</v>
      </c>
      <c r="C2207" s="1" t="n">
        <v>45822</v>
      </c>
      <c r="D2207" t="inlineStr">
        <is>
          <t>VÄRMLANDS LÄN</t>
        </is>
      </c>
      <c r="E2207" t="inlineStr">
        <is>
          <t>TORSBY</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11227-2024</t>
        </is>
      </c>
      <c r="B2208" s="1" t="n">
        <v>45371</v>
      </c>
      <c r="C2208" s="1" t="n">
        <v>45822</v>
      </c>
      <c r="D2208" t="inlineStr">
        <is>
          <t>VÄRMLANDS LÄN</t>
        </is>
      </c>
      <c r="E2208" t="inlineStr">
        <is>
          <t>TORSBY</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11235-2024</t>
        </is>
      </c>
      <c r="B2209" s="1" t="n">
        <v>45371</v>
      </c>
      <c r="C2209" s="1" t="n">
        <v>45822</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11214-2024</t>
        </is>
      </c>
      <c r="B2210" s="1" t="n">
        <v>45371</v>
      </c>
      <c r="C2210" s="1" t="n">
        <v>45822</v>
      </c>
      <c r="D2210" t="inlineStr">
        <is>
          <t>VÄRMLANDS LÄN</t>
        </is>
      </c>
      <c r="E2210" t="inlineStr">
        <is>
          <t>TORSBY</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11222-2024</t>
        </is>
      </c>
      <c r="B2211" s="1" t="n">
        <v>45371</v>
      </c>
      <c r="C2211" s="1" t="n">
        <v>45822</v>
      </c>
      <c r="D2211" t="inlineStr">
        <is>
          <t>VÄRMLANDS LÄN</t>
        </is>
      </c>
      <c r="E2211" t="inlineStr">
        <is>
          <t>TORSBY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11242-2024</t>
        </is>
      </c>
      <c r="B2212" s="1" t="n">
        <v>45371</v>
      </c>
      <c r="C2212" s="1" t="n">
        <v>45822</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11253-2024</t>
        </is>
      </c>
      <c r="B2213" s="1" t="n">
        <v>45371</v>
      </c>
      <c r="C2213" s="1" t="n">
        <v>45822</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11259-2024</t>
        </is>
      </c>
      <c r="B2214" s="1" t="n">
        <v>45371</v>
      </c>
      <c r="C2214" s="1" t="n">
        <v>45822</v>
      </c>
      <c r="D2214" t="inlineStr">
        <is>
          <t>VÄRMLANDS LÄN</t>
        </is>
      </c>
      <c r="E2214" t="inlineStr">
        <is>
          <t>TORSBY</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11172-2024</t>
        </is>
      </c>
      <c r="B2215" s="1" t="n">
        <v>45371</v>
      </c>
      <c r="C2215" s="1" t="n">
        <v>45822</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11380-2024</t>
        </is>
      </c>
      <c r="B2216" s="1" t="n">
        <v>45372</v>
      </c>
      <c r="C2216" s="1" t="n">
        <v>45822</v>
      </c>
      <c r="D2216" t="inlineStr">
        <is>
          <t>VÄRMLANDS LÄN</t>
        </is>
      </c>
      <c r="E2216" t="inlineStr">
        <is>
          <t>TORSBY</t>
        </is>
      </c>
      <c r="F2216" t="inlineStr">
        <is>
          <t>Bergvik skog väst AB</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11575-2024</t>
        </is>
      </c>
      <c r="B2217" s="1" t="n">
        <v>45373</v>
      </c>
      <c r="C2217" s="1" t="n">
        <v>45822</v>
      </c>
      <c r="D2217" t="inlineStr">
        <is>
          <t>VÄRMLANDS LÄN</t>
        </is>
      </c>
      <c r="E2217" t="inlineStr">
        <is>
          <t>TORSBY</t>
        </is>
      </c>
      <c r="G2217" t="n">
        <v>14.2</v>
      </c>
      <c r="H2217" t="n">
        <v>0</v>
      </c>
      <c r="I2217" t="n">
        <v>0</v>
      </c>
      <c r="J2217" t="n">
        <v>0</v>
      </c>
      <c r="K2217" t="n">
        <v>0</v>
      </c>
      <c r="L2217" t="n">
        <v>0</v>
      </c>
      <c r="M2217" t="n">
        <v>0</v>
      </c>
      <c r="N2217" t="n">
        <v>0</v>
      </c>
      <c r="O2217" t="n">
        <v>0</v>
      </c>
      <c r="P2217" t="n">
        <v>0</v>
      </c>
      <c r="Q2217" t="n">
        <v>0</v>
      </c>
      <c r="R2217" s="2" t="inlineStr"/>
    </row>
    <row r="2218" ht="15" customHeight="1">
      <c r="A2218" t="inlineStr">
        <is>
          <t>A 11706-2024</t>
        </is>
      </c>
      <c r="B2218" s="1" t="n">
        <v>45373</v>
      </c>
      <c r="C2218" s="1" t="n">
        <v>45822</v>
      </c>
      <c r="D2218" t="inlineStr">
        <is>
          <t>VÄRMLANDS LÄN</t>
        </is>
      </c>
      <c r="E2218" t="inlineStr">
        <is>
          <t>TORSBY</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11776-2024</t>
        </is>
      </c>
      <c r="B2219" s="1" t="n">
        <v>45374</v>
      </c>
      <c r="C2219" s="1" t="n">
        <v>45822</v>
      </c>
      <c r="D2219" t="inlineStr">
        <is>
          <t>VÄRMLANDS LÄN</t>
        </is>
      </c>
      <c r="E2219" t="inlineStr">
        <is>
          <t>TORSBY</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11814-2024</t>
        </is>
      </c>
      <c r="B2220" s="1" t="n">
        <v>45376</v>
      </c>
      <c r="C2220" s="1" t="n">
        <v>45822</v>
      </c>
      <c r="D2220" t="inlineStr">
        <is>
          <t>VÄRMLANDS LÄN</t>
        </is>
      </c>
      <c r="E2220" t="inlineStr">
        <is>
          <t>TORSBY</t>
        </is>
      </c>
      <c r="F2220" t="inlineStr">
        <is>
          <t>Bergvik skog väst AB</t>
        </is>
      </c>
      <c r="G2220" t="n">
        <v>19.9</v>
      </c>
      <c r="H2220" t="n">
        <v>0</v>
      </c>
      <c r="I2220" t="n">
        <v>0</v>
      </c>
      <c r="J2220" t="n">
        <v>0</v>
      </c>
      <c r="K2220" t="n">
        <v>0</v>
      </c>
      <c r="L2220" t="n">
        <v>0</v>
      </c>
      <c r="M2220" t="n">
        <v>0</v>
      </c>
      <c r="N2220" t="n">
        <v>0</v>
      </c>
      <c r="O2220" t="n">
        <v>0</v>
      </c>
      <c r="P2220" t="n">
        <v>0</v>
      </c>
      <c r="Q2220" t="n">
        <v>0</v>
      </c>
      <c r="R2220" s="2" t="inlineStr"/>
    </row>
    <row r="2221" ht="15" customHeight="1">
      <c r="A2221" t="inlineStr">
        <is>
          <t>A 11850-2024</t>
        </is>
      </c>
      <c r="B2221" s="1" t="n">
        <v>45376</v>
      </c>
      <c r="C2221" s="1" t="n">
        <v>45822</v>
      </c>
      <c r="D2221" t="inlineStr">
        <is>
          <t>VÄRMLANDS LÄN</t>
        </is>
      </c>
      <c r="E2221" t="inlineStr">
        <is>
          <t>TORSBY</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11878-2024</t>
        </is>
      </c>
      <c r="B2222" s="1" t="n">
        <v>45376</v>
      </c>
      <c r="C2222" s="1" t="n">
        <v>45822</v>
      </c>
      <c r="D2222" t="inlineStr">
        <is>
          <t>VÄRMLANDS LÄN</t>
        </is>
      </c>
      <c r="E2222" t="inlineStr">
        <is>
          <t>TORSBY</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12104-2024</t>
        </is>
      </c>
      <c r="B2223" s="1" t="n">
        <v>45377</v>
      </c>
      <c r="C2223" s="1" t="n">
        <v>45822</v>
      </c>
      <c r="D2223" t="inlineStr">
        <is>
          <t>VÄRMLANDS LÄN</t>
        </is>
      </c>
      <c r="E2223" t="inlineStr">
        <is>
          <t>TORSBY</t>
        </is>
      </c>
      <c r="F2223" t="inlineStr">
        <is>
          <t>Bergvik skog väst AB</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12107-2024</t>
        </is>
      </c>
      <c r="B2224" s="1" t="n">
        <v>45377</v>
      </c>
      <c r="C2224" s="1" t="n">
        <v>45822</v>
      </c>
      <c r="D2224" t="inlineStr">
        <is>
          <t>VÄRMLANDS LÄN</t>
        </is>
      </c>
      <c r="E2224" t="inlineStr">
        <is>
          <t>TORSBY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12051-2024</t>
        </is>
      </c>
      <c r="B2225" s="1" t="n">
        <v>45377</v>
      </c>
      <c r="C2225" s="1" t="n">
        <v>45822</v>
      </c>
      <c r="D2225" t="inlineStr">
        <is>
          <t>VÄRMLANDS LÄN</t>
        </is>
      </c>
      <c r="E2225" t="inlineStr">
        <is>
          <t>TORSBY</t>
        </is>
      </c>
      <c r="F2225" t="inlineStr">
        <is>
          <t>Bergvik skog väst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12509-2024</t>
        </is>
      </c>
      <c r="B2226" s="1" t="n">
        <v>45379</v>
      </c>
      <c r="C2226" s="1" t="n">
        <v>45822</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12503-2024</t>
        </is>
      </c>
      <c r="B2227" s="1" t="n">
        <v>45379</v>
      </c>
      <c r="C2227" s="1" t="n">
        <v>45822</v>
      </c>
      <c r="D2227" t="inlineStr">
        <is>
          <t>VÄRMLANDS LÄN</t>
        </is>
      </c>
      <c r="E2227" t="inlineStr">
        <is>
          <t>TORSBY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12684-2024</t>
        </is>
      </c>
      <c r="B2228" s="1" t="n">
        <v>45384</v>
      </c>
      <c r="C2228" s="1" t="n">
        <v>45822</v>
      </c>
      <c r="D2228" t="inlineStr">
        <is>
          <t>VÄRMLANDS LÄN</t>
        </is>
      </c>
      <c r="E2228" t="inlineStr">
        <is>
          <t>TORSBY</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12701-2024</t>
        </is>
      </c>
      <c r="B2229" s="1" t="n">
        <v>45384</v>
      </c>
      <c r="C2229" s="1" t="n">
        <v>45822</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12989-2024</t>
        </is>
      </c>
      <c r="B2230" s="1" t="n">
        <v>45385</v>
      </c>
      <c r="C2230" s="1" t="n">
        <v>45822</v>
      </c>
      <c r="D2230" t="inlineStr">
        <is>
          <t>VÄRMLANDS LÄN</t>
        </is>
      </c>
      <c r="E2230" t="inlineStr">
        <is>
          <t>TORSBY</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13211-2024</t>
        </is>
      </c>
      <c r="B2231" s="1" t="n">
        <v>45386</v>
      </c>
      <c r="C2231" s="1" t="n">
        <v>45822</v>
      </c>
      <c r="D2231" t="inlineStr">
        <is>
          <t>VÄRMLANDS LÄN</t>
        </is>
      </c>
      <c r="E2231" t="inlineStr">
        <is>
          <t>TORSBY</t>
        </is>
      </c>
      <c r="F2231" t="inlineStr">
        <is>
          <t>Bergvik skog väst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13262-2024</t>
        </is>
      </c>
      <c r="B2232" s="1" t="n">
        <v>45386</v>
      </c>
      <c r="C2232" s="1" t="n">
        <v>45822</v>
      </c>
      <c r="D2232" t="inlineStr">
        <is>
          <t>VÄRMLANDS LÄN</t>
        </is>
      </c>
      <c r="E2232" t="inlineStr">
        <is>
          <t>TORSBY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13186-2024</t>
        </is>
      </c>
      <c r="B2233" s="1" t="n">
        <v>45386</v>
      </c>
      <c r="C2233" s="1" t="n">
        <v>45822</v>
      </c>
      <c r="D2233" t="inlineStr">
        <is>
          <t>VÄRMLANDS LÄN</t>
        </is>
      </c>
      <c r="E2233" t="inlineStr">
        <is>
          <t>TORSBY</t>
        </is>
      </c>
      <c r="F2233" t="inlineStr">
        <is>
          <t>Bergvik skog väst AB</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13206-2024</t>
        </is>
      </c>
      <c r="B2234" s="1" t="n">
        <v>45386</v>
      </c>
      <c r="C2234" s="1" t="n">
        <v>45822</v>
      </c>
      <c r="D2234" t="inlineStr">
        <is>
          <t>VÄRMLANDS LÄN</t>
        </is>
      </c>
      <c r="E2234" t="inlineStr">
        <is>
          <t>TORSBY</t>
        </is>
      </c>
      <c r="F2234" t="inlineStr">
        <is>
          <t>Bergvik skog väst AB</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13435-2024</t>
        </is>
      </c>
      <c r="B2235" s="1" t="n">
        <v>45387</v>
      </c>
      <c r="C2235" s="1" t="n">
        <v>45822</v>
      </c>
      <c r="D2235" t="inlineStr">
        <is>
          <t>VÄRMLANDS LÄN</t>
        </is>
      </c>
      <c r="E2235" t="inlineStr">
        <is>
          <t>TORSBY</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13619-2024</t>
        </is>
      </c>
      <c r="B2236" s="1" t="n">
        <v>45390</v>
      </c>
      <c r="C2236" s="1" t="n">
        <v>45822</v>
      </c>
      <c r="D2236" t="inlineStr">
        <is>
          <t>VÄRMLANDS LÄN</t>
        </is>
      </c>
      <c r="E2236" t="inlineStr">
        <is>
          <t>TORSBY</t>
        </is>
      </c>
      <c r="F2236" t="inlineStr">
        <is>
          <t>Bergvik skog väst AB</t>
        </is>
      </c>
      <c r="G2236" t="n">
        <v>25.7</v>
      </c>
      <c r="H2236" t="n">
        <v>0</v>
      </c>
      <c r="I2236" t="n">
        <v>0</v>
      </c>
      <c r="J2236" t="n">
        <v>0</v>
      </c>
      <c r="K2236" t="n">
        <v>0</v>
      </c>
      <c r="L2236" t="n">
        <v>0</v>
      </c>
      <c r="M2236" t="n">
        <v>0</v>
      </c>
      <c r="N2236" t="n">
        <v>0</v>
      </c>
      <c r="O2236" t="n">
        <v>0</v>
      </c>
      <c r="P2236" t="n">
        <v>0</v>
      </c>
      <c r="Q2236" t="n">
        <v>0</v>
      </c>
      <c r="R2236" s="2" t="inlineStr"/>
    </row>
    <row r="2237" ht="15" customHeight="1">
      <c r="A2237" t="inlineStr">
        <is>
          <t>A 13848-2024</t>
        </is>
      </c>
      <c r="B2237" s="1" t="n">
        <v>45390</v>
      </c>
      <c r="C2237" s="1" t="n">
        <v>45822</v>
      </c>
      <c r="D2237" t="inlineStr">
        <is>
          <t>VÄRMLANDS LÄN</t>
        </is>
      </c>
      <c r="E2237" t="inlineStr">
        <is>
          <t>TORSBY</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13847-2024</t>
        </is>
      </c>
      <c r="B2238" s="1" t="n">
        <v>45390</v>
      </c>
      <c r="C2238" s="1" t="n">
        <v>45822</v>
      </c>
      <c r="D2238" t="inlineStr">
        <is>
          <t>VÄRMLANDS LÄN</t>
        </is>
      </c>
      <c r="E2238" t="inlineStr">
        <is>
          <t>TORSBY</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13797-2024</t>
        </is>
      </c>
      <c r="B2239" s="1" t="n">
        <v>45391</v>
      </c>
      <c r="C2239" s="1" t="n">
        <v>45822</v>
      </c>
      <c r="D2239" t="inlineStr">
        <is>
          <t>VÄRMLANDS LÄN</t>
        </is>
      </c>
      <c r="E2239" t="inlineStr">
        <is>
          <t>TORSBY</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14023-2024</t>
        </is>
      </c>
      <c r="B2240" s="1" t="n">
        <v>45392</v>
      </c>
      <c r="C2240" s="1" t="n">
        <v>45822</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13965-2024</t>
        </is>
      </c>
      <c r="B2241" s="1" t="n">
        <v>45392</v>
      </c>
      <c r="C2241" s="1" t="n">
        <v>45822</v>
      </c>
      <c r="D2241" t="inlineStr">
        <is>
          <t>VÄRMLANDS LÄN</t>
        </is>
      </c>
      <c r="E2241" t="inlineStr">
        <is>
          <t>TORSBY</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14052-2024</t>
        </is>
      </c>
      <c r="B2242" s="1" t="n">
        <v>45392</v>
      </c>
      <c r="C2242" s="1" t="n">
        <v>45822</v>
      </c>
      <c r="D2242" t="inlineStr">
        <is>
          <t>VÄRMLANDS LÄN</t>
        </is>
      </c>
      <c r="E2242" t="inlineStr">
        <is>
          <t>TORSBY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14063-2024</t>
        </is>
      </c>
      <c r="B2243" s="1" t="n">
        <v>45392</v>
      </c>
      <c r="C2243" s="1" t="n">
        <v>45822</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14283-2024</t>
        </is>
      </c>
      <c r="B2244" s="1" t="n">
        <v>45393</v>
      </c>
      <c r="C2244" s="1" t="n">
        <v>45822</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14440-2024</t>
        </is>
      </c>
      <c r="B2245" s="1" t="n">
        <v>45394</v>
      </c>
      <c r="C2245" s="1" t="n">
        <v>45822</v>
      </c>
      <c r="D2245" t="inlineStr">
        <is>
          <t>VÄRMLANDS LÄN</t>
        </is>
      </c>
      <c r="E2245" t="inlineStr">
        <is>
          <t>TORSBY</t>
        </is>
      </c>
      <c r="F2245" t="inlineStr">
        <is>
          <t>Bergvik skog väst AB</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14393-2024</t>
        </is>
      </c>
      <c r="B2246" s="1" t="n">
        <v>45394</v>
      </c>
      <c r="C2246" s="1" t="n">
        <v>45822</v>
      </c>
      <c r="D2246" t="inlineStr">
        <is>
          <t>VÄRMLANDS LÄN</t>
        </is>
      </c>
      <c r="E2246" t="inlineStr">
        <is>
          <t>TORSBY</t>
        </is>
      </c>
      <c r="F2246" t="inlineStr">
        <is>
          <t>Bergvik skog väst AB</t>
        </is>
      </c>
      <c r="G2246" t="n">
        <v>8.699999999999999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14453-2024</t>
        </is>
      </c>
      <c r="B2247" s="1" t="n">
        <v>45394</v>
      </c>
      <c r="C2247" s="1" t="n">
        <v>45822</v>
      </c>
      <c r="D2247" t="inlineStr">
        <is>
          <t>VÄRMLANDS LÄN</t>
        </is>
      </c>
      <c r="E2247" t="inlineStr">
        <is>
          <t>TORSBY</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14730-2024</t>
        </is>
      </c>
      <c r="B2248" s="1" t="n">
        <v>45397</v>
      </c>
      <c r="C2248" s="1" t="n">
        <v>45822</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14763-2024</t>
        </is>
      </c>
      <c r="B2249" s="1" t="n">
        <v>45397</v>
      </c>
      <c r="C2249" s="1" t="n">
        <v>45822</v>
      </c>
      <c r="D2249" t="inlineStr">
        <is>
          <t>VÄRMLANDS LÄN</t>
        </is>
      </c>
      <c r="E2249" t="inlineStr">
        <is>
          <t>TORSBY</t>
        </is>
      </c>
      <c r="F2249" t="inlineStr">
        <is>
          <t>Bergvik skog väst AB</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14872-2024</t>
        </is>
      </c>
      <c r="B2250" s="1" t="n">
        <v>45398</v>
      </c>
      <c r="C2250" s="1" t="n">
        <v>45822</v>
      </c>
      <c r="D2250" t="inlineStr">
        <is>
          <t>VÄRMLANDS LÄN</t>
        </is>
      </c>
      <c r="E2250" t="inlineStr">
        <is>
          <t>TORSBY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14831-2024</t>
        </is>
      </c>
      <c r="B2251" s="1" t="n">
        <v>45398</v>
      </c>
      <c r="C2251" s="1" t="n">
        <v>45822</v>
      </c>
      <c r="D2251" t="inlineStr">
        <is>
          <t>VÄRMLANDS LÄN</t>
        </is>
      </c>
      <c r="E2251" t="inlineStr">
        <is>
          <t>TORSBY</t>
        </is>
      </c>
      <c r="F2251" t="inlineStr">
        <is>
          <t>Bergvik skog väst AB</t>
        </is>
      </c>
      <c r="G2251" t="n">
        <v>9</v>
      </c>
      <c r="H2251" t="n">
        <v>0</v>
      </c>
      <c r="I2251" t="n">
        <v>0</v>
      </c>
      <c r="J2251" t="n">
        <v>0</v>
      </c>
      <c r="K2251" t="n">
        <v>0</v>
      </c>
      <c r="L2251" t="n">
        <v>0</v>
      </c>
      <c r="M2251" t="n">
        <v>0</v>
      </c>
      <c r="N2251" t="n">
        <v>0</v>
      </c>
      <c r="O2251" t="n">
        <v>0</v>
      </c>
      <c r="P2251" t="n">
        <v>0</v>
      </c>
      <c r="Q2251" t="n">
        <v>0</v>
      </c>
      <c r="R2251" s="2" t="inlineStr"/>
    </row>
    <row r="2252" ht="15" customHeight="1">
      <c r="A2252" t="inlineStr">
        <is>
          <t>A 14949-2024</t>
        </is>
      </c>
      <c r="B2252" s="1" t="n">
        <v>45398</v>
      </c>
      <c r="C2252" s="1" t="n">
        <v>45822</v>
      </c>
      <c r="D2252" t="inlineStr">
        <is>
          <t>VÄRMLANDS LÄN</t>
        </is>
      </c>
      <c r="E2252" t="inlineStr">
        <is>
          <t>TORSBY</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14882-2024</t>
        </is>
      </c>
      <c r="B2253" s="1" t="n">
        <v>45398</v>
      </c>
      <c r="C2253" s="1" t="n">
        <v>45822</v>
      </c>
      <c r="D2253" t="inlineStr">
        <is>
          <t>VÄRMLANDS LÄN</t>
        </is>
      </c>
      <c r="E2253" t="inlineStr">
        <is>
          <t>TORSBY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14860-2024</t>
        </is>
      </c>
      <c r="B2254" s="1" t="n">
        <v>45398</v>
      </c>
      <c r="C2254" s="1" t="n">
        <v>45822</v>
      </c>
      <c r="D2254" t="inlineStr">
        <is>
          <t>VÄRMLANDS LÄN</t>
        </is>
      </c>
      <c r="E2254" t="inlineStr">
        <is>
          <t>TORSBY</t>
        </is>
      </c>
      <c r="F2254" t="inlineStr">
        <is>
          <t>Kyrkan</t>
        </is>
      </c>
      <c r="G2254" t="n">
        <v>12.2</v>
      </c>
      <c r="H2254" t="n">
        <v>0</v>
      </c>
      <c r="I2254" t="n">
        <v>0</v>
      </c>
      <c r="J2254" t="n">
        <v>0</v>
      </c>
      <c r="K2254" t="n">
        <v>0</v>
      </c>
      <c r="L2254" t="n">
        <v>0</v>
      </c>
      <c r="M2254" t="n">
        <v>0</v>
      </c>
      <c r="N2254" t="n">
        <v>0</v>
      </c>
      <c r="O2254" t="n">
        <v>0</v>
      </c>
      <c r="P2254" t="n">
        <v>0</v>
      </c>
      <c r="Q2254" t="n">
        <v>0</v>
      </c>
      <c r="R2254" s="2" t="inlineStr"/>
    </row>
    <row r="2255" ht="15" customHeight="1">
      <c r="A2255" t="inlineStr">
        <is>
          <t>A 15083-2024</t>
        </is>
      </c>
      <c r="B2255" s="1" t="n">
        <v>45399</v>
      </c>
      <c r="C2255" s="1" t="n">
        <v>45822</v>
      </c>
      <c r="D2255" t="inlineStr">
        <is>
          <t>VÄRMLANDS LÄN</t>
        </is>
      </c>
      <c r="E2255" t="inlineStr">
        <is>
          <t>TORSBY</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15052-2024</t>
        </is>
      </c>
      <c r="B2256" s="1" t="n">
        <v>45399</v>
      </c>
      <c r="C2256" s="1" t="n">
        <v>45822</v>
      </c>
      <c r="D2256" t="inlineStr">
        <is>
          <t>VÄRMLANDS LÄN</t>
        </is>
      </c>
      <c r="E2256" t="inlineStr">
        <is>
          <t>TORSBY</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15064-2024</t>
        </is>
      </c>
      <c r="B2257" s="1" t="n">
        <v>45399</v>
      </c>
      <c r="C2257" s="1" t="n">
        <v>45822</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15101-2024</t>
        </is>
      </c>
      <c r="B2258" s="1" t="n">
        <v>45399</v>
      </c>
      <c r="C2258" s="1" t="n">
        <v>45822</v>
      </c>
      <c r="D2258" t="inlineStr">
        <is>
          <t>VÄRMLANDS LÄN</t>
        </is>
      </c>
      <c r="E2258" t="inlineStr">
        <is>
          <t>TORSBY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15061-2024</t>
        </is>
      </c>
      <c r="B2259" s="1" t="n">
        <v>45399</v>
      </c>
      <c r="C2259" s="1" t="n">
        <v>45822</v>
      </c>
      <c r="D2259" t="inlineStr">
        <is>
          <t>VÄRMLANDS LÄN</t>
        </is>
      </c>
      <c r="E2259" t="inlineStr">
        <is>
          <t>TORSBY</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15126-2024</t>
        </is>
      </c>
      <c r="B2260" s="1" t="n">
        <v>45399</v>
      </c>
      <c r="C2260" s="1" t="n">
        <v>45822</v>
      </c>
      <c r="D2260" t="inlineStr">
        <is>
          <t>VÄRMLANDS LÄN</t>
        </is>
      </c>
      <c r="E2260" t="inlineStr">
        <is>
          <t>TORSBY</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15127-2024</t>
        </is>
      </c>
      <c r="B2261" s="1" t="n">
        <v>45399</v>
      </c>
      <c r="C2261" s="1" t="n">
        <v>45822</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15182-2024</t>
        </is>
      </c>
      <c r="B2262" s="1" t="n">
        <v>45400</v>
      </c>
      <c r="C2262" s="1" t="n">
        <v>45822</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15180-2024</t>
        </is>
      </c>
      <c r="B2263" s="1" t="n">
        <v>45400</v>
      </c>
      <c r="C2263" s="1" t="n">
        <v>45822</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15222-2024</t>
        </is>
      </c>
      <c r="B2264" s="1" t="n">
        <v>45400</v>
      </c>
      <c r="C2264" s="1" t="n">
        <v>45822</v>
      </c>
      <c r="D2264" t="inlineStr">
        <is>
          <t>VÄRMLANDS LÄN</t>
        </is>
      </c>
      <c r="E2264" t="inlineStr">
        <is>
          <t>TORSBY</t>
        </is>
      </c>
      <c r="F2264" t="inlineStr">
        <is>
          <t>Bergvik skog väst AB</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15274-2024</t>
        </is>
      </c>
      <c r="B2265" s="1" t="n">
        <v>45400</v>
      </c>
      <c r="C2265" s="1" t="n">
        <v>45822</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15293-2024</t>
        </is>
      </c>
      <c r="B2266" s="1" t="n">
        <v>45400</v>
      </c>
      <c r="C2266" s="1" t="n">
        <v>45822</v>
      </c>
      <c r="D2266" t="inlineStr">
        <is>
          <t>VÄRMLANDS LÄN</t>
        </is>
      </c>
      <c r="E2266" t="inlineStr">
        <is>
          <t>TORSBY</t>
        </is>
      </c>
      <c r="F2266" t="inlineStr">
        <is>
          <t>Bergvik skog väst AB</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15175-2024</t>
        </is>
      </c>
      <c r="B2267" s="1" t="n">
        <v>45400</v>
      </c>
      <c r="C2267" s="1" t="n">
        <v>45822</v>
      </c>
      <c r="D2267" t="inlineStr">
        <is>
          <t>VÄRMLANDS LÄN</t>
        </is>
      </c>
      <c r="E2267" t="inlineStr">
        <is>
          <t>TORSBY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15315-2024</t>
        </is>
      </c>
      <c r="B2268" s="1" t="n">
        <v>45400</v>
      </c>
      <c r="C2268" s="1" t="n">
        <v>45822</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15320-2024</t>
        </is>
      </c>
      <c r="B2269" s="1" t="n">
        <v>45400</v>
      </c>
      <c r="C2269" s="1" t="n">
        <v>45822</v>
      </c>
      <c r="D2269" t="inlineStr">
        <is>
          <t>VÄRMLANDS LÄN</t>
        </is>
      </c>
      <c r="E2269" t="inlineStr">
        <is>
          <t>TORSBY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15425-2024</t>
        </is>
      </c>
      <c r="B2270" s="1" t="n">
        <v>45401</v>
      </c>
      <c r="C2270" s="1" t="n">
        <v>45822</v>
      </c>
      <c r="D2270" t="inlineStr">
        <is>
          <t>VÄRMLANDS LÄN</t>
        </is>
      </c>
      <c r="E2270" t="inlineStr">
        <is>
          <t>TORSBY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15503-2024</t>
        </is>
      </c>
      <c r="B2271" s="1" t="n">
        <v>45401</v>
      </c>
      <c r="C2271" s="1" t="n">
        <v>45822</v>
      </c>
      <c r="D2271" t="inlineStr">
        <is>
          <t>VÄRMLANDS LÄN</t>
        </is>
      </c>
      <c r="E2271" t="inlineStr">
        <is>
          <t>TORSBY</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15465-2024</t>
        </is>
      </c>
      <c r="B2272" s="1" t="n">
        <v>45401</v>
      </c>
      <c r="C2272" s="1" t="n">
        <v>45822</v>
      </c>
      <c r="D2272" t="inlineStr">
        <is>
          <t>VÄRMLANDS LÄN</t>
        </is>
      </c>
      <c r="E2272" t="inlineStr">
        <is>
          <t>TORSBY</t>
        </is>
      </c>
      <c r="F2272" t="inlineStr">
        <is>
          <t>Bergvik skog väst AB</t>
        </is>
      </c>
      <c r="G2272" t="n">
        <v>24.6</v>
      </c>
      <c r="H2272" t="n">
        <v>0</v>
      </c>
      <c r="I2272" t="n">
        <v>0</v>
      </c>
      <c r="J2272" t="n">
        <v>0</v>
      </c>
      <c r="K2272" t="n">
        <v>0</v>
      </c>
      <c r="L2272" t="n">
        <v>0</v>
      </c>
      <c r="M2272" t="n">
        <v>0</v>
      </c>
      <c r="N2272" t="n">
        <v>0</v>
      </c>
      <c r="O2272" t="n">
        <v>0</v>
      </c>
      <c r="P2272" t="n">
        <v>0</v>
      </c>
      <c r="Q2272" t="n">
        <v>0</v>
      </c>
      <c r="R2272" s="2" t="inlineStr"/>
    </row>
    <row r="2273" ht="15" customHeight="1">
      <c r="A2273" t="inlineStr">
        <is>
          <t>A 15730-2024</t>
        </is>
      </c>
      <c r="B2273" s="1" t="n">
        <v>45404</v>
      </c>
      <c r="C2273" s="1" t="n">
        <v>45822</v>
      </c>
      <c r="D2273" t="inlineStr">
        <is>
          <t>VÄRMLANDS LÄN</t>
        </is>
      </c>
      <c r="E2273" t="inlineStr">
        <is>
          <t>TORSBY</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15758-2024</t>
        </is>
      </c>
      <c r="B2274" s="1" t="n">
        <v>45404</v>
      </c>
      <c r="C2274" s="1" t="n">
        <v>45822</v>
      </c>
      <c r="D2274" t="inlineStr">
        <is>
          <t>VÄRMLANDS LÄN</t>
        </is>
      </c>
      <c r="E2274" t="inlineStr">
        <is>
          <t>TORSBY</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15943-2024</t>
        </is>
      </c>
      <c r="B2275" s="1" t="n">
        <v>45405</v>
      </c>
      <c r="C2275" s="1" t="n">
        <v>45822</v>
      </c>
      <c r="D2275" t="inlineStr">
        <is>
          <t>VÄRMLANDS LÄN</t>
        </is>
      </c>
      <c r="E2275" t="inlineStr">
        <is>
          <t>TORSBY</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15896-2024</t>
        </is>
      </c>
      <c r="B2276" s="1" t="n">
        <v>45405</v>
      </c>
      <c r="C2276" s="1" t="n">
        <v>45822</v>
      </c>
      <c r="D2276" t="inlineStr">
        <is>
          <t>VÄRMLANDS LÄN</t>
        </is>
      </c>
      <c r="E2276" t="inlineStr">
        <is>
          <t>TORSBY</t>
        </is>
      </c>
      <c r="G2276" t="n">
        <v>10.9</v>
      </c>
      <c r="H2276" t="n">
        <v>0</v>
      </c>
      <c r="I2276" t="n">
        <v>0</v>
      </c>
      <c r="J2276" t="n">
        <v>0</v>
      </c>
      <c r="K2276" t="n">
        <v>0</v>
      </c>
      <c r="L2276" t="n">
        <v>0</v>
      </c>
      <c r="M2276" t="n">
        <v>0</v>
      </c>
      <c r="N2276" t="n">
        <v>0</v>
      </c>
      <c r="O2276" t="n">
        <v>0</v>
      </c>
      <c r="P2276" t="n">
        <v>0</v>
      </c>
      <c r="Q2276" t="n">
        <v>0</v>
      </c>
      <c r="R2276" s="2" t="inlineStr"/>
    </row>
    <row r="2277" ht="15" customHeight="1">
      <c r="A2277" t="inlineStr">
        <is>
          <t>A 15892-2024</t>
        </is>
      </c>
      <c r="B2277" s="1" t="n">
        <v>45405</v>
      </c>
      <c r="C2277" s="1" t="n">
        <v>45822</v>
      </c>
      <c r="D2277" t="inlineStr">
        <is>
          <t>VÄRMLANDS LÄN</t>
        </is>
      </c>
      <c r="E2277" t="inlineStr">
        <is>
          <t>TORSBY</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15899-2024</t>
        </is>
      </c>
      <c r="B2278" s="1" t="n">
        <v>45405</v>
      </c>
      <c r="C2278" s="1" t="n">
        <v>45822</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15874-2024</t>
        </is>
      </c>
      <c r="B2279" s="1" t="n">
        <v>45405</v>
      </c>
      <c r="C2279" s="1" t="n">
        <v>45822</v>
      </c>
      <c r="D2279" t="inlineStr">
        <is>
          <t>VÄRMLANDS LÄN</t>
        </is>
      </c>
      <c r="E2279" t="inlineStr">
        <is>
          <t>TORSBY</t>
        </is>
      </c>
      <c r="F2279" t="inlineStr">
        <is>
          <t>Bergvik skog väst AB</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16073-2024</t>
        </is>
      </c>
      <c r="B2280" s="1" t="n">
        <v>45406</v>
      </c>
      <c r="C2280" s="1" t="n">
        <v>45822</v>
      </c>
      <c r="D2280" t="inlineStr">
        <is>
          <t>VÄRMLANDS LÄN</t>
        </is>
      </c>
      <c r="E2280" t="inlineStr">
        <is>
          <t>TORSBY</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16369-2024</t>
        </is>
      </c>
      <c r="B2281" s="1" t="n">
        <v>45407</v>
      </c>
      <c r="C2281" s="1" t="n">
        <v>45822</v>
      </c>
      <c r="D2281" t="inlineStr">
        <is>
          <t>VÄRMLANDS LÄN</t>
        </is>
      </c>
      <c r="E2281" t="inlineStr">
        <is>
          <t>TORSBY</t>
        </is>
      </c>
      <c r="F2281" t="inlineStr">
        <is>
          <t>Kommuner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16517-2024</t>
        </is>
      </c>
      <c r="B2282" s="1" t="n">
        <v>45408</v>
      </c>
      <c r="C2282" s="1" t="n">
        <v>45822</v>
      </c>
      <c r="D2282" t="inlineStr">
        <is>
          <t>VÄRMLANDS LÄN</t>
        </is>
      </c>
      <c r="E2282" t="inlineStr">
        <is>
          <t>TORSBY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16585-2024</t>
        </is>
      </c>
      <c r="B2283" s="1" t="n">
        <v>45408</v>
      </c>
      <c r="C2283" s="1" t="n">
        <v>45822</v>
      </c>
      <c r="D2283" t="inlineStr">
        <is>
          <t>VÄRMLANDS LÄN</t>
        </is>
      </c>
      <c r="E2283" t="inlineStr">
        <is>
          <t>TORSBY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16654-2024</t>
        </is>
      </c>
      <c r="B2284" s="1" t="n">
        <v>45408</v>
      </c>
      <c r="C2284" s="1" t="n">
        <v>45822</v>
      </c>
      <c r="D2284" t="inlineStr">
        <is>
          <t>VÄRMLANDS LÄN</t>
        </is>
      </c>
      <c r="E2284" t="inlineStr">
        <is>
          <t>TORSBY</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16488-2024</t>
        </is>
      </c>
      <c r="B2285" s="1" t="n">
        <v>45408</v>
      </c>
      <c r="C2285" s="1" t="n">
        <v>45822</v>
      </c>
      <c r="D2285" t="inlineStr">
        <is>
          <t>VÄRMLANDS LÄN</t>
        </is>
      </c>
      <c r="E2285" t="inlineStr">
        <is>
          <t>TORSBY</t>
        </is>
      </c>
      <c r="F2285" t="inlineStr">
        <is>
          <t>Bergvik skog väst AB</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16544-2024</t>
        </is>
      </c>
      <c r="B2286" s="1" t="n">
        <v>45408</v>
      </c>
      <c r="C2286" s="1" t="n">
        <v>45822</v>
      </c>
      <c r="D2286" t="inlineStr">
        <is>
          <t>VÄRMLANDS LÄN</t>
        </is>
      </c>
      <c r="E2286" t="inlineStr">
        <is>
          <t>TORSBY</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16592-2024</t>
        </is>
      </c>
      <c r="B2287" s="1" t="n">
        <v>45408</v>
      </c>
      <c r="C2287" s="1" t="n">
        <v>45822</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16583-2024</t>
        </is>
      </c>
      <c r="B2288" s="1" t="n">
        <v>45408</v>
      </c>
      <c r="C2288" s="1" t="n">
        <v>45822</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16591-2024</t>
        </is>
      </c>
      <c r="B2289" s="1" t="n">
        <v>45408</v>
      </c>
      <c r="C2289" s="1" t="n">
        <v>45822</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16586-2024</t>
        </is>
      </c>
      <c r="B2290" s="1" t="n">
        <v>45408</v>
      </c>
      <c r="C2290" s="1" t="n">
        <v>45822</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16730-2024</t>
        </is>
      </c>
      <c r="B2291" s="1" t="n">
        <v>45410</v>
      </c>
      <c r="C2291" s="1" t="n">
        <v>45822</v>
      </c>
      <c r="D2291" t="inlineStr">
        <is>
          <t>VÄRMLANDS LÄN</t>
        </is>
      </c>
      <c r="E2291" t="inlineStr">
        <is>
          <t>TORSBY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16891-2024</t>
        </is>
      </c>
      <c r="B2292" s="1" t="n">
        <v>45411</v>
      </c>
      <c r="C2292" s="1" t="n">
        <v>45822</v>
      </c>
      <c r="D2292" t="inlineStr">
        <is>
          <t>VÄRMLANDS LÄN</t>
        </is>
      </c>
      <c r="E2292" t="inlineStr">
        <is>
          <t>TORSBY</t>
        </is>
      </c>
      <c r="F2292" t="inlineStr">
        <is>
          <t>Bergvik skog väst AB</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16961-2024</t>
        </is>
      </c>
      <c r="B2293" s="1" t="n">
        <v>45412</v>
      </c>
      <c r="C2293" s="1" t="n">
        <v>45822</v>
      </c>
      <c r="D2293" t="inlineStr">
        <is>
          <t>VÄRMLANDS LÄN</t>
        </is>
      </c>
      <c r="E2293" t="inlineStr">
        <is>
          <t>TORSBY</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16841-2024</t>
        </is>
      </c>
      <c r="B2294" s="1" t="n">
        <v>45411</v>
      </c>
      <c r="C2294" s="1" t="n">
        <v>45822</v>
      </c>
      <c r="D2294" t="inlineStr">
        <is>
          <t>VÄRMLANDS LÄN</t>
        </is>
      </c>
      <c r="E2294" t="inlineStr">
        <is>
          <t>TORSBY</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16780-2024</t>
        </is>
      </c>
      <c r="B2295" s="1" t="n">
        <v>45411</v>
      </c>
      <c r="C2295" s="1" t="n">
        <v>45822</v>
      </c>
      <c r="D2295" t="inlineStr">
        <is>
          <t>VÄRMLANDS LÄN</t>
        </is>
      </c>
      <c r="E2295" t="inlineStr">
        <is>
          <t>TORSBY</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16789-2024</t>
        </is>
      </c>
      <c r="B2296" s="1" t="n">
        <v>45411</v>
      </c>
      <c r="C2296" s="1" t="n">
        <v>45822</v>
      </c>
      <c r="D2296" t="inlineStr">
        <is>
          <t>VÄRMLANDS LÄN</t>
        </is>
      </c>
      <c r="E2296" t="inlineStr">
        <is>
          <t>TORSBY</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17008-2024</t>
        </is>
      </c>
      <c r="B2297" s="1" t="n">
        <v>45412</v>
      </c>
      <c r="C2297" s="1" t="n">
        <v>45822</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17001-2024</t>
        </is>
      </c>
      <c r="B2298" s="1" t="n">
        <v>45412</v>
      </c>
      <c r="C2298" s="1" t="n">
        <v>45822</v>
      </c>
      <c r="D2298" t="inlineStr">
        <is>
          <t>VÄRMLANDS LÄN</t>
        </is>
      </c>
      <c r="E2298" t="inlineStr">
        <is>
          <t>TORSBY</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17083-2024</t>
        </is>
      </c>
      <c r="B2299" s="1" t="n">
        <v>45412</v>
      </c>
      <c r="C2299" s="1" t="n">
        <v>45822</v>
      </c>
      <c r="D2299" t="inlineStr">
        <is>
          <t>VÄRMLANDS LÄN</t>
        </is>
      </c>
      <c r="E2299" t="inlineStr">
        <is>
          <t>TORSBY</t>
        </is>
      </c>
      <c r="F2299" t="inlineStr">
        <is>
          <t>Bergvik skog väst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17024-2024</t>
        </is>
      </c>
      <c r="B2300" s="1" t="n">
        <v>45412</v>
      </c>
      <c r="C2300" s="1" t="n">
        <v>45822</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17017-2024</t>
        </is>
      </c>
      <c r="B2301" s="1" t="n">
        <v>45412</v>
      </c>
      <c r="C2301" s="1" t="n">
        <v>45822</v>
      </c>
      <c r="D2301" t="inlineStr">
        <is>
          <t>VÄRMLANDS LÄN</t>
        </is>
      </c>
      <c r="E2301" t="inlineStr">
        <is>
          <t>TORSBY</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17047-2024</t>
        </is>
      </c>
      <c r="B2302" s="1" t="n">
        <v>45412</v>
      </c>
      <c r="C2302" s="1" t="n">
        <v>45822</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17265-2024</t>
        </is>
      </c>
      <c r="B2303" s="1" t="n">
        <v>45414</v>
      </c>
      <c r="C2303" s="1" t="n">
        <v>45822</v>
      </c>
      <c r="D2303" t="inlineStr">
        <is>
          <t>VÄRMLANDS LÄN</t>
        </is>
      </c>
      <c r="E2303" t="inlineStr">
        <is>
          <t>TORSBY</t>
        </is>
      </c>
      <c r="F2303" t="inlineStr">
        <is>
          <t>Bergvik skog väst AB</t>
        </is>
      </c>
      <c r="G2303" t="n">
        <v>23.9</v>
      </c>
      <c r="H2303" t="n">
        <v>0</v>
      </c>
      <c r="I2303" t="n">
        <v>0</v>
      </c>
      <c r="J2303" t="n">
        <v>0</v>
      </c>
      <c r="K2303" t="n">
        <v>0</v>
      </c>
      <c r="L2303" t="n">
        <v>0</v>
      </c>
      <c r="M2303" t="n">
        <v>0</v>
      </c>
      <c r="N2303" t="n">
        <v>0</v>
      </c>
      <c r="O2303" t="n">
        <v>0</v>
      </c>
      <c r="P2303" t="n">
        <v>0</v>
      </c>
      <c r="Q2303" t="n">
        <v>0</v>
      </c>
      <c r="R2303" s="2" t="inlineStr"/>
    </row>
    <row r="2304" ht="15" customHeight="1">
      <c r="A2304" t="inlineStr">
        <is>
          <t>A 17285-2024</t>
        </is>
      </c>
      <c r="B2304" s="1" t="n">
        <v>45414</v>
      </c>
      <c r="C2304" s="1" t="n">
        <v>45822</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17233-2024</t>
        </is>
      </c>
      <c r="B2305" s="1" t="n">
        <v>45414</v>
      </c>
      <c r="C2305" s="1" t="n">
        <v>45822</v>
      </c>
      <c r="D2305" t="inlineStr">
        <is>
          <t>VÄRMLANDS LÄN</t>
        </is>
      </c>
      <c r="E2305" t="inlineStr">
        <is>
          <t>TORSBY</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17390-2024</t>
        </is>
      </c>
      <c r="B2306" s="1" t="n">
        <v>45414</v>
      </c>
      <c r="C2306" s="1" t="n">
        <v>45822</v>
      </c>
      <c r="D2306" t="inlineStr">
        <is>
          <t>VÄRMLANDS LÄN</t>
        </is>
      </c>
      <c r="E2306" t="inlineStr">
        <is>
          <t>TORSBY</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17364-2024</t>
        </is>
      </c>
      <c r="B2307" s="1" t="n">
        <v>45414</v>
      </c>
      <c r="C2307" s="1" t="n">
        <v>45822</v>
      </c>
      <c r="D2307" t="inlineStr">
        <is>
          <t>VÄRMLANDS LÄN</t>
        </is>
      </c>
      <c r="E2307" t="inlineStr">
        <is>
          <t>TORSBY</t>
        </is>
      </c>
      <c r="F2307" t="inlineStr">
        <is>
          <t>Bergvik skog väst AB</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17556-2024</t>
        </is>
      </c>
      <c r="B2308" s="1" t="n">
        <v>45415</v>
      </c>
      <c r="C2308" s="1" t="n">
        <v>45822</v>
      </c>
      <c r="D2308" t="inlineStr">
        <is>
          <t>VÄRMLANDS LÄN</t>
        </is>
      </c>
      <c r="E2308" t="inlineStr">
        <is>
          <t>TORSBY</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17525-2024</t>
        </is>
      </c>
      <c r="B2309" s="1" t="n">
        <v>45415</v>
      </c>
      <c r="C2309" s="1" t="n">
        <v>45822</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17562-2024</t>
        </is>
      </c>
      <c r="B2310" s="1" t="n">
        <v>45415</v>
      </c>
      <c r="C2310" s="1" t="n">
        <v>45822</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17450-2024</t>
        </is>
      </c>
      <c r="B2311" s="1" t="n">
        <v>45415</v>
      </c>
      <c r="C2311" s="1" t="n">
        <v>45822</v>
      </c>
      <c r="D2311" t="inlineStr">
        <is>
          <t>VÄRMLANDS LÄN</t>
        </is>
      </c>
      <c r="E2311" t="inlineStr">
        <is>
          <t>TORSBY</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17530-2024</t>
        </is>
      </c>
      <c r="B2312" s="1" t="n">
        <v>45415</v>
      </c>
      <c r="C2312" s="1" t="n">
        <v>45822</v>
      </c>
      <c r="D2312" t="inlineStr">
        <is>
          <t>VÄRMLANDS LÄN</t>
        </is>
      </c>
      <c r="E2312" t="inlineStr">
        <is>
          <t>TORSBY</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17687-2024</t>
        </is>
      </c>
      <c r="B2313" s="1" t="n">
        <v>45418</v>
      </c>
      <c r="C2313" s="1" t="n">
        <v>45822</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17717-2024</t>
        </is>
      </c>
      <c r="B2314" s="1" t="n">
        <v>45418</v>
      </c>
      <c r="C2314" s="1" t="n">
        <v>45822</v>
      </c>
      <c r="D2314" t="inlineStr">
        <is>
          <t>VÄRMLANDS LÄN</t>
        </is>
      </c>
      <c r="E2314" t="inlineStr">
        <is>
          <t>TORSBY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17959-2024</t>
        </is>
      </c>
      <c r="B2315" s="1" t="n">
        <v>45419</v>
      </c>
      <c r="C2315" s="1" t="n">
        <v>45822</v>
      </c>
      <c r="D2315" t="inlineStr">
        <is>
          <t>VÄRMLANDS LÄN</t>
        </is>
      </c>
      <c r="E2315" t="inlineStr">
        <is>
          <t>TORSBY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17921-2024</t>
        </is>
      </c>
      <c r="B2316" s="1" t="n">
        <v>45419</v>
      </c>
      <c r="C2316" s="1" t="n">
        <v>45822</v>
      </c>
      <c r="D2316" t="inlineStr">
        <is>
          <t>VÄRMLANDS LÄN</t>
        </is>
      </c>
      <c r="E2316" t="inlineStr">
        <is>
          <t>TORSBY</t>
        </is>
      </c>
      <c r="F2316" t="inlineStr">
        <is>
          <t>Bergvik skog väst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17837-2024</t>
        </is>
      </c>
      <c r="B2317" s="1" t="n">
        <v>45419</v>
      </c>
      <c r="C2317" s="1" t="n">
        <v>45822</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17879-2024</t>
        </is>
      </c>
      <c r="B2318" s="1" t="n">
        <v>45419</v>
      </c>
      <c r="C2318" s="1" t="n">
        <v>45822</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17931-2024</t>
        </is>
      </c>
      <c r="B2319" s="1" t="n">
        <v>45419</v>
      </c>
      <c r="C2319" s="1" t="n">
        <v>45822</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18125-2024</t>
        </is>
      </c>
      <c r="B2320" s="1" t="n">
        <v>45420</v>
      </c>
      <c r="C2320" s="1" t="n">
        <v>45822</v>
      </c>
      <c r="D2320" t="inlineStr">
        <is>
          <t>VÄRMLANDS LÄN</t>
        </is>
      </c>
      <c r="E2320" t="inlineStr">
        <is>
          <t>TORSBY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18155-2024</t>
        </is>
      </c>
      <c r="B2321" s="1" t="n">
        <v>45420</v>
      </c>
      <c r="C2321" s="1" t="n">
        <v>45822</v>
      </c>
      <c r="D2321" t="inlineStr">
        <is>
          <t>VÄRMLANDS LÄN</t>
        </is>
      </c>
      <c r="E2321" t="inlineStr">
        <is>
          <t>TORSBY</t>
        </is>
      </c>
      <c r="F2321" t="inlineStr">
        <is>
          <t>Bergvik skog väst AB</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18339-2024</t>
        </is>
      </c>
      <c r="B2322" s="1" t="n">
        <v>45422</v>
      </c>
      <c r="C2322" s="1" t="n">
        <v>45822</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18330-2024</t>
        </is>
      </c>
      <c r="B2323" s="1" t="n">
        <v>45422</v>
      </c>
      <c r="C2323" s="1" t="n">
        <v>45822</v>
      </c>
      <c r="D2323" t="inlineStr">
        <is>
          <t>VÄRMLANDS LÄN</t>
        </is>
      </c>
      <c r="E2323" t="inlineStr">
        <is>
          <t>TORSBY</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18308-2024</t>
        </is>
      </c>
      <c r="B2324" s="1" t="n">
        <v>45422</v>
      </c>
      <c r="C2324" s="1" t="n">
        <v>45822</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18337-2024</t>
        </is>
      </c>
      <c r="B2325" s="1" t="n">
        <v>45422</v>
      </c>
      <c r="C2325" s="1" t="n">
        <v>45822</v>
      </c>
      <c r="D2325" t="inlineStr">
        <is>
          <t>VÄRMLANDS LÄN</t>
        </is>
      </c>
      <c r="E2325" t="inlineStr">
        <is>
          <t>TORSBY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18422-2024</t>
        </is>
      </c>
      <c r="B2326" s="1" t="n">
        <v>45425</v>
      </c>
      <c r="C2326" s="1" t="n">
        <v>45822</v>
      </c>
      <c r="D2326" t="inlineStr">
        <is>
          <t>VÄRMLANDS LÄN</t>
        </is>
      </c>
      <c r="E2326" t="inlineStr">
        <is>
          <t>TORSBY</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18682-2024</t>
        </is>
      </c>
      <c r="B2327" s="1" t="n">
        <v>45426</v>
      </c>
      <c r="C2327" s="1" t="n">
        <v>45822</v>
      </c>
      <c r="D2327" t="inlineStr">
        <is>
          <t>VÄRMLANDS LÄN</t>
        </is>
      </c>
      <c r="E2327" t="inlineStr">
        <is>
          <t>TORSBY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18883-2024</t>
        </is>
      </c>
      <c r="B2328" s="1" t="n">
        <v>45426</v>
      </c>
      <c r="C2328" s="1" t="n">
        <v>45822</v>
      </c>
      <c r="D2328" t="inlineStr">
        <is>
          <t>VÄRMLANDS LÄN</t>
        </is>
      </c>
      <c r="E2328" t="inlineStr">
        <is>
          <t>TORSBY</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18855-2024</t>
        </is>
      </c>
      <c r="B2329" s="1" t="n">
        <v>45426</v>
      </c>
      <c r="C2329" s="1" t="n">
        <v>45822</v>
      </c>
      <c r="D2329" t="inlineStr">
        <is>
          <t>VÄRMLANDS LÄN</t>
        </is>
      </c>
      <c r="E2329" t="inlineStr">
        <is>
          <t>TORSBY</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18890-2024</t>
        </is>
      </c>
      <c r="B2330" s="1" t="n">
        <v>45427</v>
      </c>
      <c r="C2330" s="1" t="n">
        <v>45822</v>
      </c>
      <c r="D2330" t="inlineStr">
        <is>
          <t>VÄRMLANDS LÄN</t>
        </is>
      </c>
      <c r="E2330" t="inlineStr">
        <is>
          <t>TORSBY</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18953-2024</t>
        </is>
      </c>
      <c r="B2331" s="1" t="n">
        <v>45427</v>
      </c>
      <c r="C2331" s="1" t="n">
        <v>45822</v>
      </c>
      <c r="D2331" t="inlineStr">
        <is>
          <t>VÄRMLANDS LÄN</t>
        </is>
      </c>
      <c r="E2331" t="inlineStr">
        <is>
          <t>TORSBY</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18959-2024</t>
        </is>
      </c>
      <c r="B2332" s="1" t="n">
        <v>45427</v>
      </c>
      <c r="C2332" s="1" t="n">
        <v>45822</v>
      </c>
      <c r="D2332" t="inlineStr">
        <is>
          <t>VÄRMLANDS LÄN</t>
        </is>
      </c>
      <c r="E2332" t="inlineStr">
        <is>
          <t>TORSBY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18955-2024</t>
        </is>
      </c>
      <c r="B2333" s="1" t="n">
        <v>45427</v>
      </c>
      <c r="C2333" s="1" t="n">
        <v>45822</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18897-2024</t>
        </is>
      </c>
      <c r="B2334" s="1" t="n">
        <v>45427</v>
      </c>
      <c r="C2334" s="1" t="n">
        <v>45822</v>
      </c>
      <c r="D2334" t="inlineStr">
        <is>
          <t>VÄRMLANDS LÄN</t>
        </is>
      </c>
      <c r="E2334" t="inlineStr">
        <is>
          <t>TORSBY</t>
        </is>
      </c>
      <c r="F2334" t="inlineStr">
        <is>
          <t>Övriga statliga verk och myndigheter</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19029-2024</t>
        </is>
      </c>
      <c r="B2335" s="1" t="n">
        <v>45427</v>
      </c>
      <c r="C2335" s="1" t="n">
        <v>45822</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19136-2024</t>
        </is>
      </c>
      <c r="B2336" s="1" t="n">
        <v>45428</v>
      </c>
      <c r="C2336" s="1" t="n">
        <v>45822</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19251-2024</t>
        </is>
      </c>
      <c r="B2337" s="1" t="n">
        <v>45428</v>
      </c>
      <c r="C2337" s="1" t="n">
        <v>45822</v>
      </c>
      <c r="D2337" t="inlineStr">
        <is>
          <t>VÄRMLANDS LÄN</t>
        </is>
      </c>
      <c r="E2337" t="inlineStr">
        <is>
          <t>TORSBY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19215-2024</t>
        </is>
      </c>
      <c r="B2338" s="1" t="n">
        <v>45428</v>
      </c>
      <c r="C2338" s="1" t="n">
        <v>45822</v>
      </c>
      <c r="D2338" t="inlineStr">
        <is>
          <t>VÄRMLANDS LÄN</t>
        </is>
      </c>
      <c r="E2338" t="inlineStr">
        <is>
          <t>TORSBY</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19665-2024</t>
        </is>
      </c>
      <c r="B2339" s="1" t="n">
        <v>45432</v>
      </c>
      <c r="C2339" s="1" t="n">
        <v>45822</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19887-2024</t>
        </is>
      </c>
      <c r="B2340" s="1" t="n">
        <v>45433</v>
      </c>
      <c r="C2340" s="1" t="n">
        <v>45822</v>
      </c>
      <c r="D2340" t="inlineStr">
        <is>
          <t>VÄRMLANDS LÄN</t>
        </is>
      </c>
      <c r="E2340" t="inlineStr">
        <is>
          <t>TORSBY</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20440-2024</t>
        </is>
      </c>
      <c r="B2341" s="1" t="n">
        <v>45435</v>
      </c>
      <c r="C2341" s="1" t="n">
        <v>45822</v>
      </c>
      <c r="D2341" t="inlineStr">
        <is>
          <t>VÄRMLANDS LÄN</t>
        </is>
      </c>
      <c r="E2341" t="inlineStr">
        <is>
          <t>TORSBY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20472-2024</t>
        </is>
      </c>
      <c r="B2342" s="1" t="n">
        <v>45435</v>
      </c>
      <c r="C2342" s="1" t="n">
        <v>45822</v>
      </c>
      <c r="D2342" t="inlineStr">
        <is>
          <t>VÄRMLANDS LÄN</t>
        </is>
      </c>
      <c r="E2342" t="inlineStr">
        <is>
          <t>TORSBY</t>
        </is>
      </c>
      <c r="F2342" t="inlineStr">
        <is>
          <t>Bergvik skog väst AB</t>
        </is>
      </c>
      <c r="G2342" t="n">
        <v>46.1</v>
      </c>
      <c r="H2342" t="n">
        <v>0</v>
      </c>
      <c r="I2342" t="n">
        <v>0</v>
      </c>
      <c r="J2342" t="n">
        <v>0</v>
      </c>
      <c r="K2342" t="n">
        <v>0</v>
      </c>
      <c r="L2342" t="n">
        <v>0</v>
      </c>
      <c r="M2342" t="n">
        <v>0</v>
      </c>
      <c r="N2342" t="n">
        <v>0</v>
      </c>
      <c r="O2342" t="n">
        <v>0</v>
      </c>
      <c r="P2342" t="n">
        <v>0</v>
      </c>
      <c r="Q2342" t="n">
        <v>0</v>
      </c>
      <c r="R2342" s="2" t="inlineStr"/>
    </row>
    <row r="2343" ht="15" customHeight="1">
      <c r="A2343" t="inlineStr">
        <is>
          <t>A 20645-2024</t>
        </is>
      </c>
      <c r="B2343" s="1" t="n">
        <v>45436</v>
      </c>
      <c r="C2343" s="1" t="n">
        <v>45822</v>
      </c>
      <c r="D2343" t="inlineStr">
        <is>
          <t>VÄRMLANDS LÄN</t>
        </is>
      </c>
      <c r="E2343" t="inlineStr">
        <is>
          <t>TORSBY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20725-2024</t>
        </is>
      </c>
      <c r="B2344" s="1" t="n">
        <v>45436</v>
      </c>
      <c r="C2344" s="1" t="n">
        <v>45822</v>
      </c>
      <c r="D2344" t="inlineStr">
        <is>
          <t>VÄRMLANDS LÄN</t>
        </is>
      </c>
      <c r="E2344" t="inlineStr">
        <is>
          <t>TORSBY</t>
        </is>
      </c>
      <c r="F2344" t="inlineStr">
        <is>
          <t>Bergvik skog väst AB</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20633-2024</t>
        </is>
      </c>
      <c r="B2345" s="1" t="n">
        <v>45436</v>
      </c>
      <c r="C2345" s="1" t="n">
        <v>45822</v>
      </c>
      <c r="D2345" t="inlineStr">
        <is>
          <t>VÄRMLANDS LÄN</t>
        </is>
      </c>
      <c r="E2345" t="inlineStr">
        <is>
          <t>TORSBY</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20537-2024</t>
        </is>
      </c>
      <c r="B2346" s="1" t="n">
        <v>45436</v>
      </c>
      <c r="C2346" s="1" t="n">
        <v>45822</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20647-2024</t>
        </is>
      </c>
      <c r="B2347" s="1" t="n">
        <v>45436</v>
      </c>
      <c r="C2347" s="1" t="n">
        <v>45822</v>
      </c>
      <c r="D2347" t="inlineStr">
        <is>
          <t>VÄRMLANDS LÄN</t>
        </is>
      </c>
      <c r="E2347" t="inlineStr">
        <is>
          <t>TORSBY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20872-2024</t>
        </is>
      </c>
      <c r="B2348" s="1" t="n">
        <v>45439</v>
      </c>
      <c r="C2348" s="1" t="n">
        <v>45822</v>
      </c>
      <c r="D2348" t="inlineStr">
        <is>
          <t>VÄRMLANDS LÄN</t>
        </is>
      </c>
      <c r="E2348" t="inlineStr">
        <is>
          <t>TORSBY</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21013-2024</t>
        </is>
      </c>
      <c r="B2349" s="1" t="n">
        <v>45439</v>
      </c>
      <c r="C2349" s="1" t="n">
        <v>45822</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20982-2024</t>
        </is>
      </c>
      <c r="B2350" s="1" t="n">
        <v>45439</v>
      </c>
      <c r="C2350" s="1" t="n">
        <v>45822</v>
      </c>
      <c r="D2350" t="inlineStr">
        <is>
          <t>VÄRMLANDS LÄN</t>
        </is>
      </c>
      <c r="E2350" t="inlineStr">
        <is>
          <t>TORSBY</t>
        </is>
      </c>
      <c r="F2350" t="inlineStr">
        <is>
          <t>Bergvik skog väst AB</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20985-2024</t>
        </is>
      </c>
      <c r="B2351" s="1" t="n">
        <v>45439</v>
      </c>
      <c r="C2351" s="1" t="n">
        <v>45822</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20968-2024</t>
        </is>
      </c>
      <c r="B2352" s="1" t="n">
        <v>45439</v>
      </c>
      <c r="C2352" s="1" t="n">
        <v>45822</v>
      </c>
      <c r="D2352" t="inlineStr">
        <is>
          <t>VÄRMLANDS LÄN</t>
        </is>
      </c>
      <c r="E2352" t="inlineStr">
        <is>
          <t>TORSBY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21280-2024</t>
        </is>
      </c>
      <c r="B2353" s="1" t="n">
        <v>45440</v>
      </c>
      <c r="C2353" s="1" t="n">
        <v>45822</v>
      </c>
      <c r="D2353" t="inlineStr">
        <is>
          <t>VÄRMLANDS LÄN</t>
        </is>
      </c>
      <c r="E2353" t="inlineStr">
        <is>
          <t>TORSBY</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21297-2024</t>
        </is>
      </c>
      <c r="B2354" s="1" t="n">
        <v>45440</v>
      </c>
      <c r="C2354" s="1" t="n">
        <v>45822</v>
      </c>
      <c r="D2354" t="inlineStr">
        <is>
          <t>VÄRMLANDS LÄN</t>
        </is>
      </c>
      <c r="E2354" t="inlineStr">
        <is>
          <t>TORSBY</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21308-2024</t>
        </is>
      </c>
      <c r="B2355" s="1" t="n">
        <v>45440</v>
      </c>
      <c r="C2355" s="1" t="n">
        <v>45822</v>
      </c>
      <c r="D2355" t="inlineStr">
        <is>
          <t>VÄRMLANDS LÄN</t>
        </is>
      </c>
      <c r="E2355" t="inlineStr">
        <is>
          <t>TORSBY</t>
        </is>
      </c>
      <c r="G2355" t="n">
        <v>18.9</v>
      </c>
      <c r="H2355" t="n">
        <v>0</v>
      </c>
      <c r="I2355" t="n">
        <v>0</v>
      </c>
      <c r="J2355" t="n">
        <v>0</v>
      </c>
      <c r="K2355" t="n">
        <v>0</v>
      </c>
      <c r="L2355" t="n">
        <v>0</v>
      </c>
      <c r="M2355" t="n">
        <v>0</v>
      </c>
      <c r="N2355" t="n">
        <v>0</v>
      </c>
      <c r="O2355" t="n">
        <v>0</v>
      </c>
      <c r="P2355" t="n">
        <v>0</v>
      </c>
      <c r="Q2355" t="n">
        <v>0</v>
      </c>
      <c r="R2355" s="2" t="inlineStr"/>
    </row>
    <row r="2356" ht="15" customHeight="1">
      <c r="A2356" t="inlineStr">
        <is>
          <t>A 21518-2024</t>
        </is>
      </c>
      <c r="B2356" s="1" t="n">
        <v>45441</v>
      </c>
      <c r="C2356" s="1" t="n">
        <v>45822</v>
      </c>
      <c r="D2356" t="inlineStr">
        <is>
          <t>VÄRMLANDS LÄN</t>
        </is>
      </c>
      <c r="E2356" t="inlineStr">
        <is>
          <t>TORSBY</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21542-2024</t>
        </is>
      </c>
      <c r="B2357" s="1" t="n">
        <v>45441</v>
      </c>
      <c r="C2357" s="1" t="n">
        <v>45822</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21580-2024</t>
        </is>
      </c>
      <c r="B2358" s="1" t="n">
        <v>45441</v>
      </c>
      <c r="C2358" s="1" t="n">
        <v>45822</v>
      </c>
      <c r="D2358" t="inlineStr">
        <is>
          <t>VÄRMLANDS LÄN</t>
        </is>
      </c>
      <c r="E2358" t="inlineStr">
        <is>
          <t>TORSBY</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21586-2024</t>
        </is>
      </c>
      <c r="B2359" s="1" t="n">
        <v>45441</v>
      </c>
      <c r="C2359" s="1" t="n">
        <v>45822</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21581-2024</t>
        </is>
      </c>
      <c r="B2360" s="1" t="n">
        <v>45441</v>
      </c>
      <c r="C2360" s="1" t="n">
        <v>45822</v>
      </c>
      <c r="D2360" t="inlineStr">
        <is>
          <t>VÄRMLANDS LÄN</t>
        </is>
      </c>
      <c r="E2360" t="inlineStr">
        <is>
          <t>TORSBY</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21585-2024</t>
        </is>
      </c>
      <c r="B2361" s="1" t="n">
        <v>45441</v>
      </c>
      <c r="C2361" s="1" t="n">
        <v>45822</v>
      </c>
      <c r="D2361" t="inlineStr">
        <is>
          <t>VÄRMLANDS LÄN</t>
        </is>
      </c>
      <c r="E2361" t="inlineStr">
        <is>
          <t>TORSBY</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21587-2024</t>
        </is>
      </c>
      <c r="B2362" s="1" t="n">
        <v>45441</v>
      </c>
      <c r="C2362" s="1" t="n">
        <v>45822</v>
      </c>
      <c r="D2362" t="inlineStr">
        <is>
          <t>VÄRMLANDS LÄN</t>
        </is>
      </c>
      <c r="E2362" t="inlineStr">
        <is>
          <t>TORSBY</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21757-2024</t>
        </is>
      </c>
      <c r="B2363" s="1" t="n">
        <v>45442</v>
      </c>
      <c r="C2363" s="1" t="n">
        <v>45822</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21825-2024</t>
        </is>
      </c>
      <c r="B2364" s="1" t="n">
        <v>45442</v>
      </c>
      <c r="C2364" s="1" t="n">
        <v>45822</v>
      </c>
      <c r="D2364" t="inlineStr">
        <is>
          <t>VÄRMLANDS LÄN</t>
        </is>
      </c>
      <c r="E2364" t="inlineStr">
        <is>
          <t>TORSBY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21829-2024</t>
        </is>
      </c>
      <c r="B2365" s="1" t="n">
        <v>45442</v>
      </c>
      <c r="C2365" s="1" t="n">
        <v>45822</v>
      </c>
      <c r="D2365" t="inlineStr">
        <is>
          <t>VÄRMLANDS LÄN</t>
        </is>
      </c>
      <c r="E2365" t="inlineStr">
        <is>
          <t>TORSBY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21744-2024</t>
        </is>
      </c>
      <c r="B2366" s="1" t="n">
        <v>45442</v>
      </c>
      <c r="C2366" s="1" t="n">
        <v>45822</v>
      </c>
      <c r="D2366" t="inlineStr">
        <is>
          <t>VÄRMLANDS LÄN</t>
        </is>
      </c>
      <c r="E2366" t="inlineStr">
        <is>
          <t>TORSBY</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21828-2024</t>
        </is>
      </c>
      <c r="B2367" s="1" t="n">
        <v>45442</v>
      </c>
      <c r="C2367" s="1" t="n">
        <v>45822</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21930-2024</t>
        </is>
      </c>
      <c r="B2368" s="1" t="n">
        <v>45443</v>
      </c>
      <c r="C2368" s="1" t="n">
        <v>45822</v>
      </c>
      <c r="D2368" t="inlineStr">
        <is>
          <t>VÄRMLANDS LÄN</t>
        </is>
      </c>
      <c r="E2368" t="inlineStr">
        <is>
          <t>TORSBY</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22216-2024</t>
        </is>
      </c>
      <c r="B2369" s="1" t="n">
        <v>45446</v>
      </c>
      <c r="C2369" s="1" t="n">
        <v>45822</v>
      </c>
      <c r="D2369" t="inlineStr">
        <is>
          <t>VÄRMLANDS LÄN</t>
        </is>
      </c>
      <c r="E2369" t="inlineStr">
        <is>
          <t>TORSBY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22483-2024</t>
        </is>
      </c>
      <c r="B2370" s="1" t="n">
        <v>45446</v>
      </c>
      <c r="C2370" s="1" t="n">
        <v>45822</v>
      </c>
      <c r="D2370" t="inlineStr">
        <is>
          <t>VÄRMLANDS LÄN</t>
        </is>
      </c>
      <c r="E2370" t="inlineStr">
        <is>
          <t>TORSBY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22421-2024</t>
        </is>
      </c>
      <c r="B2371" s="1" t="n">
        <v>45446</v>
      </c>
      <c r="C2371" s="1" t="n">
        <v>45822</v>
      </c>
      <c r="D2371" t="inlineStr">
        <is>
          <t>VÄRMLANDS LÄN</t>
        </is>
      </c>
      <c r="E2371" t="inlineStr">
        <is>
          <t>TORSBY</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22426-2024</t>
        </is>
      </c>
      <c r="B2372" s="1" t="n">
        <v>45446</v>
      </c>
      <c r="C2372" s="1" t="n">
        <v>45822</v>
      </c>
      <c r="D2372" t="inlineStr">
        <is>
          <t>VÄRMLANDS LÄN</t>
        </is>
      </c>
      <c r="E2372" t="inlineStr">
        <is>
          <t>TORSBY</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22525-2024</t>
        </is>
      </c>
      <c r="B2373" s="1" t="n">
        <v>45447</v>
      </c>
      <c r="C2373" s="1" t="n">
        <v>45822</v>
      </c>
      <c r="D2373" t="inlineStr">
        <is>
          <t>VÄRMLANDS LÄN</t>
        </is>
      </c>
      <c r="E2373" t="inlineStr">
        <is>
          <t>TORSBY</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22565-2024</t>
        </is>
      </c>
      <c r="B2374" s="1" t="n">
        <v>45447</v>
      </c>
      <c r="C2374" s="1" t="n">
        <v>45822</v>
      </c>
      <c r="D2374" t="inlineStr">
        <is>
          <t>VÄRMLANDS LÄN</t>
        </is>
      </c>
      <c r="E2374" t="inlineStr">
        <is>
          <t>TORSBY</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22536-2024</t>
        </is>
      </c>
      <c r="B2375" s="1" t="n">
        <v>45447</v>
      </c>
      <c r="C2375" s="1" t="n">
        <v>45822</v>
      </c>
      <c r="D2375" t="inlineStr">
        <is>
          <t>VÄRMLANDS LÄN</t>
        </is>
      </c>
      <c r="E2375" t="inlineStr">
        <is>
          <t>TORSBY</t>
        </is>
      </c>
      <c r="G2375" t="n">
        <v>25.2</v>
      </c>
      <c r="H2375" t="n">
        <v>0</v>
      </c>
      <c r="I2375" t="n">
        <v>0</v>
      </c>
      <c r="J2375" t="n">
        <v>0</v>
      </c>
      <c r="K2375" t="n">
        <v>0</v>
      </c>
      <c r="L2375" t="n">
        <v>0</v>
      </c>
      <c r="M2375" t="n">
        <v>0</v>
      </c>
      <c r="N2375" t="n">
        <v>0</v>
      </c>
      <c r="O2375" t="n">
        <v>0</v>
      </c>
      <c r="P2375" t="n">
        <v>0</v>
      </c>
      <c r="Q2375" t="n">
        <v>0</v>
      </c>
      <c r="R2375" s="2" t="inlineStr"/>
    </row>
    <row r="2376" ht="15" customHeight="1">
      <c r="A2376" t="inlineStr">
        <is>
          <t>A 22844-2024</t>
        </is>
      </c>
      <c r="B2376" s="1" t="n">
        <v>45448</v>
      </c>
      <c r="C2376" s="1" t="n">
        <v>45822</v>
      </c>
      <c r="D2376" t="inlineStr">
        <is>
          <t>VÄRMLANDS LÄN</t>
        </is>
      </c>
      <c r="E2376" t="inlineStr">
        <is>
          <t>TORSBY</t>
        </is>
      </c>
      <c r="F2376" t="inlineStr">
        <is>
          <t>Bergvik skog väst AB</t>
        </is>
      </c>
      <c r="G2376" t="n">
        <v>16.3</v>
      </c>
      <c r="H2376" t="n">
        <v>0</v>
      </c>
      <c r="I2376" t="n">
        <v>0</v>
      </c>
      <c r="J2376" t="n">
        <v>0</v>
      </c>
      <c r="K2376" t="n">
        <v>0</v>
      </c>
      <c r="L2376" t="n">
        <v>0</v>
      </c>
      <c r="M2376" t="n">
        <v>0</v>
      </c>
      <c r="N2376" t="n">
        <v>0</v>
      </c>
      <c r="O2376" t="n">
        <v>0</v>
      </c>
      <c r="P2376" t="n">
        <v>0</v>
      </c>
      <c r="Q2376" t="n">
        <v>0</v>
      </c>
      <c r="R2376" s="2" t="inlineStr"/>
    </row>
    <row r="2377" ht="15" customHeight="1">
      <c r="A2377" t="inlineStr">
        <is>
          <t>A 22729-2024</t>
        </is>
      </c>
      <c r="B2377" s="1" t="n">
        <v>45448</v>
      </c>
      <c r="C2377" s="1" t="n">
        <v>45822</v>
      </c>
      <c r="D2377" t="inlineStr">
        <is>
          <t>VÄRMLANDS LÄN</t>
        </is>
      </c>
      <c r="E2377" t="inlineStr">
        <is>
          <t>TORSBY</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22843-2024</t>
        </is>
      </c>
      <c r="B2378" s="1" t="n">
        <v>45448</v>
      </c>
      <c r="C2378" s="1" t="n">
        <v>45822</v>
      </c>
      <c r="D2378" t="inlineStr">
        <is>
          <t>VÄRMLANDS LÄN</t>
        </is>
      </c>
      <c r="E2378" t="inlineStr">
        <is>
          <t>TORSBY</t>
        </is>
      </c>
      <c r="F2378" t="inlineStr">
        <is>
          <t>Bergvik skog väst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22973-2024</t>
        </is>
      </c>
      <c r="B2379" s="1" t="n">
        <v>45449</v>
      </c>
      <c r="C2379" s="1" t="n">
        <v>45822</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23042-2024</t>
        </is>
      </c>
      <c r="B2380" s="1" t="n">
        <v>45450</v>
      </c>
      <c r="C2380" s="1" t="n">
        <v>45822</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23133-2024</t>
        </is>
      </c>
      <c r="B2381" s="1" t="n">
        <v>45450</v>
      </c>
      <c r="C2381" s="1" t="n">
        <v>45822</v>
      </c>
      <c r="D2381" t="inlineStr">
        <is>
          <t>VÄRMLANDS LÄN</t>
        </is>
      </c>
      <c r="E2381" t="inlineStr">
        <is>
          <t>TORSBY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23108-2024</t>
        </is>
      </c>
      <c r="B2382" s="1" t="n">
        <v>45450</v>
      </c>
      <c r="C2382" s="1" t="n">
        <v>45822</v>
      </c>
      <c r="D2382" t="inlineStr">
        <is>
          <t>VÄRMLANDS LÄN</t>
        </is>
      </c>
      <c r="E2382" t="inlineStr">
        <is>
          <t>TORSBY</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23044-2024</t>
        </is>
      </c>
      <c r="B2383" s="1" t="n">
        <v>45450</v>
      </c>
      <c r="C2383" s="1" t="n">
        <v>45822</v>
      </c>
      <c r="D2383" t="inlineStr">
        <is>
          <t>VÄRMLANDS LÄN</t>
        </is>
      </c>
      <c r="E2383" t="inlineStr">
        <is>
          <t>TORSBY</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23106-2024</t>
        </is>
      </c>
      <c r="B2384" s="1" t="n">
        <v>45450</v>
      </c>
      <c r="C2384" s="1" t="n">
        <v>45822</v>
      </c>
      <c r="D2384" t="inlineStr">
        <is>
          <t>VÄRMLANDS LÄN</t>
        </is>
      </c>
      <c r="E2384" t="inlineStr">
        <is>
          <t>TORSBY</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23423-2024</t>
        </is>
      </c>
      <c r="B2385" s="1" t="n">
        <v>45453</v>
      </c>
      <c r="C2385" s="1" t="n">
        <v>45822</v>
      </c>
      <c r="D2385" t="inlineStr">
        <is>
          <t>VÄRMLANDS LÄN</t>
        </is>
      </c>
      <c r="E2385" t="inlineStr">
        <is>
          <t>TORSBY</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23678-2024</t>
        </is>
      </c>
      <c r="B2386" s="1" t="n">
        <v>45454</v>
      </c>
      <c r="C2386" s="1" t="n">
        <v>45822</v>
      </c>
      <c r="D2386" t="inlineStr">
        <is>
          <t>VÄRMLANDS LÄN</t>
        </is>
      </c>
      <c r="E2386" t="inlineStr">
        <is>
          <t>TORSBY</t>
        </is>
      </c>
      <c r="F2386" t="inlineStr">
        <is>
          <t>Bergvik skog väst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23719-2024</t>
        </is>
      </c>
      <c r="B2387" s="1" t="n">
        <v>45454</v>
      </c>
      <c r="C2387" s="1" t="n">
        <v>45822</v>
      </c>
      <c r="D2387" t="inlineStr">
        <is>
          <t>VÄRMLANDS LÄN</t>
        </is>
      </c>
      <c r="E2387" t="inlineStr">
        <is>
          <t>TORSBY</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23746-2024</t>
        </is>
      </c>
      <c r="B2388" s="1" t="n">
        <v>45454</v>
      </c>
      <c r="C2388" s="1" t="n">
        <v>45822</v>
      </c>
      <c r="D2388" t="inlineStr">
        <is>
          <t>VÄRMLANDS LÄN</t>
        </is>
      </c>
      <c r="E2388" t="inlineStr">
        <is>
          <t>TORSBY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23820-2024</t>
        </is>
      </c>
      <c r="B2389" s="1" t="n">
        <v>45455</v>
      </c>
      <c r="C2389" s="1" t="n">
        <v>45822</v>
      </c>
      <c r="D2389" t="inlineStr">
        <is>
          <t>VÄRMLANDS LÄN</t>
        </is>
      </c>
      <c r="E2389" t="inlineStr">
        <is>
          <t>TORSBY</t>
        </is>
      </c>
      <c r="F2389" t="inlineStr">
        <is>
          <t>Kyrkan</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23846-2024</t>
        </is>
      </c>
      <c r="B2390" s="1" t="n">
        <v>45455</v>
      </c>
      <c r="C2390" s="1" t="n">
        <v>45822</v>
      </c>
      <c r="D2390" t="inlineStr">
        <is>
          <t>VÄRMLANDS LÄN</t>
        </is>
      </c>
      <c r="E2390" t="inlineStr">
        <is>
          <t>TORSBY</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23824-2024</t>
        </is>
      </c>
      <c r="B2391" s="1" t="n">
        <v>45455</v>
      </c>
      <c r="C2391" s="1" t="n">
        <v>45822</v>
      </c>
      <c r="D2391" t="inlineStr">
        <is>
          <t>VÄRMLANDS LÄN</t>
        </is>
      </c>
      <c r="E2391" t="inlineStr">
        <is>
          <t>TORSBY</t>
        </is>
      </c>
      <c r="F2391" t="inlineStr">
        <is>
          <t>Kyrkan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23845-2024</t>
        </is>
      </c>
      <c r="B2392" s="1" t="n">
        <v>45455</v>
      </c>
      <c r="C2392" s="1" t="n">
        <v>45822</v>
      </c>
      <c r="D2392" t="inlineStr">
        <is>
          <t>VÄRMLANDS LÄN</t>
        </is>
      </c>
      <c r="E2392" t="inlineStr">
        <is>
          <t>TORSBY</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23843-2024</t>
        </is>
      </c>
      <c r="B2393" s="1" t="n">
        <v>45455</v>
      </c>
      <c r="C2393" s="1" t="n">
        <v>45822</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23835-2024</t>
        </is>
      </c>
      <c r="B2394" s="1" t="n">
        <v>45455</v>
      </c>
      <c r="C2394" s="1" t="n">
        <v>45822</v>
      </c>
      <c r="D2394" t="inlineStr">
        <is>
          <t>VÄRMLANDS LÄN</t>
        </is>
      </c>
      <c r="E2394" t="inlineStr">
        <is>
          <t>TORSBY</t>
        </is>
      </c>
      <c r="F2394" t="inlineStr">
        <is>
          <t>Bergvik skog väst AB</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24020-2024</t>
        </is>
      </c>
      <c r="B2395" s="1" t="n">
        <v>45456</v>
      </c>
      <c r="C2395" s="1" t="n">
        <v>45822</v>
      </c>
      <c r="D2395" t="inlineStr">
        <is>
          <t>VÄRMLANDS LÄN</t>
        </is>
      </c>
      <c r="E2395" t="inlineStr">
        <is>
          <t>TORSBY</t>
        </is>
      </c>
      <c r="F2395" t="inlineStr">
        <is>
          <t>Bergvik skog väst AB</t>
        </is>
      </c>
      <c r="G2395" t="n">
        <v>19.4</v>
      </c>
      <c r="H2395" t="n">
        <v>0</v>
      </c>
      <c r="I2395" t="n">
        <v>0</v>
      </c>
      <c r="J2395" t="n">
        <v>0</v>
      </c>
      <c r="K2395" t="n">
        <v>0</v>
      </c>
      <c r="L2395" t="n">
        <v>0</v>
      </c>
      <c r="M2395" t="n">
        <v>0</v>
      </c>
      <c r="N2395" t="n">
        <v>0</v>
      </c>
      <c r="O2395" t="n">
        <v>0</v>
      </c>
      <c r="P2395" t="n">
        <v>0</v>
      </c>
      <c r="Q2395" t="n">
        <v>0</v>
      </c>
      <c r="R2395" s="2" t="inlineStr"/>
    </row>
    <row r="2396" ht="15" customHeight="1">
      <c r="A2396" t="inlineStr">
        <is>
          <t>A 23996-2024</t>
        </is>
      </c>
      <c r="B2396" s="1" t="n">
        <v>45456</v>
      </c>
      <c r="C2396" s="1" t="n">
        <v>45822</v>
      </c>
      <c r="D2396" t="inlineStr">
        <is>
          <t>VÄRMLANDS LÄN</t>
        </is>
      </c>
      <c r="E2396" t="inlineStr">
        <is>
          <t>TORSBY</t>
        </is>
      </c>
      <c r="F2396" t="inlineStr">
        <is>
          <t>Bergvik skog väst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24004-2024</t>
        </is>
      </c>
      <c r="B2397" s="1" t="n">
        <v>45456</v>
      </c>
      <c r="C2397" s="1" t="n">
        <v>45822</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24148-2024</t>
        </is>
      </c>
      <c r="B2398" s="1" t="n">
        <v>45456</v>
      </c>
      <c r="C2398" s="1" t="n">
        <v>45822</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24182-2024</t>
        </is>
      </c>
      <c r="B2399" s="1" t="n">
        <v>45456</v>
      </c>
      <c r="C2399" s="1" t="n">
        <v>45822</v>
      </c>
      <c r="D2399" t="inlineStr">
        <is>
          <t>VÄRMLANDS LÄN</t>
        </is>
      </c>
      <c r="E2399" t="inlineStr">
        <is>
          <t>TORSBY</t>
        </is>
      </c>
      <c r="F2399" t="inlineStr">
        <is>
          <t>Bergvik skog väst AB</t>
        </is>
      </c>
      <c r="G2399" t="n">
        <v>28.9</v>
      </c>
      <c r="H2399" t="n">
        <v>0</v>
      </c>
      <c r="I2399" t="n">
        <v>0</v>
      </c>
      <c r="J2399" t="n">
        <v>0</v>
      </c>
      <c r="K2399" t="n">
        <v>0</v>
      </c>
      <c r="L2399" t="n">
        <v>0</v>
      </c>
      <c r="M2399" t="n">
        <v>0</v>
      </c>
      <c r="N2399" t="n">
        <v>0</v>
      </c>
      <c r="O2399" t="n">
        <v>0</v>
      </c>
      <c r="P2399" t="n">
        <v>0</v>
      </c>
      <c r="Q2399" t="n">
        <v>0</v>
      </c>
      <c r="R2399" s="2" t="inlineStr"/>
    </row>
    <row r="2400" ht="15" customHeight="1">
      <c r="A2400" t="inlineStr">
        <is>
          <t>A 24087-2024</t>
        </is>
      </c>
      <c r="B2400" s="1" t="n">
        <v>45456</v>
      </c>
      <c r="C2400" s="1" t="n">
        <v>45822</v>
      </c>
      <c r="D2400" t="inlineStr">
        <is>
          <t>VÄRMLANDS LÄN</t>
        </is>
      </c>
      <c r="E2400" t="inlineStr">
        <is>
          <t>TORSBY</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24113-2024</t>
        </is>
      </c>
      <c r="B2401" s="1" t="n">
        <v>45456</v>
      </c>
      <c r="C2401" s="1" t="n">
        <v>45822</v>
      </c>
      <c r="D2401" t="inlineStr">
        <is>
          <t>VÄRMLANDS LÄN</t>
        </is>
      </c>
      <c r="E2401" t="inlineStr">
        <is>
          <t>TORSBY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24242-2024</t>
        </is>
      </c>
      <c r="B2402" s="1" t="n">
        <v>45457</v>
      </c>
      <c r="C2402" s="1" t="n">
        <v>45822</v>
      </c>
      <c r="D2402" t="inlineStr">
        <is>
          <t>VÄRMLANDS LÄN</t>
        </is>
      </c>
      <c r="E2402" t="inlineStr">
        <is>
          <t>TORSBY</t>
        </is>
      </c>
      <c r="F2402" t="inlineStr">
        <is>
          <t>Bergvik skog väst AB</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24261-2024</t>
        </is>
      </c>
      <c r="B2403" s="1" t="n">
        <v>45457</v>
      </c>
      <c r="C2403" s="1" t="n">
        <v>45822</v>
      </c>
      <c r="D2403" t="inlineStr">
        <is>
          <t>VÄRMLANDS LÄN</t>
        </is>
      </c>
      <c r="E2403" t="inlineStr">
        <is>
          <t>TORSBY</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24267-2024</t>
        </is>
      </c>
      <c r="B2404" s="1" t="n">
        <v>45457</v>
      </c>
      <c r="C2404" s="1" t="n">
        <v>45822</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24493-2024</t>
        </is>
      </c>
      <c r="B2405" s="1" t="n">
        <v>45459</v>
      </c>
      <c r="C2405" s="1" t="n">
        <v>45822</v>
      </c>
      <c r="D2405" t="inlineStr">
        <is>
          <t>VÄRMLANDS LÄN</t>
        </is>
      </c>
      <c r="E2405" t="inlineStr">
        <is>
          <t>TORSBY</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24490-2024</t>
        </is>
      </c>
      <c r="B2406" s="1" t="n">
        <v>45459</v>
      </c>
      <c r="C2406" s="1" t="n">
        <v>45822</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24708-2024</t>
        </is>
      </c>
      <c r="B2407" s="1" t="n">
        <v>45460</v>
      </c>
      <c r="C2407" s="1" t="n">
        <v>45822</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24723-2024</t>
        </is>
      </c>
      <c r="B2408" s="1" t="n">
        <v>45460</v>
      </c>
      <c r="C2408" s="1" t="n">
        <v>45822</v>
      </c>
      <c r="D2408" t="inlineStr">
        <is>
          <t>VÄRMLANDS LÄN</t>
        </is>
      </c>
      <c r="E2408" t="inlineStr">
        <is>
          <t>TORSBY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24717-2024</t>
        </is>
      </c>
      <c r="B2409" s="1" t="n">
        <v>45460</v>
      </c>
      <c r="C2409" s="1" t="n">
        <v>45822</v>
      </c>
      <c r="D2409" t="inlineStr">
        <is>
          <t>VÄRMLANDS LÄN</t>
        </is>
      </c>
      <c r="E2409" t="inlineStr">
        <is>
          <t>TORSBY</t>
        </is>
      </c>
      <c r="F2409" t="inlineStr">
        <is>
          <t>Övriga statliga verk och myndigheter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24636-2024</t>
        </is>
      </c>
      <c r="B2410" s="1" t="n">
        <v>45460</v>
      </c>
      <c r="C2410" s="1" t="n">
        <v>45822</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24630-2024</t>
        </is>
      </c>
      <c r="B2411" s="1" t="n">
        <v>45460</v>
      </c>
      <c r="C2411" s="1" t="n">
        <v>45822</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24657-2024</t>
        </is>
      </c>
      <c r="B2412" s="1" t="n">
        <v>45460</v>
      </c>
      <c r="C2412" s="1" t="n">
        <v>45822</v>
      </c>
      <c r="D2412" t="inlineStr">
        <is>
          <t>VÄRMLANDS LÄN</t>
        </is>
      </c>
      <c r="E2412" t="inlineStr">
        <is>
          <t>TORSBY</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24995-2024</t>
        </is>
      </c>
      <c r="B2413" s="1" t="n">
        <v>45461</v>
      </c>
      <c r="C2413" s="1" t="n">
        <v>45822</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24851-2024</t>
        </is>
      </c>
      <c r="B2414" s="1" t="n">
        <v>45461</v>
      </c>
      <c r="C2414" s="1" t="n">
        <v>45822</v>
      </c>
      <c r="D2414" t="inlineStr">
        <is>
          <t>VÄRMLANDS LÄN</t>
        </is>
      </c>
      <c r="E2414" t="inlineStr">
        <is>
          <t>TORSBY</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25355-2024</t>
        </is>
      </c>
      <c r="B2415" s="1" t="n">
        <v>45463</v>
      </c>
      <c r="C2415" s="1" t="n">
        <v>45822</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25313-2024</t>
        </is>
      </c>
      <c r="B2416" s="1" t="n">
        <v>45462</v>
      </c>
      <c r="C2416" s="1" t="n">
        <v>45822</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25090-2024</t>
        </is>
      </c>
      <c r="B2417" s="1" t="n">
        <v>45462</v>
      </c>
      <c r="C2417" s="1" t="n">
        <v>45822</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25264-2024</t>
        </is>
      </c>
      <c r="B2418" s="1" t="n">
        <v>45462</v>
      </c>
      <c r="C2418" s="1" t="n">
        <v>45822</v>
      </c>
      <c r="D2418" t="inlineStr">
        <is>
          <t>VÄRMLANDS LÄN</t>
        </is>
      </c>
      <c r="E2418" t="inlineStr">
        <is>
          <t>TORSBY</t>
        </is>
      </c>
      <c r="G2418" t="n">
        <v>10.7</v>
      </c>
      <c r="H2418" t="n">
        <v>0</v>
      </c>
      <c r="I2418" t="n">
        <v>0</v>
      </c>
      <c r="J2418" t="n">
        <v>0</v>
      </c>
      <c r="K2418" t="n">
        <v>0</v>
      </c>
      <c r="L2418" t="n">
        <v>0</v>
      </c>
      <c r="M2418" t="n">
        <v>0</v>
      </c>
      <c r="N2418" t="n">
        <v>0</v>
      </c>
      <c r="O2418" t="n">
        <v>0</v>
      </c>
      <c r="P2418" t="n">
        <v>0</v>
      </c>
      <c r="Q2418" t="n">
        <v>0</v>
      </c>
      <c r="R2418" s="2" t="inlineStr"/>
    </row>
    <row r="2419" ht="15" customHeight="1">
      <c r="A2419" t="inlineStr">
        <is>
          <t>A 25194-2024</t>
        </is>
      </c>
      <c r="B2419" s="1" t="n">
        <v>45462</v>
      </c>
      <c r="C2419" s="1" t="n">
        <v>45822</v>
      </c>
      <c r="D2419" t="inlineStr">
        <is>
          <t>VÄRMLANDS LÄN</t>
        </is>
      </c>
      <c r="E2419" t="inlineStr">
        <is>
          <t>TORSBY</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25316-2024</t>
        </is>
      </c>
      <c r="B2420" s="1" t="n">
        <v>45462</v>
      </c>
      <c r="C2420" s="1" t="n">
        <v>45822</v>
      </c>
      <c r="D2420" t="inlineStr">
        <is>
          <t>VÄRMLANDS LÄN</t>
        </is>
      </c>
      <c r="E2420" t="inlineStr">
        <is>
          <t>TORSBY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25629-2024</t>
        </is>
      </c>
      <c r="B2421" s="1" t="n">
        <v>45463</v>
      </c>
      <c r="C2421" s="1" t="n">
        <v>45822</v>
      </c>
      <c r="D2421" t="inlineStr">
        <is>
          <t>VÄRMLANDS LÄN</t>
        </is>
      </c>
      <c r="E2421" t="inlineStr">
        <is>
          <t>TORSBY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25504-2024</t>
        </is>
      </c>
      <c r="B2422" s="1" t="n">
        <v>45463</v>
      </c>
      <c r="C2422" s="1" t="n">
        <v>45822</v>
      </c>
      <c r="D2422" t="inlineStr">
        <is>
          <t>VÄRMLANDS LÄN</t>
        </is>
      </c>
      <c r="E2422" t="inlineStr">
        <is>
          <t>TORSBY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25827-2024</t>
        </is>
      </c>
      <c r="B2423" s="1" t="n">
        <v>45467</v>
      </c>
      <c r="C2423" s="1" t="n">
        <v>45822</v>
      </c>
      <c r="D2423" t="inlineStr">
        <is>
          <t>VÄRMLANDS LÄN</t>
        </is>
      </c>
      <c r="E2423" t="inlineStr">
        <is>
          <t>TORSBY</t>
        </is>
      </c>
      <c r="G2423" t="n">
        <v>20.5</v>
      </c>
      <c r="H2423" t="n">
        <v>0</v>
      </c>
      <c r="I2423" t="n">
        <v>0</v>
      </c>
      <c r="J2423" t="n">
        <v>0</v>
      </c>
      <c r="K2423" t="n">
        <v>0</v>
      </c>
      <c r="L2423" t="n">
        <v>0</v>
      </c>
      <c r="M2423" t="n">
        <v>0</v>
      </c>
      <c r="N2423" t="n">
        <v>0</v>
      </c>
      <c r="O2423" t="n">
        <v>0</v>
      </c>
      <c r="P2423" t="n">
        <v>0</v>
      </c>
      <c r="Q2423" t="n">
        <v>0</v>
      </c>
      <c r="R2423" s="2" t="inlineStr"/>
    </row>
    <row r="2424" ht="15" customHeight="1">
      <c r="A2424" t="inlineStr">
        <is>
          <t>A 25898-2024</t>
        </is>
      </c>
      <c r="B2424" s="1" t="n">
        <v>45467</v>
      </c>
      <c r="C2424" s="1" t="n">
        <v>45822</v>
      </c>
      <c r="D2424" t="inlineStr">
        <is>
          <t>VÄRMLANDS LÄN</t>
        </is>
      </c>
      <c r="E2424" t="inlineStr">
        <is>
          <t>TORSBY</t>
        </is>
      </c>
      <c r="G2424" t="n">
        <v>27.6</v>
      </c>
      <c r="H2424" t="n">
        <v>0</v>
      </c>
      <c r="I2424" t="n">
        <v>0</v>
      </c>
      <c r="J2424" t="n">
        <v>0</v>
      </c>
      <c r="K2424" t="n">
        <v>0</v>
      </c>
      <c r="L2424" t="n">
        <v>0</v>
      </c>
      <c r="M2424" t="n">
        <v>0</v>
      </c>
      <c r="N2424" t="n">
        <v>0</v>
      </c>
      <c r="O2424" t="n">
        <v>0</v>
      </c>
      <c r="P2424" t="n">
        <v>0</v>
      </c>
      <c r="Q2424" t="n">
        <v>0</v>
      </c>
      <c r="R2424" s="2" t="inlineStr"/>
    </row>
    <row r="2425" ht="15" customHeight="1">
      <c r="A2425" t="inlineStr">
        <is>
          <t>A 25932-2024</t>
        </is>
      </c>
      <c r="B2425" s="1" t="n">
        <v>45467</v>
      </c>
      <c r="C2425" s="1" t="n">
        <v>45822</v>
      </c>
      <c r="D2425" t="inlineStr">
        <is>
          <t>VÄRMLANDS LÄN</t>
        </is>
      </c>
      <c r="E2425" t="inlineStr">
        <is>
          <t>TORSBY</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25933-2024</t>
        </is>
      </c>
      <c r="B2426" s="1" t="n">
        <v>45467</v>
      </c>
      <c r="C2426" s="1" t="n">
        <v>45822</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25949-2024</t>
        </is>
      </c>
      <c r="B2427" s="1" t="n">
        <v>45467</v>
      </c>
      <c r="C2427" s="1" t="n">
        <v>45822</v>
      </c>
      <c r="D2427" t="inlineStr">
        <is>
          <t>VÄRMLANDS LÄN</t>
        </is>
      </c>
      <c r="E2427" t="inlineStr">
        <is>
          <t>TORSBY</t>
        </is>
      </c>
      <c r="F2427" t="inlineStr">
        <is>
          <t>Bergvik skog väst AB</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26186-2024</t>
        </is>
      </c>
      <c r="B2428" s="1" t="n">
        <v>45468</v>
      </c>
      <c r="C2428" s="1" t="n">
        <v>45822</v>
      </c>
      <c r="D2428" t="inlineStr">
        <is>
          <t>VÄRMLANDS LÄN</t>
        </is>
      </c>
      <c r="E2428" t="inlineStr">
        <is>
          <t>TORSBY</t>
        </is>
      </c>
      <c r="F2428" t="inlineStr">
        <is>
          <t>Bergvik skog väst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26166-2024</t>
        </is>
      </c>
      <c r="B2429" s="1" t="n">
        <v>45468</v>
      </c>
      <c r="C2429" s="1" t="n">
        <v>45822</v>
      </c>
      <c r="D2429" t="inlineStr">
        <is>
          <t>VÄRMLANDS LÄN</t>
        </is>
      </c>
      <c r="E2429" t="inlineStr">
        <is>
          <t>TORSBY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26124-2024</t>
        </is>
      </c>
      <c r="B2430" s="1" t="n">
        <v>45468</v>
      </c>
      <c r="C2430" s="1" t="n">
        <v>45822</v>
      </c>
      <c r="D2430" t="inlineStr">
        <is>
          <t>VÄRMLANDS LÄN</t>
        </is>
      </c>
      <c r="E2430" t="inlineStr">
        <is>
          <t>TORSBY</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26086-2024</t>
        </is>
      </c>
      <c r="B2431" s="1" t="n">
        <v>45468</v>
      </c>
      <c r="C2431" s="1" t="n">
        <v>45822</v>
      </c>
      <c r="D2431" t="inlineStr">
        <is>
          <t>VÄRMLANDS LÄN</t>
        </is>
      </c>
      <c r="E2431" t="inlineStr">
        <is>
          <t>TORSBY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26042-2024</t>
        </is>
      </c>
      <c r="B2432" s="1" t="n">
        <v>45468</v>
      </c>
      <c r="C2432" s="1" t="n">
        <v>45822</v>
      </c>
      <c r="D2432" t="inlineStr">
        <is>
          <t>VÄRMLANDS LÄN</t>
        </is>
      </c>
      <c r="E2432" t="inlineStr">
        <is>
          <t>TORSBY</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26634-2024</t>
        </is>
      </c>
      <c r="B2433" s="1" t="n">
        <v>45469</v>
      </c>
      <c r="C2433" s="1" t="n">
        <v>45822</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26876-2024</t>
        </is>
      </c>
      <c r="B2434" s="1" t="n">
        <v>45470</v>
      </c>
      <c r="C2434" s="1" t="n">
        <v>45822</v>
      </c>
      <c r="D2434" t="inlineStr">
        <is>
          <t>VÄRMLANDS LÄN</t>
        </is>
      </c>
      <c r="E2434" t="inlineStr">
        <is>
          <t>TORSBY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26887-2024</t>
        </is>
      </c>
      <c r="B2435" s="1" t="n">
        <v>45470</v>
      </c>
      <c r="C2435" s="1" t="n">
        <v>45822</v>
      </c>
      <c r="D2435" t="inlineStr">
        <is>
          <t>VÄRMLANDS LÄN</t>
        </is>
      </c>
      <c r="E2435" t="inlineStr">
        <is>
          <t>TORSBY</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26807-2024</t>
        </is>
      </c>
      <c r="B2436" s="1" t="n">
        <v>45470</v>
      </c>
      <c r="C2436" s="1" t="n">
        <v>45822</v>
      </c>
      <c r="D2436" t="inlineStr">
        <is>
          <t>VÄRMLANDS LÄN</t>
        </is>
      </c>
      <c r="E2436" t="inlineStr">
        <is>
          <t>TORSBY</t>
        </is>
      </c>
      <c r="F2436" t="inlineStr">
        <is>
          <t>Bergvik skog väst AB</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26799-2024</t>
        </is>
      </c>
      <c r="B2437" s="1" t="n">
        <v>45470</v>
      </c>
      <c r="C2437" s="1" t="n">
        <v>45822</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27045-2024</t>
        </is>
      </c>
      <c r="B2438" s="1" t="n">
        <v>45471</v>
      </c>
      <c r="C2438" s="1" t="n">
        <v>45822</v>
      </c>
      <c r="D2438" t="inlineStr">
        <is>
          <t>VÄRMLANDS LÄN</t>
        </is>
      </c>
      <c r="E2438" t="inlineStr">
        <is>
          <t>TORSBY</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27187-2024</t>
        </is>
      </c>
      <c r="B2439" s="1" t="n">
        <v>45471</v>
      </c>
      <c r="C2439" s="1" t="n">
        <v>45822</v>
      </c>
      <c r="D2439" t="inlineStr">
        <is>
          <t>VÄRMLANDS LÄN</t>
        </is>
      </c>
      <c r="E2439" t="inlineStr">
        <is>
          <t>TORSBY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27111-2024</t>
        </is>
      </c>
      <c r="B2440" s="1" t="n">
        <v>45471</v>
      </c>
      <c r="C2440" s="1" t="n">
        <v>45822</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27115-2024</t>
        </is>
      </c>
      <c r="B2441" s="1" t="n">
        <v>45471</v>
      </c>
      <c r="C2441" s="1" t="n">
        <v>45822</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27116-2024</t>
        </is>
      </c>
      <c r="B2442" s="1" t="n">
        <v>45471</v>
      </c>
      <c r="C2442" s="1" t="n">
        <v>45822</v>
      </c>
      <c r="D2442" t="inlineStr">
        <is>
          <t>VÄRMLANDS LÄN</t>
        </is>
      </c>
      <c r="E2442" t="inlineStr">
        <is>
          <t>TORSBY</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27120-2024</t>
        </is>
      </c>
      <c r="B2443" s="1" t="n">
        <v>45471</v>
      </c>
      <c r="C2443" s="1" t="n">
        <v>45822</v>
      </c>
      <c r="D2443" t="inlineStr">
        <is>
          <t>VÄRMLANDS LÄN</t>
        </is>
      </c>
      <c r="E2443" t="inlineStr">
        <is>
          <t>TORSBY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27124-2024</t>
        </is>
      </c>
      <c r="B2444" s="1" t="n">
        <v>45471</v>
      </c>
      <c r="C2444" s="1" t="n">
        <v>45822</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27144-2024</t>
        </is>
      </c>
      <c r="B2445" s="1" t="n">
        <v>45471</v>
      </c>
      <c r="C2445" s="1" t="n">
        <v>45822</v>
      </c>
      <c r="D2445" t="inlineStr">
        <is>
          <t>VÄRMLANDS LÄN</t>
        </is>
      </c>
      <c r="E2445" t="inlineStr">
        <is>
          <t>TORSBY</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27101-2024</t>
        </is>
      </c>
      <c r="B2446" s="1" t="n">
        <v>45471</v>
      </c>
      <c r="C2446" s="1" t="n">
        <v>45822</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27090-2024</t>
        </is>
      </c>
      <c r="B2447" s="1" t="n">
        <v>45471</v>
      </c>
      <c r="C2447" s="1" t="n">
        <v>45822</v>
      </c>
      <c r="D2447" t="inlineStr">
        <is>
          <t>VÄRMLANDS LÄN</t>
        </is>
      </c>
      <c r="E2447" t="inlineStr">
        <is>
          <t>TORSBY</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27086-2024</t>
        </is>
      </c>
      <c r="B2448" s="1" t="n">
        <v>45471</v>
      </c>
      <c r="C2448" s="1" t="n">
        <v>45822</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27078-2024</t>
        </is>
      </c>
      <c r="B2449" s="1" t="n">
        <v>45471</v>
      </c>
      <c r="C2449" s="1" t="n">
        <v>45822</v>
      </c>
      <c r="D2449" t="inlineStr">
        <is>
          <t>VÄRMLANDS LÄN</t>
        </is>
      </c>
      <c r="E2449" t="inlineStr">
        <is>
          <t>TORSBY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27270-2024</t>
        </is>
      </c>
      <c r="B2450" s="1" t="n">
        <v>45471</v>
      </c>
      <c r="C2450" s="1" t="n">
        <v>45822</v>
      </c>
      <c r="D2450" t="inlineStr">
        <is>
          <t>VÄRMLANDS LÄN</t>
        </is>
      </c>
      <c r="E2450" t="inlineStr">
        <is>
          <t>TORSBY</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27291-2024</t>
        </is>
      </c>
      <c r="B2451" s="1" t="n">
        <v>45472</v>
      </c>
      <c r="C2451" s="1" t="n">
        <v>45822</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27096-2024</t>
        </is>
      </c>
      <c r="B2452" s="1" t="n">
        <v>45471</v>
      </c>
      <c r="C2452" s="1" t="n">
        <v>45822</v>
      </c>
      <c r="D2452" t="inlineStr">
        <is>
          <t>VÄRMLANDS LÄN</t>
        </is>
      </c>
      <c r="E2452" t="inlineStr">
        <is>
          <t>TORSBY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27273-2024</t>
        </is>
      </c>
      <c r="B2453" s="1" t="n">
        <v>45471</v>
      </c>
      <c r="C2453" s="1" t="n">
        <v>45822</v>
      </c>
      <c r="D2453" t="inlineStr">
        <is>
          <t>VÄRMLANDS LÄN</t>
        </is>
      </c>
      <c r="E2453" t="inlineStr">
        <is>
          <t>TORSBY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27038-2024</t>
        </is>
      </c>
      <c r="B2454" s="1" t="n">
        <v>45471</v>
      </c>
      <c r="C2454" s="1" t="n">
        <v>45822</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27275-2024</t>
        </is>
      </c>
      <c r="B2455" s="1" t="n">
        <v>45471</v>
      </c>
      <c r="C2455" s="1" t="n">
        <v>45822</v>
      </c>
      <c r="D2455" t="inlineStr">
        <is>
          <t>VÄRMLANDS LÄN</t>
        </is>
      </c>
      <c r="E2455" t="inlineStr">
        <is>
          <t>TORSBY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27292-2024</t>
        </is>
      </c>
      <c r="B2456" s="1" t="n">
        <v>45472</v>
      </c>
      <c r="C2456" s="1" t="n">
        <v>45822</v>
      </c>
      <c r="D2456" t="inlineStr">
        <is>
          <t>VÄRMLANDS LÄN</t>
        </is>
      </c>
      <c r="E2456" t="inlineStr">
        <is>
          <t>TORSBY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27363-2024</t>
        </is>
      </c>
      <c r="B2457" s="1" t="n">
        <v>45473</v>
      </c>
      <c r="C2457" s="1" t="n">
        <v>45822</v>
      </c>
      <c r="D2457" t="inlineStr">
        <is>
          <t>VÄRMLANDS LÄN</t>
        </is>
      </c>
      <c r="E2457" t="inlineStr">
        <is>
          <t>TORSBY</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27347-2024</t>
        </is>
      </c>
      <c r="B2458" s="1" t="n">
        <v>45473</v>
      </c>
      <c r="C2458" s="1" t="n">
        <v>45822</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27360-2024</t>
        </is>
      </c>
      <c r="B2459" s="1" t="n">
        <v>45473</v>
      </c>
      <c r="C2459" s="1" t="n">
        <v>45822</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27352-2024</t>
        </is>
      </c>
      <c r="B2460" s="1" t="n">
        <v>45473</v>
      </c>
      <c r="C2460" s="1" t="n">
        <v>45822</v>
      </c>
      <c r="D2460" t="inlineStr">
        <is>
          <t>VÄRMLANDS LÄN</t>
        </is>
      </c>
      <c r="E2460" t="inlineStr">
        <is>
          <t>TORSBY</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27358-2024</t>
        </is>
      </c>
      <c r="B2461" s="1" t="n">
        <v>45473</v>
      </c>
      <c r="C2461" s="1" t="n">
        <v>45822</v>
      </c>
      <c r="D2461" t="inlineStr">
        <is>
          <t>VÄRMLANDS LÄN</t>
        </is>
      </c>
      <c r="E2461" t="inlineStr">
        <is>
          <t>TORSBY</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27346-2024</t>
        </is>
      </c>
      <c r="B2462" s="1" t="n">
        <v>45473</v>
      </c>
      <c r="C2462" s="1" t="n">
        <v>45822</v>
      </c>
      <c r="D2462" t="inlineStr">
        <is>
          <t>VÄRMLANDS LÄN</t>
        </is>
      </c>
      <c r="E2462" t="inlineStr">
        <is>
          <t>TORSBY</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27349-2024</t>
        </is>
      </c>
      <c r="B2463" s="1" t="n">
        <v>45473</v>
      </c>
      <c r="C2463" s="1" t="n">
        <v>45822</v>
      </c>
      <c r="D2463" t="inlineStr">
        <is>
          <t>VÄRMLANDS LÄN</t>
        </is>
      </c>
      <c r="E2463" t="inlineStr">
        <is>
          <t>TORSBY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27548-2024</t>
        </is>
      </c>
      <c r="B2464" s="1" t="n">
        <v>45474</v>
      </c>
      <c r="C2464" s="1" t="n">
        <v>45822</v>
      </c>
      <c r="D2464" t="inlineStr">
        <is>
          <t>VÄRMLANDS LÄN</t>
        </is>
      </c>
      <c r="E2464" t="inlineStr">
        <is>
          <t>TORSBY</t>
        </is>
      </c>
      <c r="F2464" t="inlineStr">
        <is>
          <t>Bergvik skog väst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27615-2024</t>
        </is>
      </c>
      <c r="B2465" s="1" t="n">
        <v>45474</v>
      </c>
      <c r="C2465" s="1" t="n">
        <v>45822</v>
      </c>
      <c r="D2465" t="inlineStr">
        <is>
          <t>VÄRMLANDS LÄN</t>
        </is>
      </c>
      <c r="E2465" t="inlineStr">
        <is>
          <t>TORSBY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27554-2024</t>
        </is>
      </c>
      <c r="B2466" s="1" t="n">
        <v>45474</v>
      </c>
      <c r="C2466" s="1" t="n">
        <v>45822</v>
      </c>
      <c r="D2466" t="inlineStr">
        <is>
          <t>VÄRMLANDS LÄN</t>
        </is>
      </c>
      <c r="E2466" t="inlineStr">
        <is>
          <t>TORSBY</t>
        </is>
      </c>
      <c r="F2466" t="inlineStr">
        <is>
          <t>Bergvik skog väst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27588-2024</t>
        </is>
      </c>
      <c r="B2467" s="1" t="n">
        <v>45474</v>
      </c>
      <c r="C2467" s="1" t="n">
        <v>45822</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27501-2024</t>
        </is>
      </c>
      <c r="B2468" s="1" t="n">
        <v>45474</v>
      </c>
      <c r="C2468" s="1" t="n">
        <v>45822</v>
      </c>
      <c r="D2468" t="inlineStr">
        <is>
          <t>VÄRMLANDS LÄN</t>
        </is>
      </c>
      <c r="E2468" t="inlineStr">
        <is>
          <t>TORSBY</t>
        </is>
      </c>
      <c r="F2468" t="inlineStr">
        <is>
          <t>Bergvik skog väst AB</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27529-2024</t>
        </is>
      </c>
      <c r="B2469" s="1" t="n">
        <v>45474</v>
      </c>
      <c r="C2469" s="1" t="n">
        <v>45822</v>
      </c>
      <c r="D2469" t="inlineStr">
        <is>
          <t>VÄRMLANDS LÄN</t>
        </is>
      </c>
      <c r="E2469" t="inlineStr">
        <is>
          <t>TORSBY</t>
        </is>
      </c>
      <c r="F2469" t="inlineStr">
        <is>
          <t>Bergvik skog väst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27537-2024</t>
        </is>
      </c>
      <c r="B2470" s="1" t="n">
        <v>45474</v>
      </c>
      <c r="C2470" s="1" t="n">
        <v>45822</v>
      </c>
      <c r="D2470" t="inlineStr">
        <is>
          <t>VÄRMLANDS LÄN</t>
        </is>
      </c>
      <c r="E2470" t="inlineStr">
        <is>
          <t>TORSBY</t>
        </is>
      </c>
      <c r="F2470" t="inlineStr">
        <is>
          <t>Bergvik skog väst AB</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27573-2024</t>
        </is>
      </c>
      <c r="B2471" s="1" t="n">
        <v>45474</v>
      </c>
      <c r="C2471" s="1" t="n">
        <v>45822</v>
      </c>
      <c r="D2471" t="inlineStr">
        <is>
          <t>VÄRMLANDS LÄN</t>
        </is>
      </c>
      <c r="E2471" t="inlineStr">
        <is>
          <t>TORSBY</t>
        </is>
      </c>
      <c r="F2471" t="inlineStr">
        <is>
          <t>Bergvik skog väst AB</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27790-2024</t>
        </is>
      </c>
      <c r="B2472" s="1" t="n">
        <v>45475</v>
      </c>
      <c r="C2472" s="1" t="n">
        <v>45822</v>
      </c>
      <c r="D2472" t="inlineStr">
        <is>
          <t>VÄRMLANDS LÄN</t>
        </is>
      </c>
      <c r="E2472" t="inlineStr">
        <is>
          <t>TORSBY</t>
        </is>
      </c>
      <c r="F2472" t="inlineStr">
        <is>
          <t>Bergvik skog väst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27678-2024</t>
        </is>
      </c>
      <c r="B2473" s="1" t="n">
        <v>45475</v>
      </c>
      <c r="C2473" s="1" t="n">
        <v>45822</v>
      </c>
      <c r="D2473" t="inlineStr">
        <is>
          <t>VÄRMLANDS LÄN</t>
        </is>
      </c>
      <c r="E2473" t="inlineStr">
        <is>
          <t>TORSBY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27824-2024</t>
        </is>
      </c>
      <c r="B2474" s="1" t="n">
        <v>45475</v>
      </c>
      <c r="C2474" s="1" t="n">
        <v>45822</v>
      </c>
      <c r="D2474" t="inlineStr">
        <is>
          <t>VÄRMLANDS LÄN</t>
        </is>
      </c>
      <c r="E2474" t="inlineStr">
        <is>
          <t>TORSBY</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27677-2024</t>
        </is>
      </c>
      <c r="B2475" s="1" t="n">
        <v>45475</v>
      </c>
      <c r="C2475" s="1" t="n">
        <v>45822</v>
      </c>
      <c r="D2475" t="inlineStr">
        <is>
          <t>VÄRMLANDS LÄN</t>
        </is>
      </c>
      <c r="E2475" t="inlineStr">
        <is>
          <t>TORSBY</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28102-2024</t>
        </is>
      </c>
      <c r="B2476" s="1" t="n">
        <v>45476</v>
      </c>
      <c r="C2476" s="1" t="n">
        <v>45822</v>
      </c>
      <c r="D2476" t="inlineStr">
        <is>
          <t>VÄRMLANDS LÄN</t>
        </is>
      </c>
      <c r="E2476" t="inlineStr">
        <is>
          <t>TORSBY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28089-2024</t>
        </is>
      </c>
      <c r="B2477" s="1" t="n">
        <v>45476</v>
      </c>
      <c r="C2477" s="1" t="n">
        <v>45822</v>
      </c>
      <c r="D2477" t="inlineStr">
        <is>
          <t>VÄRMLANDS LÄN</t>
        </is>
      </c>
      <c r="E2477" t="inlineStr">
        <is>
          <t>TORSBY</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28112-2024</t>
        </is>
      </c>
      <c r="B2478" s="1" t="n">
        <v>45476</v>
      </c>
      <c r="C2478" s="1" t="n">
        <v>45822</v>
      </c>
      <c r="D2478" t="inlineStr">
        <is>
          <t>VÄRMLANDS LÄN</t>
        </is>
      </c>
      <c r="E2478" t="inlineStr">
        <is>
          <t>TORSBY</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28035-2024</t>
        </is>
      </c>
      <c r="B2479" s="1" t="n">
        <v>45476</v>
      </c>
      <c r="C2479" s="1" t="n">
        <v>45822</v>
      </c>
      <c r="D2479" t="inlineStr">
        <is>
          <t>VÄRMLANDS LÄN</t>
        </is>
      </c>
      <c r="E2479" t="inlineStr">
        <is>
          <t>TORSBY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28005-2024</t>
        </is>
      </c>
      <c r="B2480" s="1" t="n">
        <v>45476</v>
      </c>
      <c r="C2480" s="1" t="n">
        <v>45822</v>
      </c>
      <c r="D2480" t="inlineStr">
        <is>
          <t>VÄRMLANDS LÄN</t>
        </is>
      </c>
      <c r="E2480" t="inlineStr">
        <is>
          <t>TORSBY</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28501-2024</t>
        </is>
      </c>
      <c r="B2481" s="1" t="n">
        <v>45478</v>
      </c>
      <c r="C2481" s="1" t="n">
        <v>45822</v>
      </c>
      <c r="D2481" t="inlineStr">
        <is>
          <t>VÄRMLANDS LÄN</t>
        </is>
      </c>
      <c r="E2481" t="inlineStr">
        <is>
          <t>TORSBY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28319-2024</t>
        </is>
      </c>
      <c r="B2482" s="1" t="n">
        <v>45477</v>
      </c>
      <c r="C2482" s="1" t="n">
        <v>45822</v>
      </c>
      <c r="D2482" t="inlineStr">
        <is>
          <t>VÄRMLANDS LÄN</t>
        </is>
      </c>
      <c r="E2482" t="inlineStr">
        <is>
          <t>TORSBY</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28311-2024</t>
        </is>
      </c>
      <c r="B2483" s="1" t="n">
        <v>45477</v>
      </c>
      <c r="C2483" s="1" t="n">
        <v>45822</v>
      </c>
      <c r="D2483" t="inlineStr">
        <is>
          <t>VÄRMLANDS LÄN</t>
        </is>
      </c>
      <c r="E2483" t="inlineStr">
        <is>
          <t>TORSBY</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28329-2024</t>
        </is>
      </c>
      <c r="B2484" s="1" t="n">
        <v>45477</v>
      </c>
      <c r="C2484" s="1" t="n">
        <v>45822</v>
      </c>
      <c r="D2484" t="inlineStr">
        <is>
          <t>VÄRMLANDS LÄN</t>
        </is>
      </c>
      <c r="E2484" t="inlineStr">
        <is>
          <t>TORSBY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28310-2024</t>
        </is>
      </c>
      <c r="B2485" s="1" t="n">
        <v>45477</v>
      </c>
      <c r="C2485" s="1" t="n">
        <v>45822</v>
      </c>
      <c r="D2485" t="inlineStr">
        <is>
          <t>VÄRMLANDS LÄN</t>
        </is>
      </c>
      <c r="E2485" t="inlineStr">
        <is>
          <t>TORSBY</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28502-2024</t>
        </is>
      </c>
      <c r="B2486" s="1" t="n">
        <v>45478</v>
      </c>
      <c r="C2486" s="1" t="n">
        <v>45822</v>
      </c>
      <c r="D2486" t="inlineStr">
        <is>
          <t>VÄRMLANDS LÄN</t>
        </is>
      </c>
      <c r="E2486" t="inlineStr">
        <is>
          <t>TORSBY</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28249-2024</t>
        </is>
      </c>
      <c r="B2487" s="1" t="n">
        <v>45477</v>
      </c>
      <c r="C2487" s="1" t="n">
        <v>45822</v>
      </c>
      <c r="D2487" t="inlineStr">
        <is>
          <t>VÄRMLANDS LÄN</t>
        </is>
      </c>
      <c r="E2487" t="inlineStr">
        <is>
          <t>TORSBY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28364-2024</t>
        </is>
      </c>
      <c r="B2488" s="1" t="n">
        <v>45477</v>
      </c>
      <c r="C2488" s="1" t="n">
        <v>45822</v>
      </c>
      <c r="D2488" t="inlineStr">
        <is>
          <t>VÄRMLANDS LÄN</t>
        </is>
      </c>
      <c r="E2488" t="inlineStr">
        <is>
          <t>TORSBY</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28284-2024</t>
        </is>
      </c>
      <c r="B2489" s="1" t="n">
        <v>45477</v>
      </c>
      <c r="C2489" s="1" t="n">
        <v>45822</v>
      </c>
      <c r="D2489" t="inlineStr">
        <is>
          <t>VÄRMLANDS LÄN</t>
        </is>
      </c>
      <c r="E2489" t="inlineStr">
        <is>
          <t>TORSBY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28539-2024</t>
        </is>
      </c>
      <c r="B2490" s="1" t="n">
        <v>45478</v>
      </c>
      <c r="C2490" s="1" t="n">
        <v>45822</v>
      </c>
      <c r="D2490" t="inlineStr">
        <is>
          <t>VÄRMLANDS LÄN</t>
        </is>
      </c>
      <c r="E2490" t="inlineStr">
        <is>
          <t>TORSBY</t>
        </is>
      </c>
      <c r="F2490" t="inlineStr">
        <is>
          <t>Bergvik skog väst AB</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28619-2024</t>
        </is>
      </c>
      <c r="B2491" s="1" t="n">
        <v>45478</v>
      </c>
      <c r="C2491" s="1" t="n">
        <v>45822</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28554-2024</t>
        </is>
      </c>
      <c r="B2492" s="1" t="n">
        <v>45478</v>
      </c>
      <c r="C2492" s="1" t="n">
        <v>45822</v>
      </c>
      <c r="D2492" t="inlineStr">
        <is>
          <t>VÄRMLANDS LÄN</t>
        </is>
      </c>
      <c r="E2492" t="inlineStr">
        <is>
          <t>TORSBY</t>
        </is>
      </c>
      <c r="F2492" t="inlineStr">
        <is>
          <t>Bergvik skog väst AB</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28646-2024</t>
        </is>
      </c>
      <c r="B2493" s="1" t="n">
        <v>45478</v>
      </c>
      <c r="C2493" s="1" t="n">
        <v>45822</v>
      </c>
      <c r="D2493" t="inlineStr">
        <is>
          <t>VÄRMLANDS LÄN</t>
        </is>
      </c>
      <c r="E2493" t="inlineStr">
        <is>
          <t>TORSBY</t>
        </is>
      </c>
      <c r="F2493" t="inlineStr">
        <is>
          <t>Bergvik skog väst AB</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28545-2024</t>
        </is>
      </c>
      <c r="B2494" s="1" t="n">
        <v>45478</v>
      </c>
      <c r="C2494" s="1" t="n">
        <v>45822</v>
      </c>
      <c r="D2494" t="inlineStr">
        <is>
          <t>VÄRMLANDS LÄN</t>
        </is>
      </c>
      <c r="E2494" t="inlineStr">
        <is>
          <t>TORSBY</t>
        </is>
      </c>
      <c r="F2494" t="inlineStr">
        <is>
          <t>Bergvik skog väst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28589-2024</t>
        </is>
      </c>
      <c r="B2495" s="1" t="n">
        <v>45478</v>
      </c>
      <c r="C2495" s="1" t="n">
        <v>45822</v>
      </c>
      <c r="D2495" t="inlineStr">
        <is>
          <t>VÄRMLANDS LÄN</t>
        </is>
      </c>
      <c r="E2495" t="inlineStr">
        <is>
          <t>TORSBY</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28624-2024</t>
        </is>
      </c>
      <c r="B2496" s="1" t="n">
        <v>45478</v>
      </c>
      <c r="C2496" s="1" t="n">
        <v>45822</v>
      </c>
      <c r="D2496" t="inlineStr">
        <is>
          <t>VÄRMLANDS LÄN</t>
        </is>
      </c>
      <c r="E2496" t="inlineStr">
        <is>
          <t>TORSBY</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28673-2024</t>
        </is>
      </c>
      <c r="B2497" s="1" t="n">
        <v>45478</v>
      </c>
      <c r="C2497" s="1" t="n">
        <v>45822</v>
      </c>
      <c r="D2497" t="inlineStr">
        <is>
          <t>VÄRMLANDS LÄN</t>
        </is>
      </c>
      <c r="E2497" t="inlineStr">
        <is>
          <t>TORSBY</t>
        </is>
      </c>
      <c r="F2497" t="inlineStr">
        <is>
          <t>Bergvik skog väst AB</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28609-2024</t>
        </is>
      </c>
      <c r="B2498" s="1" t="n">
        <v>45478</v>
      </c>
      <c r="C2498" s="1" t="n">
        <v>45822</v>
      </c>
      <c r="D2498" t="inlineStr">
        <is>
          <t>VÄRMLANDS LÄN</t>
        </is>
      </c>
      <c r="E2498" t="inlineStr">
        <is>
          <t>TORSBY</t>
        </is>
      </c>
      <c r="F2498" t="inlineStr">
        <is>
          <t>Bergvik skog väst AB</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28621-2024</t>
        </is>
      </c>
      <c r="B2499" s="1" t="n">
        <v>45478</v>
      </c>
      <c r="C2499" s="1" t="n">
        <v>45822</v>
      </c>
      <c r="D2499" t="inlineStr">
        <is>
          <t>VÄRMLANDS LÄN</t>
        </is>
      </c>
      <c r="E2499" t="inlineStr">
        <is>
          <t>TORSBY</t>
        </is>
      </c>
      <c r="F2499" t="inlineStr">
        <is>
          <t>Bergvik skog väst AB</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28637-2024</t>
        </is>
      </c>
      <c r="B2500" s="1" t="n">
        <v>45478</v>
      </c>
      <c r="C2500" s="1" t="n">
        <v>45822</v>
      </c>
      <c r="D2500" t="inlineStr">
        <is>
          <t>VÄRMLANDS LÄN</t>
        </is>
      </c>
      <c r="E2500" t="inlineStr">
        <is>
          <t>TORSBY</t>
        </is>
      </c>
      <c r="F2500" t="inlineStr">
        <is>
          <t>Bergvik skog väst AB</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28948-2024</t>
        </is>
      </c>
      <c r="B2501" s="1" t="n">
        <v>45481</v>
      </c>
      <c r="C2501" s="1" t="n">
        <v>45822</v>
      </c>
      <c r="D2501" t="inlineStr">
        <is>
          <t>VÄRMLANDS LÄN</t>
        </is>
      </c>
      <c r="E2501" t="inlineStr">
        <is>
          <t>TORSBY</t>
        </is>
      </c>
      <c r="G2501" t="n">
        <v>11.8</v>
      </c>
      <c r="H2501" t="n">
        <v>0</v>
      </c>
      <c r="I2501" t="n">
        <v>0</v>
      </c>
      <c r="J2501" t="n">
        <v>0</v>
      </c>
      <c r="K2501" t="n">
        <v>0</v>
      </c>
      <c r="L2501" t="n">
        <v>0</v>
      </c>
      <c r="M2501" t="n">
        <v>0</v>
      </c>
      <c r="N2501" t="n">
        <v>0</v>
      </c>
      <c r="O2501" t="n">
        <v>0</v>
      </c>
      <c r="P2501" t="n">
        <v>0</v>
      </c>
      <c r="Q2501" t="n">
        <v>0</v>
      </c>
      <c r="R2501" s="2" t="inlineStr"/>
    </row>
    <row r="2502" ht="15" customHeight="1">
      <c r="A2502" t="inlineStr">
        <is>
          <t>A 28987-2024</t>
        </is>
      </c>
      <c r="B2502" s="1" t="n">
        <v>45481</v>
      </c>
      <c r="C2502" s="1" t="n">
        <v>45822</v>
      </c>
      <c r="D2502" t="inlineStr">
        <is>
          <t>VÄRMLANDS LÄN</t>
        </is>
      </c>
      <c r="E2502" t="inlineStr">
        <is>
          <t>TORSBY</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29306-2024</t>
        </is>
      </c>
      <c r="B2503" s="1" t="n">
        <v>45483</v>
      </c>
      <c r="C2503" s="1" t="n">
        <v>45822</v>
      </c>
      <c r="D2503" t="inlineStr">
        <is>
          <t>VÄRMLANDS LÄN</t>
        </is>
      </c>
      <c r="E2503" t="inlineStr">
        <is>
          <t>TORSBY</t>
        </is>
      </c>
      <c r="F2503" t="inlineStr">
        <is>
          <t>Kyrkan</t>
        </is>
      </c>
      <c r="G2503" t="n">
        <v>18.3</v>
      </c>
      <c r="H2503" t="n">
        <v>0</v>
      </c>
      <c r="I2503" t="n">
        <v>0</v>
      </c>
      <c r="J2503" t="n">
        <v>0</v>
      </c>
      <c r="K2503" t="n">
        <v>0</v>
      </c>
      <c r="L2503" t="n">
        <v>0</v>
      </c>
      <c r="M2503" t="n">
        <v>0</v>
      </c>
      <c r="N2503" t="n">
        <v>0</v>
      </c>
      <c r="O2503" t="n">
        <v>0</v>
      </c>
      <c r="P2503" t="n">
        <v>0</v>
      </c>
      <c r="Q2503" t="n">
        <v>0</v>
      </c>
      <c r="R2503" s="2" t="inlineStr"/>
    </row>
    <row r="2504" ht="15" customHeight="1">
      <c r="A2504" t="inlineStr">
        <is>
          <t>A 29408-2024</t>
        </is>
      </c>
      <c r="B2504" s="1" t="n">
        <v>45483</v>
      </c>
      <c r="C2504" s="1" t="n">
        <v>45822</v>
      </c>
      <c r="D2504" t="inlineStr">
        <is>
          <t>VÄRMLANDS LÄN</t>
        </is>
      </c>
      <c r="E2504" t="inlineStr">
        <is>
          <t>TORSBY</t>
        </is>
      </c>
      <c r="F2504" t="inlineStr">
        <is>
          <t>Bergvik skog väst AB</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29375-2024</t>
        </is>
      </c>
      <c r="B2505" s="1" t="n">
        <v>45483</v>
      </c>
      <c r="C2505" s="1" t="n">
        <v>45822</v>
      </c>
      <c r="D2505" t="inlineStr">
        <is>
          <t>VÄRMLANDS LÄN</t>
        </is>
      </c>
      <c r="E2505" t="inlineStr">
        <is>
          <t>TORSBY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29541-2024</t>
        </is>
      </c>
      <c r="B2506" s="1" t="n">
        <v>45484</v>
      </c>
      <c r="C2506" s="1" t="n">
        <v>45822</v>
      </c>
      <c r="D2506" t="inlineStr">
        <is>
          <t>VÄRMLANDS LÄN</t>
        </is>
      </c>
      <c r="E2506" t="inlineStr">
        <is>
          <t>TORSBY</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29549-2024</t>
        </is>
      </c>
      <c r="B2507" s="1" t="n">
        <v>45484</v>
      </c>
      <c r="C2507" s="1" t="n">
        <v>45822</v>
      </c>
      <c r="D2507" t="inlineStr">
        <is>
          <t>VÄRMLANDS LÄN</t>
        </is>
      </c>
      <c r="E2507" t="inlineStr">
        <is>
          <t>TORSBY</t>
        </is>
      </c>
      <c r="F2507" t="inlineStr">
        <is>
          <t>Bergvik skog väst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29593-2024</t>
        </is>
      </c>
      <c r="B2508" s="1" t="n">
        <v>45484</v>
      </c>
      <c r="C2508" s="1" t="n">
        <v>45822</v>
      </c>
      <c r="D2508" t="inlineStr">
        <is>
          <t>VÄRMLANDS LÄN</t>
        </is>
      </c>
      <c r="E2508" t="inlineStr">
        <is>
          <t>TORSBY</t>
        </is>
      </c>
      <c r="F2508" t="inlineStr">
        <is>
          <t>Bergvik skog väst AB</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29535-2024</t>
        </is>
      </c>
      <c r="B2509" s="1" t="n">
        <v>45484</v>
      </c>
      <c r="C2509" s="1" t="n">
        <v>45822</v>
      </c>
      <c r="D2509" t="inlineStr">
        <is>
          <t>VÄRMLANDS LÄN</t>
        </is>
      </c>
      <c r="E2509" t="inlineStr">
        <is>
          <t>TORSBY</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29559-2024</t>
        </is>
      </c>
      <c r="B2510" s="1" t="n">
        <v>45484</v>
      </c>
      <c r="C2510" s="1" t="n">
        <v>45822</v>
      </c>
      <c r="D2510" t="inlineStr">
        <is>
          <t>VÄRMLANDS LÄN</t>
        </is>
      </c>
      <c r="E2510" t="inlineStr">
        <is>
          <t>TORSBY</t>
        </is>
      </c>
      <c r="F2510" t="inlineStr">
        <is>
          <t>Bergvik skog väst AB</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29502-2024</t>
        </is>
      </c>
      <c r="B2511" s="1" t="n">
        <v>45484</v>
      </c>
      <c r="C2511" s="1" t="n">
        <v>45822</v>
      </c>
      <c r="D2511" t="inlineStr">
        <is>
          <t>VÄRMLANDS LÄN</t>
        </is>
      </c>
      <c r="E2511" t="inlineStr">
        <is>
          <t>TORSBY</t>
        </is>
      </c>
      <c r="F2511" t="inlineStr">
        <is>
          <t>Bergvik skog väst AB</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29759-2024</t>
        </is>
      </c>
      <c r="B2512" s="1" t="n">
        <v>45485</v>
      </c>
      <c r="C2512" s="1" t="n">
        <v>45822</v>
      </c>
      <c r="D2512" t="inlineStr">
        <is>
          <t>VÄRMLANDS LÄN</t>
        </is>
      </c>
      <c r="E2512" t="inlineStr">
        <is>
          <t>TORSBY</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29852-2024</t>
        </is>
      </c>
      <c r="B2513" s="1" t="n">
        <v>45485</v>
      </c>
      <c r="C2513" s="1" t="n">
        <v>45822</v>
      </c>
      <c r="D2513" t="inlineStr">
        <is>
          <t>VÄRMLANDS LÄN</t>
        </is>
      </c>
      <c r="E2513" t="inlineStr">
        <is>
          <t>TORSBY</t>
        </is>
      </c>
      <c r="F2513" t="inlineStr">
        <is>
          <t>Bergvik skog väst AB</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29898-2024</t>
        </is>
      </c>
      <c r="B2514" s="1" t="n">
        <v>45487</v>
      </c>
      <c r="C2514" s="1" t="n">
        <v>45822</v>
      </c>
      <c r="D2514" t="inlineStr">
        <is>
          <t>VÄRMLANDS LÄN</t>
        </is>
      </c>
      <c r="E2514" t="inlineStr">
        <is>
          <t>TORSBY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29895-2024</t>
        </is>
      </c>
      <c r="B2515" s="1" t="n">
        <v>45487</v>
      </c>
      <c r="C2515" s="1" t="n">
        <v>45822</v>
      </c>
      <c r="D2515" t="inlineStr">
        <is>
          <t>VÄRMLANDS LÄN</t>
        </is>
      </c>
      <c r="E2515" t="inlineStr">
        <is>
          <t>TORSBY</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29897-2024</t>
        </is>
      </c>
      <c r="B2516" s="1" t="n">
        <v>45487</v>
      </c>
      <c r="C2516" s="1" t="n">
        <v>45822</v>
      </c>
      <c r="D2516" t="inlineStr">
        <is>
          <t>VÄRMLANDS LÄN</t>
        </is>
      </c>
      <c r="E2516" t="inlineStr">
        <is>
          <t>TORSBY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29936-2024</t>
        </is>
      </c>
      <c r="B2517" s="1" t="n">
        <v>45488</v>
      </c>
      <c r="C2517" s="1" t="n">
        <v>45822</v>
      </c>
      <c r="D2517" t="inlineStr">
        <is>
          <t>VÄRMLANDS LÄN</t>
        </is>
      </c>
      <c r="E2517" t="inlineStr">
        <is>
          <t>TORSBY</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29925-2024</t>
        </is>
      </c>
      <c r="B2518" s="1" t="n">
        <v>45488</v>
      </c>
      <c r="C2518" s="1" t="n">
        <v>45822</v>
      </c>
      <c r="D2518" t="inlineStr">
        <is>
          <t>VÄRMLANDS LÄN</t>
        </is>
      </c>
      <c r="E2518" t="inlineStr">
        <is>
          <t>TORSBY</t>
        </is>
      </c>
      <c r="F2518" t="inlineStr">
        <is>
          <t>Kyrkan</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30002-2024</t>
        </is>
      </c>
      <c r="B2519" s="1" t="n">
        <v>45488</v>
      </c>
      <c r="C2519" s="1" t="n">
        <v>45822</v>
      </c>
      <c r="D2519" t="inlineStr">
        <is>
          <t>VÄRMLANDS LÄN</t>
        </is>
      </c>
      <c r="E2519" t="inlineStr">
        <is>
          <t>TORSBY</t>
        </is>
      </c>
      <c r="F2519" t="inlineStr">
        <is>
          <t>Kommuner</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30011-2024</t>
        </is>
      </c>
      <c r="B2520" s="1" t="n">
        <v>45488</v>
      </c>
      <c r="C2520" s="1" t="n">
        <v>45822</v>
      </c>
      <c r="D2520" t="inlineStr">
        <is>
          <t>VÄRMLANDS LÄN</t>
        </is>
      </c>
      <c r="E2520" t="inlineStr">
        <is>
          <t>TORSBY</t>
        </is>
      </c>
      <c r="F2520" t="inlineStr">
        <is>
          <t>Kommuner</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29926-2024</t>
        </is>
      </c>
      <c r="B2521" s="1" t="n">
        <v>45488</v>
      </c>
      <c r="C2521" s="1" t="n">
        <v>45822</v>
      </c>
      <c r="D2521" t="inlineStr">
        <is>
          <t>VÄRMLANDS LÄN</t>
        </is>
      </c>
      <c r="E2521" t="inlineStr">
        <is>
          <t>TORSBY</t>
        </is>
      </c>
      <c r="F2521" t="inlineStr">
        <is>
          <t>Kommuner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30074-2024</t>
        </is>
      </c>
      <c r="B2522" s="1" t="n">
        <v>45489</v>
      </c>
      <c r="C2522" s="1" t="n">
        <v>45822</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30267-2024</t>
        </is>
      </c>
      <c r="B2523" s="1" t="n">
        <v>45490</v>
      </c>
      <c r="C2523" s="1" t="n">
        <v>45822</v>
      </c>
      <c r="D2523" t="inlineStr">
        <is>
          <t>VÄRMLANDS LÄN</t>
        </is>
      </c>
      <c r="E2523" t="inlineStr">
        <is>
          <t>TORSBY</t>
        </is>
      </c>
      <c r="F2523" t="inlineStr">
        <is>
          <t>Bergvik skog väst AB</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30403-2024</t>
        </is>
      </c>
      <c r="B2524" s="1" t="n">
        <v>45491</v>
      </c>
      <c r="C2524" s="1" t="n">
        <v>45822</v>
      </c>
      <c r="D2524" t="inlineStr">
        <is>
          <t>VÄRMLANDS LÄN</t>
        </is>
      </c>
      <c r="E2524" t="inlineStr">
        <is>
          <t>TORSBY</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30629-2024</t>
        </is>
      </c>
      <c r="B2525" s="1" t="n">
        <v>45495</v>
      </c>
      <c r="C2525" s="1" t="n">
        <v>45822</v>
      </c>
      <c r="D2525" t="inlineStr">
        <is>
          <t>VÄRMLANDS LÄN</t>
        </is>
      </c>
      <c r="E2525" t="inlineStr">
        <is>
          <t>TORSBY</t>
        </is>
      </c>
      <c r="F2525" t="inlineStr">
        <is>
          <t>Bergvik skog väst AB</t>
        </is>
      </c>
      <c r="G2525" t="n">
        <v>12.8</v>
      </c>
      <c r="H2525" t="n">
        <v>0</v>
      </c>
      <c r="I2525" t="n">
        <v>0</v>
      </c>
      <c r="J2525" t="n">
        <v>0</v>
      </c>
      <c r="K2525" t="n">
        <v>0</v>
      </c>
      <c r="L2525" t="n">
        <v>0</v>
      </c>
      <c r="M2525" t="n">
        <v>0</v>
      </c>
      <c r="N2525" t="n">
        <v>0</v>
      </c>
      <c r="O2525" t="n">
        <v>0</v>
      </c>
      <c r="P2525" t="n">
        <v>0</v>
      </c>
      <c r="Q2525" t="n">
        <v>0</v>
      </c>
      <c r="R2525" s="2" t="inlineStr"/>
    </row>
    <row r="2526" ht="15" customHeight="1">
      <c r="A2526" t="inlineStr">
        <is>
          <t>A 30718-2024</t>
        </is>
      </c>
      <c r="B2526" s="1" t="n">
        <v>45496</v>
      </c>
      <c r="C2526" s="1" t="n">
        <v>45822</v>
      </c>
      <c r="D2526" t="inlineStr">
        <is>
          <t>VÄRMLANDS LÄN</t>
        </is>
      </c>
      <c r="E2526" t="inlineStr">
        <is>
          <t>TORSBY</t>
        </is>
      </c>
      <c r="F2526" t="inlineStr">
        <is>
          <t>Bergvik skog väst AB</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30706-2024</t>
        </is>
      </c>
      <c r="B2527" s="1" t="n">
        <v>45496</v>
      </c>
      <c r="C2527" s="1" t="n">
        <v>45822</v>
      </c>
      <c r="D2527" t="inlineStr">
        <is>
          <t>VÄRMLANDS LÄN</t>
        </is>
      </c>
      <c r="E2527" t="inlineStr">
        <is>
          <t>TORSBY</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30720-2024</t>
        </is>
      </c>
      <c r="B2528" s="1" t="n">
        <v>45496</v>
      </c>
      <c r="C2528" s="1" t="n">
        <v>45822</v>
      </c>
      <c r="D2528" t="inlineStr">
        <is>
          <t>VÄRMLANDS LÄN</t>
        </is>
      </c>
      <c r="E2528" t="inlineStr">
        <is>
          <t>TORSBY</t>
        </is>
      </c>
      <c r="F2528" t="inlineStr">
        <is>
          <t>Bergvik skog väst AB</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30700-2024</t>
        </is>
      </c>
      <c r="B2529" s="1" t="n">
        <v>45496</v>
      </c>
      <c r="C2529" s="1" t="n">
        <v>45822</v>
      </c>
      <c r="D2529" t="inlineStr">
        <is>
          <t>VÄRMLANDS LÄN</t>
        </is>
      </c>
      <c r="E2529" t="inlineStr">
        <is>
          <t>TORSBY</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30696-2024</t>
        </is>
      </c>
      <c r="B2530" s="1" t="n">
        <v>45496</v>
      </c>
      <c r="C2530" s="1" t="n">
        <v>45822</v>
      </c>
      <c r="D2530" t="inlineStr">
        <is>
          <t>VÄRMLANDS LÄN</t>
        </is>
      </c>
      <c r="E2530" t="inlineStr">
        <is>
          <t>TORSBY</t>
        </is>
      </c>
      <c r="F2530" t="inlineStr">
        <is>
          <t>Bergvik skog väst AB</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30699-2024</t>
        </is>
      </c>
      <c r="B2531" s="1" t="n">
        <v>45496</v>
      </c>
      <c r="C2531" s="1" t="n">
        <v>45822</v>
      </c>
      <c r="D2531" t="inlineStr">
        <is>
          <t>VÄRMLANDS LÄN</t>
        </is>
      </c>
      <c r="E2531" t="inlineStr">
        <is>
          <t>TORSBY</t>
        </is>
      </c>
      <c r="F2531" t="inlineStr">
        <is>
          <t>Kyrkan</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30705-2024</t>
        </is>
      </c>
      <c r="B2532" s="1" t="n">
        <v>45496</v>
      </c>
      <c r="C2532" s="1" t="n">
        <v>45822</v>
      </c>
      <c r="D2532" t="inlineStr">
        <is>
          <t>VÄRMLANDS LÄN</t>
        </is>
      </c>
      <c r="E2532" t="inlineStr">
        <is>
          <t>TORSBY</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30790-2024</t>
        </is>
      </c>
      <c r="B2533" s="1" t="n">
        <v>45497</v>
      </c>
      <c r="C2533" s="1" t="n">
        <v>45822</v>
      </c>
      <c r="D2533" t="inlineStr">
        <is>
          <t>VÄRMLANDS LÄN</t>
        </is>
      </c>
      <c r="E2533" t="inlineStr">
        <is>
          <t>TORSBY</t>
        </is>
      </c>
      <c r="G2533" t="n">
        <v>49.9</v>
      </c>
      <c r="H2533" t="n">
        <v>0</v>
      </c>
      <c r="I2533" t="n">
        <v>0</v>
      </c>
      <c r="J2533" t="n">
        <v>0</v>
      </c>
      <c r="K2533" t="n">
        <v>0</v>
      </c>
      <c r="L2533" t="n">
        <v>0</v>
      </c>
      <c r="M2533" t="n">
        <v>0</v>
      </c>
      <c r="N2533" t="n">
        <v>0</v>
      </c>
      <c r="O2533" t="n">
        <v>0</v>
      </c>
      <c r="P2533" t="n">
        <v>0</v>
      </c>
      <c r="Q2533" t="n">
        <v>0</v>
      </c>
      <c r="R2533" s="2" t="inlineStr"/>
    </row>
    <row r="2534" ht="15" customHeight="1">
      <c r="A2534" t="inlineStr">
        <is>
          <t>A 30789-2024</t>
        </is>
      </c>
      <c r="B2534" s="1" t="n">
        <v>45497</v>
      </c>
      <c r="C2534" s="1" t="n">
        <v>45822</v>
      </c>
      <c r="D2534" t="inlineStr">
        <is>
          <t>VÄRMLANDS LÄN</t>
        </is>
      </c>
      <c r="E2534" t="inlineStr">
        <is>
          <t>TORSBY</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30803-2024</t>
        </is>
      </c>
      <c r="B2535" s="1" t="n">
        <v>45497</v>
      </c>
      <c r="C2535" s="1" t="n">
        <v>45822</v>
      </c>
      <c r="D2535" t="inlineStr">
        <is>
          <t>VÄRMLANDS LÄN</t>
        </is>
      </c>
      <c r="E2535" t="inlineStr">
        <is>
          <t>TORSBY</t>
        </is>
      </c>
      <c r="F2535" t="inlineStr">
        <is>
          <t>Kyrkan</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30791-2024</t>
        </is>
      </c>
      <c r="B2536" s="1" t="n">
        <v>45497</v>
      </c>
      <c r="C2536" s="1" t="n">
        <v>45822</v>
      </c>
      <c r="D2536" t="inlineStr">
        <is>
          <t>VÄRMLANDS LÄN</t>
        </is>
      </c>
      <c r="E2536" t="inlineStr">
        <is>
          <t>TORSBY</t>
        </is>
      </c>
      <c r="G2536" t="n">
        <v>44.2</v>
      </c>
      <c r="H2536" t="n">
        <v>0</v>
      </c>
      <c r="I2536" t="n">
        <v>0</v>
      </c>
      <c r="J2536" t="n">
        <v>0</v>
      </c>
      <c r="K2536" t="n">
        <v>0</v>
      </c>
      <c r="L2536" t="n">
        <v>0</v>
      </c>
      <c r="M2536" t="n">
        <v>0</v>
      </c>
      <c r="N2536" t="n">
        <v>0</v>
      </c>
      <c r="O2536" t="n">
        <v>0</v>
      </c>
      <c r="P2536" t="n">
        <v>0</v>
      </c>
      <c r="Q2536" t="n">
        <v>0</v>
      </c>
      <c r="R2536" s="2" t="inlineStr"/>
    </row>
    <row r="2537" ht="15" customHeight="1">
      <c r="A2537" t="inlineStr">
        <is>
          <t>A 30873-2024</t>
        </is>
      </c>
      <c r="B2537" s="1" t="n">
        <v>45498</v>
      </c>
      <c r="C2537" s="1" t="n">
        <v>45822</v>
      </c>
      <c r="D2537" t="inlineStr">
        <is>
          <t>VÄRMLANDS LÄN</t>
        </is>
      </c>
      <c r="E2537" t="inlineStr">
        <is>
          <t>TORSBY</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30952-2024</t>
        </is>
      </c>
      <c r="B2538" s="1" t="n">
        <v>45499</v>
      </c>
      <c r="C2538" s="1" t="n">
        <v>45822</v>
      </c>
      <c r="D2538" t="inlineStr">
        <is>
          <t>VÄRMLANDS LÄN</t>
        </is>
      </c>
      <c r="E2538" t="inlineStr">
        <is>
          <t>TORSBY</t>
        </is>
      </c>
      <c r="F2538" t="inlineStr">
        <is>
          <t>Bergvik skog väst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30947-2024</t>
        </is>
      </c>
      <c r="B2539" s="1" t="n">
        <v>45499</v>
      </c>
      <c r="C2539" s="1" t="n">
        <v>45822</v>
      </c>
      <c r="D2539" t="inlineStr">
        <is>
          <t>VÄRMLANDS LÄN</t>
        </is>
      </c>
      <c r="E2539" t="inlineStr">
        <is>
          <t>TORSBY</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31004-2024</t>
        </is>
      </c>
      <c r="B2540" s="1" t="n">
        <v>45499</v>
      </c>
      <c r="C2540" s="1" t="n">
        <v>45822</v>
      </c>
      <c r="D2540" t="inlineStr">
        <is>
          <t>VÄRMLANDS LÄN</t>
        </is>
      </c>
      <c r="E2540" t="inlineStr">
        <is>
          <t>TORSBY</t>
        </is>
      </c>
      <c r="F2540" t="inlineStr">
        <is>
          <t>Bergvik skog väst AB</t>
        </is>
      </c>
      <c r="G2540" t="n">
        <v>14.2</v>
      </c>
      <c r="H2540" t="n">
        <v>0</v>
      </c>
      <c r="I2540" t="n">
        <v>0</v>
      </c>
      <c r="J2540" t="n">
        <v>0</v>
      </c>
      <c r="K2540" t="n">
        <v>0</v>
      </c>
      <c r="L2540" t="n">
        <v>0</v>
      </c>
      <c r="M2540" t="n">
        <v>0</v>
      </c>
      <c r="N2540" t="n">
        <v>0</v>
      </c>
      <c r="O2540" t="n">
        <v>0</v>
      </c>
      <c r="P2540" t="n">
        <v>0</v>
      </c>
      <c r="Q2540" t="n">
        <v>0</v>
      </c>
      <c r="R2540" s="2" t="inlineStr"/>
    </row>
    <row r="2541" ht="15" customHeight="1">
      <c r="A2541" t="inlineStr">
        <is>
          <t>A 30942-2024</t>
        </is>
      </c>
      <c r="B2541" s="1" t="n">
        <v>45499</v>
      </c>
      <c r="C2541" s="1" t="n">
        <v>45822</v>
      </c>
      <c r="D2541" t="inlineStr">
        <is>
          <t>VÄRMLANDS LÄN</t>
        </is>
      </c>
      <c r="E2541" t="inlineStr">
        <is>
          <t>TORSBY</t>
        </is>
      </c>
      <c r="F2541" t="inlineStr">
        <is>
          <t>Bergvik skog väst AB</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31089-2024</t>
        </is>
      </c>
      <c r="B2542" s="1" t="n">
        <v>45502</v>
      </c>
      <c r="C2542" s="1" t="n">
        <v>45822</v>
      </c>
      <c r="D2542" t="inlineStr">
        <is>
          <t>VÄRMLANDS LÄN</t>
        </is>
      </c>
      <c r="E2542" t="inlineStr">
        <is>
          <t>TORSBY</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31158-2024</t>
        </is>
      </c>
      <c r="B2543" s="1" t="n">
        <v>45503</v>
      </c>
      <c r="C2543" s="1" t="n">
        <v>45822</v>
      </c>
      <c r="D2543" t="inlineStr">
        <is>
          <t>VÄRMLANDS LÄN</t>
        </is>
      </c>
      <c r="E2543" t="inlineStr">
        <is>
          <t>TORSBY</t>
        </is>
      </c>
      <c r="F2543" t="inlineStr">
        <is>
          <t>Kyrkan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31164-2024</t>
        </is>
      </c>
      <c r="B2544" s="1" t="n">
        <v>45503</v>
      </c>
      <c r="C2544" s="1" t="n">
        <v>45822</v>
      </c>
      <c r="D2544" t="inlineStr">
        <is>
          <t>VÄRMLANDS LÄN</t>
        </is>
      </c>
      <c r="E2544" t="inlineStr">
        <is>
          <t>TORSBY</t>
        </is>
      </c>
      <c r="F2544" t="inlineStr">
        <is>
          <t>Kyrkan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31285-2024</t>
        </is>
      </c>
      <c r="B2545" s="1" t="n">
        <v>45504</v>
      </c>
      <c r="C2545" s="1" t="n">
        <v>45822</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31289-2024</t>
        </is>
      </c>
      <c r="B2546" s="1" t="n">
        <v>45504</v>
      </c>
      <c r="C2546" s="1" t="n">
        <v>45822</v>
      </c>
      <c r="D2546" t="inlineStr">
        <is>
          <t>VÄRMLANDS LÄN</t>
        </is>
      </c>
      <c r="E2546" t="inlineStr">
        <is>
          <t>TORSBY</t>
        </is>
      </c>
      <c r="G2546" t="n">
        <v>16.8</v>
      </c>
      <c r="H2546" t="n">
        <v>0</v>
      </c>
      <c r="I2546" t="n">
        <v>0</v>
      </c>
      <c r="J2546" t="n">
        <v>0</v>
      </c>
      <c r="K2546" t="n">
        <v>0</v>
      </c>
      <c r="L2546" t="n">
        <v>0</v>
      </c>
      <c r="M2546" t="n">
        <v>0</v>
      </c>
      <c r="N2546" t="n">
        <v>0</v>
      </c>
      <c r="O2546" t="n">
        <v>0</v>
      </c>
      <c r="P2546" t="n">
        <v>0</v>
      </c>
      <c r="Q2546" t="n">
        <v>0</v>
      </c>
      <c r="R2546" s="2" t="inlineStr"/>
    </row>
    <row r="2547" ht="15" customHeight="1">
      <c r="A2547" t="inlineStr">
        <is>
          <t>A 31380-2024</t>
        </is>
      </c>
      <c r="B2547" s="1" t="n">
        <v>45505</v>
      </c>
      <c r="C2547" s="1" t="n">
        <v>45822</v>
      </c>
      <c r="D2547" t="inlineStr">
        <is>
          <t>VÄRMLANDS LÄN</t>
        </is>
      </c>
      <c r="E2547" t="inlineStr">
        <is>
          <t>TORSBY</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31385-2024</t>
        </is>
      </c>
      <c r="B2548" s="1" t="n">
        <v>45505</v>
      </c>
      <c r="C2548" s="1" t="n">
        <v>45822</v>
      </c>
      <c r="D2548" t="inlineStr">
        <is>
          <t>VÄRMLANDS LÄN</t>
        </is>
      </c>
      <c r="E2548" t="inlineStr">
        <is>
          <t>TORSBY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31377-2024</t>
        </is>
      </c>
      <c r="B2549" s="1" t="n">
        <v>45505</v>
      </c>
      <c r="C2549" s="1" t="n">
        <v>45822</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31351-2024</t>
        </is>
      </c>
      <c r="B2550" s="1" t="n">
        <v>45505</v>
      </c>
      <c r="C2550" s="1" t="n">
        <v>45822</v>
      </c>
      <c r="D2550" t="inlineStr">
        <is>
          <t>VÄRMLANDS LÄN</t>
        </is>
      </c>
      <c r="E2550" t="inlineStr">
        <is>
          <t>TORSBY</t>
        </is>
      </c>
      <c r="F2550" t="inlineStr">
        <is>
          <t>Kyrkan</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31767-2024</t>
        </is>
      </c>
      <c r="B2551" s="1" t="n">
        <v>45509</v>
      </c>
      <c r="C2551" s="1" t="n">
        <v>45822</v>
      </c>
      <c r="D2551" t="inlineStr">
        <is>
          <t>VÄRMLANDS LÄN</t>
        </is>
      </c>
      <c r="E2551" t="inlineStr">
        <is>
          <t>TORSBY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31716-2024</t>
        </is>
      </c>
      <c r="B2552" s="1" t="n">
        <v>45509</v>
      </c>
      <c r="C2552" s="1" t="n">
        <v>45822</v>
      </c>
      <c r="D2552" t="inlineStr">
        <is>
          <t>VÄRMLANDS LÄN</t>
        </is>
      </c>
      <c r="E2552" t="inlineStr">
        <is>
          <t>TORSBY</t>
        </is>
      </c>
      <c r="F2552" t="inlineStr">
        <is>
          <t>Bergvik skog väst AB</t>
        </is>
      </c>
      <c r="G2552" t="n">
        <v>19.3</v>
      </c>
      <c r="H2552" t="n">
        <v>0</v>
      </c>
      <c r="I2552" t="n">
        <v>0</v>
      </c>
      <c r="J2552" t="n">
        <v>0</v>
      </c>
      <c r="K2552" t="n">
        <v>0</v>
      </c>
      <c r="L2552" t="n">
        <v>0</v>
      </c>
      <c r="M2552" t="n">
        <v>0</v>
      </c>
      <c r="N2552" t="n">
        <v>0</v>
      </c>
      <c r="O2552" t="n">
        <v>0</v>
      </c>
      <c r="P2552" t="n">
        <v>0</v>
      </c>
      <c r="Q2552" t="n">
        <v>0</v>
      </c>
      <c r="R2552" s="2" t="inlineStr"/>
    </row>
    <row r="2553" ht="15" customHeight="1">
      <c r="A2553" t="inlineStr">
        <is>
          <t>A 31836-2024</t>
        </is>
      </c>
      <c r="B2553" s="1" t="n">
        <v>45509</v>
      </c>
      <c r="C2553" s="1" t="n">
        <v>45822</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31830-2024</t>
        </is>
      </c>
      <c r="B2554" s="1" t="n">
        <v>45509</v>
      </c>
      <c r="C2554" s="1" t="n">
        <v>45822</v>
      </c>
      <c r="D2554" t="inlineStr">
        <is>
          <t>VÄRMLANDS LÄN</t>
        </is>
      </c>
      <c r="E2554" t="inlineStr">
        <is>
          <t>TORSBY</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31945-2024</t>
        </is>
      </c>
      <c r="B2555" s="1" t="n">
        <v>45510</v>
      </c>
      <c r="C2555" s="1" t="n">
        <v>45822</v>
      </c>
      <c r="D2555" t="inlineStr">
        <is>
          <t>VÄRMLANDS LÄN</t>
        </is>
      </c>
      <c r="E2555" t="inlineStr">
        <is>
          <t>TORSBY</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32155-2024</t>
        </is>
      </c>
      <c r="B2556" s="1" t="n">
        <v>45511</v>
      </c>
      <c r="C2556" s="1" t="n">
        <v>45822</v>
      </c>
      <c r="D2556" t="inlineStr">
        <is>
          <t>VÄRMLANDS LÄN</t>
        </is>
      </c>
      <c r="E2556" t="inlineStr">
        <is>
          <t>TORSBY</t>
        </is>
      </c>
      <c r="F2556" t="inlineStr">
        <is>
          <t>Bergvik skog väst AB</t>
        </is>
      </c>
      <c r="G2556" t="n">
        <v>13.5</v>
      </c>
      <c r="H2556" t="n">
        <v>0</v>
      </c>
      <c r="I2556" t="n">
        <v>0</v>
      </c>
      <c r="J2556" t="n">
        <v>0</v>
      </c>
      <c r="K2556" t="n">
        <v>0</v>
      </c>
      <c r="L2556" t="n">
        <v>0</v>
      </c>
      <c r="M2556" t="n">
        <v>0</v>
      </c>
      <c r="N2556" t="n">
        <v>0</v>
      </c>
      <c r="O2556" t="n">
        <v>0</v>
      </c>
      <c r="P2556" t="n">
        <v>0</v>
      </c>
      <c r="Q2556" t="n">
        <v>0</v>
      </c>
      <c r="R2556" s="2" t="inlineStr"/>
    </row>
    <row r="2557" ht="15" customHeight="1">
      <c r="A2557" t="inlineStr">
        <is>
          <t>A 32138-2024</t>
        </is>
      </c>
      <c r="B2557" s="1" t="n">
        <v>45511</v>
      </c>
      <c r="C2557" s="1" t="n">
        <v>45822</v>
      </c>
      <c r="D2557" t="inlineStr">
        <is>
          <t>VÄRMLANDS LÄN</t>
        </is>
      </c>
      <c r="E2557" t="inlineStr">
        <is>
          <t>TORSBY</t>
        </is>
      </c>
      <c r="F2557" t="inlineStr">
        <is>
          <t>Bergvik skog väst AB</t>
        </is>
      </c>
      <c r="G2557" t="n">
        <v>26.3</v>
      </c>
      <c r="H2557" t="n">
        <v>0</v>
      </c>
      <c r="I2557" t="n">
        <v>0</v>
      </c>
      <c r="J2557" t="n">
        <v>0</v>
      </c>
      <c r="K2557" t="n">
        <v>0</v>
      </c>
      <c r="L2557" t="n">
        <v>0</v>
      </c>
      <c r="M2557" t="n">
        <v>0</v>
      </c>
      <c r="N2557" t="n">
        <v>0</v>
      </c>
      <c r="O2557" t="n">
        <v>0</v>
      </c>
      <c r="P2557" t="n">
        <v>0</v>
      </c>
      <c r="Q2557" t="n">
        <v>0</v>
      </c>
      <c r="R2557" s="2" t="inlineStr"/>
    </row>
    <row r="2558" ht="15" customHeight="1">
      <c r="A2558" t="inlineStr">
        <is>
          <t>A 32213-2024</t>
        </is>
      </c>
      <c r="B2558" s="1" t="n">
        <v>45511</v>
      </c>
      <c r="C2558" s="1" t="n">
        <v>45822</v>
      </c>
      <c r="D2558" t="inlineStr">
        <is>
          <t>VÄRMLANDS LÄN</t>
        </is>
      </c>
      <c r="E2558" t="inlineStr">
        <is>
          <t>TORSBY</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32314-2024</t>
        </is>
      </c>
      <c r="B2559" s="1" t="n">
        <v>45512</v>
      </c>
      <c r="C2559" s="1" t="n">
        <v>45822</v>
      </c>
      <c r="D2559" t="inlineStr">
        <is>
          <t>VÄRMLANDS LÄN</t>
        </is>
      </c>
      <c r="E2559" t="inlineStr">
        <is>
          <t>TORSBY</t>
        </is>
      </c>
      <c r="F2559" t="inlineStr">
        <is>
          <t>Bergvik skog väst AB</t>
        </is>
      </c>
      <c r="G2559" t="n">
        <v>35.1</v>
      </c>
      <c r="H2559" t="n">
        <v>0</v>
      </c>
      <c r="I2559" t="n">
        <v>0</v>
      </c>
      <c r="J2559" t="n">
        <v>0</v>
      </c>
      <c r="K2559" t="n">
        <v>0</v>
      </c>
      <c r="L2559" t="n">
        <v>0</v>
      </c>
      <c r="M2559" t="n">
        <v>0</v>
      </c>
      <c r="N2559" t="n">
        <v>0</v>
      </c>
      <c r="O2559" t="n">
        <v>0</v>
      </c>
      <c r="P2559" t="n">
        <v>0</v>
      </c>
      <c r="Q2559" t="n">
        <v>0</v>
      </c>
      <c r="R2559" s="2" t="inlineStr"/>
    </row>
    <row r="2560" ht="15" customHeight="1">
      <c r="A2560" t="inlineStr">
        <is>
          <t>A 32343-2024</t>
        </is>
      </c>
      <c r="B2560" s="1" t="n">
        <v>45512</v>
      </c>
      <c r="C2560" s="1" t="n">
        <v>45822</v>
      </c>
      <c r="D2560" t="inlineStr">
        <is>
          <t>VÄRMLANDS LÄN</t>
        </is>
      </c>
      <c r="E2560" t="inlineStr">
        <is>
          <t>TORSBY</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32340-2024</t>
        </is>
      </c>
      <c r="B2561" s="1" t="n">
        <v>45512</v>
      </c>
      <c r="C2561" s="1" t="n">
        <v>45822</v>
      </c>
      <c r="D2561" t="inlineStr">
        <is>
          <t>VÄRMLANDS LÄN</t>
        </is>
      </c>
      <c r="E2561" t="inlineStr">
        <is>
          <t>TORSBY</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32319-2024</t>
        </is>
      </c>
      <c r="B2562" s="1" t="n">
        <v>45512</v>
      </c>
      <c r="C2562" s="1" t="n">
        <v>45822</v>
      </c>
      <c r="D2562" t="inlineStr">
        <is>
          <t>VÄRMLANDS LÄN</t>
        </is>
      </c>
      <c r="E2562" t="inlineStr">
        <is>
          <t>TORSBY</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32588-2024</t>
        </is>
      </c>
      <c r="B2563" s="1" t="n">
        <v>45513</v>
      </c>
      <c r="C2563" s="1" t="n">
        <v>45822</v>
      </c>
      <c r="D2563" t="inlineStr">
        <is>
          <t>VÄRMLANDS LÄN</t>
        </is>
      </c>
      <c r="E2563" t="inlineStr">
        <is>
          <t>TORSBY</t>
        </is>
      </c>
      <c r="F2563" t="inlineStr">
        <is>
          <t>Bergvik skog väst AB</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32603-2024</t>
        </is>
      </c>
      <c r="B2564" s="1" t="n">
        <v>45513</v>
      </c>
      <c r="C2564" s="1" t="n">
        <v>45822</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32764-2024</t>
        </is>
      </c>
      <c r="B2565" s="1" t="n">
        <v>45515</v>
      </c>
      <c r="C2565" s="1" t="n">
        <v>45822</v>
      </c>
      <c r="D2565" t="inlineStr">
        <is>
          <t>VÄRMLANDS LÄN</t>
        </is>
      </c>
      <c r="E2565" t="inlineStr">
        <is>
          <t>TORSBY</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32755-2024</t>
        </is>
      </c>
      <c r="B2566" s="1" t="n">
        <v>45515</v>
      </c>
      <c r="C2566" s="1" t="n">
        <v>45822</v>
      </c>
      <c r="D2566" t="inlineStr">
        <is>
          <t>VÄRMLANDS LÄN</t>
        </is>
      </c>
      <c r="E2566" t="inlineStr">
        <is>
          <t>TORSBY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32746-2024</t>
        </is>
      </c>
      <c r="B2567" s="1" t="n">
        <v>45515</v>
      </c>
      <c r="C2567" s="1" t="n">
        <v>45822</v>
      </c>
      <c r="D2567" t="inlineStr">
        <is>
          <t>VÄRMLANDS LÄN</t>
        </is>
      </c>
      <c r="E2567" t="inlineStr">
        <is>
          <t>TORSBY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32758-2024</t>
        </is>
      </c>
      <c r="B2568" s="1" t="n">
        <v>45515</v>
      </c>
      <c r="C2568" s="1" t="n">
        <v>45822</v>
      </c>
      <c r="D2568" t="inlineStr">
        <is>
          <t>VÄRMLANDS LÄN</t>
        </is>
      </c>
      <c r="E2568" t="inlineStr">
        <is>
          <t>TORSBY</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32845-2024</t>
        </is>
      </c>
      <c r="B2569" s="1" t="n">
        <v>45516</v>
      </c>
      <c r="C2569" s="1" t="n">
        <v>45822</v>
      </c>
      <c r="D2569" t="inlineStr">
        <is>
          <t>VÄRMLANDS LÄN</t>
        </is>
      </c>
      <c r="E2569" t="inlineStr">
        <is>
          <t>TORSBY</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32847-2024</t>
        </is>
      </c>
      <c r="B2570" s="1" t="n">
        <v>45516</v>
      </c>
      <c r="C2570" s="1" t="n">
        <v>45822</v>
      </c>
      <c r="D2570" t="inlineStr">
        <is>
          <t>VÄRMLANDS LÄN</t>
        </is>
      </c>
      <c r="E2570" t="inlineStr">
        <is>
          <t>TORSBY</t>
        </is>
      </c>
      <c r="F2570" t="inlineStr">
        <is>
          <t>Bergvik skog väst AB</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33088-2024</t>
        </is>
      </c>
      <c r="B2571" s="1" t="n">
        <v>45517</v>
      </c>
      <c r="C2571" s="1" t="n">
        <v>45822</v>
      </c>
      <c r="D2571" t="inlineStr">
        <is>
          <t>VÄRMLANDS LÄN</t>
        </is>
      </c>
      <c r="E2571" t="inlineStr">
        <is>
          <t>TORSBY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33078-2024</t>
        </is>
      </c>
      <c r="B2572" s="1" t="n">
        <v>45517</v>
      </c>
      <c r="C2572" s="1" t="n">
        <v>45822</v>
      </c>
      <c r="D2572" t="inlineStr">
        <is>
          <t>VÄRMLANDS LÄN</t>
        </is>
      </c>
      <c r="E2572" t="inlineStr">
        <is>
          <t>TORSBY</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32973-2024</t>
        </is>
      </c>
      <c r="B2573" s="1" t="n">
        <v>45517</v>
      </c>
      <c r="C2573" s="1" t="n">
        <v>45822</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33085-2024</t>
        </is>
      </c>
      <c r="B2574" s="1" t="n">
        <v>45517</v>
      </c>
      <c r="C2574" s="1" t="n">
        <v>45822</v>
      </c>
      <c r="D2574" t="inlineStr">
        <is>
          <t>VÄRMLANDS LÄN</t>
        </is>
      </c>
      <c r="E2574" t="inlineStr">
        <is>
          <t>TORSBY</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33073-2024</t>
        </is>
      </c>
      <c r="B2575" s="1" t="n">
        <v>45517</v>
      </c>
      <c r="C2575" s="1" t="n">
        <v>45822</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32988-2024</t>
        </is>
      </c>
      <c r="B2576" s="1" t="n">
        <v>45517</v>
      </c>
      <c r="C2576" s="1" t="n">
        <v>45822</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32932-2024</t>
        </is>
      </c>
      <c r="B2577" s="1" t="n">
        <v>45517</v>
      </c>
      <c r="C2577" s="1" t="n">
        <v>45822</v>
      </c>
      <c r="D2577" t="inlineStr">
        <is>
          <t>VÄRMLANDS LÄN</t>
        </is>
      </c>
      <c r="E2577" t="inlineStr">
        <is>
          <t>TORSBY</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32936-2024</t>
        </is>
      </c>
      <c r="B2578" s="1" t="n">
        <v>45517</v>
      </c>
      <c r="C2578" s="1" t="n">
        <v>45822</v>
      </c>
      <c r="D2578" t="inlineStr">
        <is>
          <t>VÄRMLANDS LÄN</t>
        </is>
      </c>
      <c r="E2578" t="inlineStr">
        <is>
          <t>TORSBY</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32939-2024</t>
        </is>
      </c>
      <c r="B2579" s="1" t="n">
        <v>45517</v>
      </c>
      <c r="C2579" s="1" t="n">
        <v>45822</v>
      </c>
      <c r="D2579" t="inlineStr">
        <is>
          <t>VÄRMLANDS LÄN</t>
        </is>
      </c>
      <c r="E2579" t="inlineStr">
        <is>
          <t>TORSBY</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33185-2024</t>
        </is>
      </c>
      <c r="B2580" s="1" t="n">
        <v>45518</v>
      </c>
      <c r="C2580" s="1" t="n">
        <v>45822</v>
      </c>
      <c r="D2580" t="inlineStr">
        <is>
          <t>VÄRMLANDS LÄN</t>
        </is>
      </c>
      <c r="E2580" t="inlineStr">
        <is>
          <t>TORSBY</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33293-2024</t>
        </is>
      </c>
      <c r="B2581" s="1" t="n">
        <v>45518</v>
      </c>
      <c r="C2581" s="1" t="n">
        <v>45822</v>
      </c>
      <c r="D2581" t="inlineStr">
        <is>
          <t>VÄRMLANDS LÄN</t>
        </is>
      </c>
      <c r="E2581" t="inlineStr">
        <is>
          <t>TORSBY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33218-2024</t>
        </is>
      </c>
      <c r="B2582" s="1" t="n">
        <v>45518</v>
      </c>
      <c r="C2582" s="1" t="n">
        <v>45822</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33232-2024</t>
        </is>
      </c>
      <c r="B2583" s="1" t="n">
        <v>45518</v>
      </c>
      <c r="C2583" s="1" t="n">
        <v>45822</v>
      </c>
      <c r="D2583" t="inlineStr">
        <is>
          <t>VÄRMLANDS LÄN</t>
        </is>
      </c>
      <c r="E2583" t="inlineStr">
        <is>
          <t>TORSBY</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33133-2024</t>
        </is>
      </c>
      <c r="B2584" s="1" t="n">
        <v>45518</v>
      </c>
      <c r="C2584" s="1" t="n">
        <v>45822</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33227-2024</t>
        </is>
      </c>
      <c r="B2585" s="1" t="n">
        <v>45518</v>
      </c>
      <c r="C2585" s="1" t="n">
        <v>45822</v>
      </c>
      <c r="D2585" t="inlineStr">
        <is>
          <t>VÄRMLANDS LÄN</t>
        </is>
      </c>
      <c r="E2585" t="inlineStr">
        <is>
          <t>TORSBY</t>
        </is>
      </c>
      <c r="F2585" t="inlineStr">
        <is>
          <t>Bergvik skog väst AB</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33220-2024</t>
        </is>
      </c>
      <c r="B2586" s="1" t="n">
        <v>45518</v>
      </c>
      <c r="C2586" s="1" t="n">
        <v>45822</v>
      </c>
      <c r="D2586" t="inlineStr">
        <is>
          <t>VÄRMLANDS LÄN</t>
        </is>
      </c>
      <c r="E2586" t="inlineStr">
        <is>
          <t>TORSBY</t>
        </is>
      </c>
      <c r="F2586" t="inlineStr">
        <is>
          <t>Bergvik skog väst AB</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33172-2024</t>
        </is>
      </c>
      <c r="B2587" s="1" t="n">
        <v>45518</v>
      </c>
      <c r="C2587" s="1" t="n">
        <v>45822</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33151-2024</t>
        </is>
      </c>
      <c r="B2588" s="1" t="n">
        <v>45518</v>
      </c>
      <c r="C2588" s="1" t="n">
        <v>45822</v>
      </c>
      <c r="D2588" t="inlineStr">
        <is>
          <t>VÄRMLANDS LÄN</t>
        </is>
      </c>
      <c r="E2588" t="inlineStr">
        <is>
          <t>TORSBY</t>
        </is>
      </c>
      <c r="F2588" t="inlineStr">
        <is>
          <t>Bergvik skog väst AB</t>
        </is>
      </c>
      <c r="G2588" t="n">
        <v>28.2</v>
      </c>
      <c r="H2588" t="n">
        <v>0</v>
      </c>
      <c r="I2588" t="n">
        <v>0</v>
      </c>
      <c r="J2588" t="n">
        <v>0</v>
      </c>
      <c r="K2588" t="n">
        <v>0</v>
      </c>
      <c r="L2588" t="n">
        <v>0</v>
      </c>
      <c r="M2588" t="n">
        <v>0</v>
      </c>
      <c r="N2588" t="n">
        <v>0</v>
      </c>
      <c r="O2588" t="n">
        <v>0</v>
      </c>
      <c r="P2588" t="n">
        <v>0</v>
      </c>
      <c r="Q2588" t="n">
        <v>0</v>
      </c>
      <c r="R2588" s="2" t="inlineStr"/>
    </row>
    <row r="2589" ht="15" customHeight="1">
      <c r="A2589" t="inlineStr">
        <is>
          <t>A 33338-2024</t>
        </is>
      </c>
      <c r="B2589" s="1" t="n">
        <v>45519</v>
      </c>
      <c r="C2589" s="1" t="n">
        <v>45822</v>
      </c>
      <c r="D2589" t="inlineStr">
        <is>
          <t>VÄRMLANDS LÄN</t>
        </is>
      </c>
      <c r="E2589" t="inlineStr">
        <is>
          <t>TORSBY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33370-2024</t>
        </is>
      </c>
      <c r="B2590" s="1" t="n">
        <v>45519</v>
      </c>
      <c r="C2590" s="1" t="n">
        <v>45822</v>
      </c>
      <c r="D2590" t="inlineStr">
        <is>
          <t>VÄRMLANDS LÄN</t>
        </is>
      </c>
      <c r="E2590" t="inlineStr">
        <is>
          <t>TORSBY</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33337-2024</t>
        </is>
      </c>
      <c r="B2591" s="1" t="n">
        <v>45519</v>
      </c>
      <c r="C2591" s="1" t="n">
        <v>45822</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33341-2024</t>
        </is>
      </c>
      <c r="B2592" s="1" t="n">
        <v>45519</v>
      </c>
      <c r="C2592" s="1" t="n">
        <v>45822</v>
      </c>
      <c r="D2592" t="inlineStr">
        <is>
          <t>VÄRMLANDS LÄN</t>
        </is>
      </c>
      <c r="E2592" t="inlineStr">
        <is>
          <t>TORSBY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33425-2024</t>
        </is>
      </c>
      <c r="B2593" s="1" t="n">
        <v>45519</v>
      </c>
      <c r="C2593" s="1" t="n">
        <v>45822</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33429-2024</t>
        </is>
      </c>
      <c r="B2594" s="1" t="n">
        <v>45519</v>
      </c>
      <c r="C2594" s="1" t="n">
        <v>45822</v>
      </c>
      <c r="D2594" t="inlineStr">
        <is>
          <t>VÄRMLANDS LÄN</t>
        </is>
      </c>
      <c r="E2594" t="inlineStr">
        <is>
          <t>TORSBY</t>
        </is>
      </c>
      <c r="F2594" t="inlineStr">
        <is>
          <t>Bergvik skog väst AB</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33469-2024</t>
        </is>
      </c>
      <c r="B2595" s="1" t="n">
        <v>45519</v>
      </c>
      <c r="C2595" s="1" t="n">
        <v>45822</v>
      </c>
      <c r="D2595" t="inlineStr">
        <is>
          <t>VÄRMLANDS LÄN</t>
        </is>
      </c>
      <c r="E2595" t="inlineStr">
        <is>
          <t>TORSBY</t>
        </is>
      </c>
      <c r="F2595" t="inlineStr">
        <is>
          <t>Bergvik skog väst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33546-2024</t>
        </is>
      </c>
      <c r="B2596" s="1" t="n">
        <v>45519</v>
      </c>
      <c r="C2596" s="1" t="n">
        <v>45822</v>
      </c>
      <c r="D2596" t="inlineStr">
        <is>
          <t>VÄRMLANDS LÄN</t>
        </is>
      </c>
      <c r="E2596" t="inlineStr">
        <is>
          <t>TORSBY</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33418-2024</t>
        </is>
      </c>
      <c r="B2597" s="1" t="n">
        <v>45519</v>
      </c>
      <c r="C2597" s="1" t="n">
        <v>45822</v>
      </c>
      <c r="D2597" t="inlineStr">
        <is>
          <t>VÄRMLANDS LÄN</t>
        </is>
      </c>
      <c r="E2597" t="inlineStr">
        <is>
          <t>TORSBY</t>
        </is>
      </c>
      <c r="F2597" t="inlineStr">
        <is>
          <t>Bergvik skog väst AB</t>
        </is>
      </c>
      <c r="G2597" t="n">
        <v>27.6</v>
      </c>
      <c r="H2597" t="n">
        <v>0</v>
      </c>
      <c r="I2597" t="n">
        <v>0</v>
      </c>
      <c r="J2597" t="n">
        <v>0</v>
      </c>
      <c r="K2597" t="n">
        <v>0</v>
      </c>
      <c r="L2597" t="n">
        <v>0</v>
      </c>
      <c r="M2597" t="n">
        <v>0</v>
      </c>
      <c r="N2597" t="n">
        <v>0</v>
      </c>
      <c r="O2597" t="n">
        <v>0</v>
      </c>
      <c r="P2597" t="n">
        <v>0</v>
      </c>
      <c r="Q2597" t="n">
        <v>0</v>
      </c>
      <c r="R2597" s="2" t="inlineStr"/>
    </row>
    <row r="2598" ht="15" customHeight="1">
      <c r="A2598" t="inlineStr">
        <is>
          <t>A 33511-2024</t>
        </is>
      </c>
      <c r="B2598" s="1" t="n">
        <v>45519</v>
      </c>
      <c r="C2598" s="1" t="n">
        <v>45822</v>
      </c>
      <c r="D2598" t="inlineStr">
        <is>
          <t>VÄRMLANDS LÄN</t>
        </is>
      </c>
      <c r="E2598" t="inlineStr">
        <is>
          <t>TORSBY</t>
        </is>
      </c>
      <c r="F2598" t="inlineStr">
        <is>
          <t>Bergvik skog väst AB</t>
        </is>
      </c>
      <c r="G2598" t="n">
        <v>12.1</v>
      </c>
      <c r="H2598" t="n">
        <v>0</v>
      </c>
      <c r="I2598" t="n">
        <v>0</v>
      </c>
      <c r="J2598" t="n">
        <v>0</v>
      </c>
      <c r="K2598" t="n">
        <v>0</v>
      </c>
      <c r="L2598" t="n">
        <v>0</v>
      </c>
      <c r="M2598" t="n">
        <v>0</v>
      </c>
      <c r="N2598" t="n">
        <v>0</v>
      </c>
      <c r="O2598" t="n">
        <v>0</v>
      </c>
      <c r="P2598" t="n">
        <v>0</v>
      </c>
      <c r="Q2598" t="n">
        <v>0</v>
      </c>
      <c r="R2598" s="2" t="inlineStr"/>
    </row>
    <row r="2599" ht="15" customHeight="1">
      <c r="A2599" t="inlineStr">
        <is>
          <t>A 33547-2024</t>
        </is>
      </c>
      <c r="B2599" s="1" t="n">
        <v>45519</v>
      </c>
      <c r="C2599" s="1" t="n">
        <v>45822</v>
      </c>
      <c r="D2599" t="inlineStr">
        <is>
          <t>VÄRMLANDS LÄN</t>
        </is>
      </c>
      <c r="E2599" t="inlineStr">
        <is>
          <t>TORSBY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33495-2024</t>
        </is>
      </c>
      <c r="B2600" s="1" t="n">
        <v>45519</v>
      </c>
      <c r="C2600" s="1" t="n">
        <v>45822</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33499-2024</t>
        </is>
      </c>
      <c r="B2601" s="1" t="n">
        <v>45519</v>
      </c>
      <c r="C2601" s="1" t="n">
        <v>45822</v>
      </c>
      <c r="D2601" t="inlineStr">
        <is>
          <t>VÄRMLANDS LÄN</t>
        </is>
      </c>
      <c r="E2601" t="inlineStr">
        <is>
          <t>TORSBY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33548-2024</t>
        </is>
      </c>
      <c r="B2602" s="1" t="n">
        <v>45519</v>
      </c>
      <c r="C2602" s="1" t="n">
        <v>45822</v>
      </c>
      <c r="D2602" t="inlineStr">
        <is>
          <t>VÄRMLANDS LÄN</t>
        </is>
      </c>
      <c r="E2602" t="inlineStr">
        <is>
          <t>TORSBY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33367-2024</t>
        </is>
      </c>
      <c r="B2603" s="1" t="n">
        <v>45519</v>
      </c>
      <c r="C2603" s="1" t="n">
        <v>45822</v>
      </c>
      <c r="D2603" t="inlineStr">
        <is>
          <t>VÄRMLANDS LÄN</t>
        </is>
      </c>
      <c r="E2603" t="inlineStr">
        <is>
          <t>TORSBY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33371-2024</t>
        </is>
      </c>
      <c r="B2604" s="1" t="n">
        <v>45519</v>
      </c>
      <c r="C2604" s="1" t="n">
        <v>45822</v>
      </c>
      <c r="D2604" t="inlineStr">
        <is>
          <t>VÄRMLANDS LÄN</t>
        </is>
      </c>
      <c r="E2604" t="inlineStr">
        <is>
          <t>TORSBY</t>
        </is>
      </c>
      <c r="F2604" t="inlineStr">
        <is>
          <t>Bergvik skog väst AB</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33521-2024</t>
        </is>
      </c>
      <c r="B2605" s="1" t="n">
        <v>45519</v>
      </c>
      <c r="C2605" s="1" t="n">
        <v>45822</v>
      </c>
      <c r="D2605" t="inlineStr">
        <is>
          <t>VÄRMLANDS LÄN</t>
        </is>
      </c>
      <c r="E2605" t="inlineStr">
        <is>
          <t>TORSBY</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33620-2024</t>
        </is>
      </c>
      <c r="B2606" s="1" t="n">
        <v>45520</v>
      </c>
      <c r="C2606" s="1" t="n">
        <v>45822</v>
      </c>
      <c r="D2606" t="inlineStr">
        <is>
          <t>VÄRMLANDS LÄN</t>
        </is>
      </c>
      <c r="E2606" t="inlineStr">
        <is>
          <t>TORSBY</t>
        </is>
      </c>
      <c r="F2606" t="inlineStr">
        <is>
          <t>Bergvik skog väst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33649-2024</t>
        </is>
      </c>
      <c r="B2607" s="1" t="n">
        <v>45520</v>
      </c>
      <c r="C2607" s="1" t="n">
        <v>45822</v>
      </c>
      <c r="D2607" t="inlineStr">
        <is>
          <t>VÄRMLANDS LÄN</t>
        </is>
      </c>
      <c r="E2607" t="inlineStr">
        <is>
          <t>TORSBY</t>
        </is>
      </c>
      <c r="F2607" t="inlineStr">
        <is>
          <t>Bergvik skog väst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33769-2024</t>
        </is>
      </c>
      <c r="B2608" s="1" t="n">
        <v>45520</v>
      </c>
      <c r="C2608" s="1" t="n">
        <v>45822</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33862-2024</t>
        </is>
      </c>
      <c r="B2609" s="1" t="n">
        <v>45520</v>
      </c>
      <c r="C2609" s="1" t="n">
        <v>45822</v>
      </c>
      <c r="D2609" t="inlineStr">
        <is>
          <t>VÄRMLANDS LÄN</t>
        </is>
      </c>
      <c r="E2609" t="inlineStr">
        <is>
          <t>TORSBY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33791-2024</t>
        </is>
      </c>
      <c r="B2610" s="1" t="n">
        <v>45520</v>
      </c>
      <c r="C2610" s="1" t="n">
        <v>45822</v>
      </c>
      <c r="D2610" t="inlineStr">
        <is>
          <t>VÄRMLANDS LÄN</t>
        </is>
      </c>
      <c r="E2610" t="inlineStr">
        <is>
          <t>TORSBY</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33964-2024</t>
        </is>
      </c>
      <c r="B2611" s="1" t="n">
        <v>45523</v>
      </c>
      <c r="C2611" s="1" t="n">
        <v>45822</v>
      </c>
      <c r="D2611" t="inlineStr">
        <is>
          <t>VÄRMLANDS LÄN</t>
        </is>
      </c>
      <c r="E2611" t="inlineStr">
        <is>
          <t>TORSBY</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34034-2024</t>
        </is>
      </c>
      <c r="B2612" s="1" t="n">
        <v>45523</v>
      </c>
      <c r="C2612" s="1" t="n">
        <v>45822</v>
      </c>
      <c r="D2612" t="inlineStr">
        <is>
          <t>VÄRMLANDS LÄN</t>
        </is>
      </c>
      <c r="E2612" t="inlineStr">
        <is>
          <t>TORSBY</t>
        </is>
      </c>
      <c r="F2612" t="inlineStr">
        <is>
          <t>Bergvik skog väst AB</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34031-2024</t>
        </is>
      </c>
      <c r="B2613" s="1" t="n">
        <v>45523</v>
      </c>
      <c r="C2613" s="1" t="n">
        <v>45822</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34081-2024</t>
        </is>
      </c>
      <c r="B2614" s="1" t="n">
        <v>45523</v>
      </c>
      <c r="C2614" s="1" t="n">
        <v>45822</v>
      </c>
      <c r="D2614" t="inlineStr">
        <is>
          <t>VÄRMLANDS LÄN</t>
        </is>
      </c>
      <c r="E2614" t="inlineStr">
        <is>
          <t>TORSBY</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34093-2024</t>
        </is>
      </c>
      <c r="B2615" s="1" t="n">
        <v>45523</v>
      </c>
      <c r="C2615" s="1" t="n">
        <v>45822</v>
      </c>
      <c r="D2615" t="inlineStr">
        <is>
          <t>VÄRMLANDS LÄN</t>
        </is>
      </c>
      <c r="E2615" t="inlineStr">
        <is>
          <t>TORSBY</t>
        </is>
      </c>
      <c r="F2615" t="inlineStr">
        <is>
          <t>Bergvik skog väst AB</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34207-2024</t>
        </is>
      </c>
      <c r="B2616" s="1" t="n">
        <v>45524</v>
      </c>
      <c r="C2616" s="1" t="n">
        <v>45822</v>
      </c>
      <c r="D2616" t="inlineStr">
        <is>
          <t>VÄRMLANDS LÄN</t>
        </is>
      </c>
      <c r="E2616" t="inlineStr">
        <is>
          <t>TORSBY</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34219-2024</t>
        </is>
      </c>
      <c r="B2617" s="1" t="n">
        <v>45524</v>
      </c>
      <c r="C2617" s="1" t="n">
        <v>45822</v>
      </c>
      <c r="D2617" t="inlineStr">
        <is>
          <t>VÄRMLANDS LÄN</t>
        </is>
      </c>
      <c r="E2617" t="inlineStr">
        <is>
          <t>TORSBY</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34164-2024</t>
        </is>
      </c>
      <c r="B2618" s="1" t="n">
        <v>45524</v>
      </c>
      <c r="C2618" s="1" t="n">
        <v>45822</v>
      </c>
      <c r="D2618" t="inlineStr">
        <is>
          <t>VÄRMLANDS LÄN</t>
        </is>
      </c>
      <c r="E2618" t="inlineStr">
        <is>
          <t>TORSBY</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34226-2024</t>
        </is>
      </c>
      <c r="B2619" s="1" t="n">
        <v>45524</v>
      </c>
      <c r="C2619" s="1" t="n">
        <v>45822</v>
      </c>
      <c r="D2619" t="inlineStr">
        <is>
          <t>VÄRMLANDS LÄN</t>
        </is>
      </c>
      <c r="E2619" t="inlineStr">
        <is>
          <t>TORSBY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34206-2024</t>
        </is>
      </c>
      <c r="B2620" s="1" t="n">
        <v>45524</v>
      </c>
      <c r="C2620" s="1" t="n">
        <v>45822</v>
      </c>
      <c r="D2620" t="inlineStr">
        <is>
          <t>VÄRMLANDS LÄN</t>
        </is>
      </c>
      <c r="E2620" t="inlineStr">
        <is>
          <t>TORSBY</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34236-2024</t>
        </is>
      </c>
      <c r="B2621" s="1" t="n">
        <v>45524</v>
      </c>
      <c r="C2621" s="1" t="n">
        <v>45822</v>
      </c>
      <c r="D2621" t="inlineStr">
        <is>
          <t>VÄRMLANDS LÄN</t>
        </is>
      </c>
      <c r="E2621" t="inlineStr">
        <is>
          <t>TORSBY</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34256-2024</t>
        </is>
      </c>
      <c r="B2622" s="1" t="n">
        <v>45524</v>
      </c>
      <c r="C2622" s="1" t="n">
        <v>45822</v>
      </c>
      <c r="D2622" t="inlineStr">
        <is>
          <t>VÄRMLANDS LÄN</t>
        </is>
      </c>
      <c r="E2622" t="inlineStr">
        <is>
          <t>TORSBY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34281-2024</t>
        </is>
      </c>
      <c r="B2623" s="1" t="n">
        <v>45524</v>
      </c>
      <c r="C2623" s="1" t="n">
        <v>45822</v>
      </c>
      <c r="D2623" t="inlineStr">
        <is>
          <t>VÄRMLANDS LÄN</t>
        </is>
      </c>
      <c r="E2623" t="inlineStr">
        <is>
          <t>TORSBY</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34304-2024</t>
        </is>
      </c>
      <c r="B2624" s="1" t="n">
        <v>45524</v>
      </c>
      <c r="C2624" s="1" t="n">
        <v>45822</v>
      </c>
      <c r="D2624" t="inlineStr">
        <is>
          <t>VÄRMLANDS LÄN</t>
        </is>
      </c>
      <c r="E2624" t="inlineStr">
        <is>
          <t>TORSBY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34500-2024</t>
        </is>
      </c>
      <c r="B2625" s="1" t="n">
        <v>45525</v>
      </c>
      <c r="C2625" s="1" t="n">
        <v>45822</v>
      </c>
      <c r="D2625" t="inlineStr">
        <is>
          <t>VÄRMLANDS LÄN</t>
        </is>
      </c>
      <c r="E2625" t="inlineStr">
        <is>
          <t>TORSBY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34534-2024</t>
        </is>
      </c>
      <c r="B2626" s="1" t="n">
        <v>45525</v>
      </c>
      <c r="C2626" s="1" t="n">
        <v>45822</v>
      </c>
      <c r="D2626" t="inlineStr">
        <is>
          <t>VÄRMLANDS LÄN</t>
        </is>
      </c>
      <c r="E2626" t="inlineStr">
        <is>
          <t>TORSBY</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34528-2024</t>
        </is>
      </c>
      <c r="B2627" s="1" t="n">
        <v>45525</v>
      </c>
      <c r="C2627" s="1" t="n">
        <v>45822</v>
      </c>
      <c r="D2627" t="inlineStr">
        <is>
          <t>VÄRMLANDS LÄN</t>
        </is>
      </c>
      <c r="E2627" t="inlineStr">
        <is>
          <t>TORSBY</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34554-2024</t>
        </is>
      </c>
      <c r="B2628" s="1" t="n">
        <v>45525</v>
      </c>
      <c r="C2628" s="1" t="n">
        <v>45822</v>
      </c>
      <c r="D2628" t="inlineStr">
        <is>
          <t>VÄRMLANDS LÄN</t>
        </is>
      </c>
      <c r="E2628" t="inlineStr">
        <is>
          <t>TORSBY</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34472-2024</t>
        </is>
      </c>
      <c r="B2629" s="1" t="n">
        <v>45525</v>
      </c>
      <c r="C2629" s="1" t="n">
        <v>45822</v>
      </c>
      <c r="D2629" t="inlineStr">
        <is>
          <t>VÄRMLANDS LÄN</t>
        </is>
      </c>
      <c r="E2629" t="inlineStr">
        <is>
          <t>TORSBY</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34549-2024</t>
        </is>
      </c>
      <c r="B2630" s="1" t="n">
        <v>45525</v>
      </c>
      <c r="C2630" s="1" t="n">
        <v>45822</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34551-2024</t>
        </is>
      </c>
      <c r="B2631" s="1" t="n">
        <v>45525</v>
      </c>
      <c r="C2631" s="1" t="n">
        <v>45822</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34680-2024</t>
        </is>
      </c>
      <c r="B2632" s="1" t="n">
        <v>45526</v>
      </c>
      <c r="C2632" s="1" t="n">
        <v>45822</v>
      </c>
      <c r="D2632" t="inlineStr">
        <is>
          <t>VÄRMLANDS LÄN</t>
        </is>
      </c>
      <c r="E2632" t="inlineStr">
        <is>
          <t>TORSBY</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34568-2024</t>
        </is>
      </c>
      <c r="B2633" s="1" t="n">
        <v>45526</v>
      </c>
      <c r="C2633" s="1" t="n">
        <v>45822</v>
      </c>
      <c r="D2633" t="inlineStr">
        <is>
          <t>VÄRMLANDS LÄN</t>
        </is>
      </c>
      <c r="E2633" t="inlineStr">
        <is>
          <t>TORSBY</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34573-2024</t>
        </is>
      </c>
      <c r="B2634" s="1" t="n">
        <v>45526</v>
      </c>
      <c r="C2634" s="1" t="n">
        <v>45822</v>
      </c>
      <c r="D2634" t="inlineStr">
        <is>
          <t>VÄRMLANDS LÄN</t>
        </is>
      </c>
      <c r="E2634" t="inlineStr">
        <is>
          <t>TORSBY</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34697-2024</t>
        </is>
      </c>
      <c r="B2635" s="1" t="n">
        <v>45526</v>
      </c>
      <c r="C2635" s="1" t="n">
        <v>45822</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34717-2024</t>
        </is>
      </c>
      <c r="B2636" s="1" t="n">
        <v>45526</v>
      </c>
      <c r="C2636" s="1" t="n">
        <v>45822</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34824-2024</t>
        </is>
      </c>
      <c r="B2637" s="1" t="n">
        <v>45526</v>
      </c>
      <c r="C2637" s="1" t="n">
        <v>45822</v>
      </c>
      <c r="D2637" t="inlineStr">
        <is>
          <t>VÄRMLANDS LÄN</t>
        </is>
      </c>
      <c r="E2637" t="inlineStr">
        <is>
          <t>TORSBY</t>
        </is>
      </c>
      <c r="F2637" t="inlineStr">
        <is>
          <t>Bergvik skog väst AB</t>
        </is>
      </c>
      <c r="G2637" t="n">
        <v>27.5</v>
      </c>
      <c r="H2637" t="n">
        <v>0</v>
      </c>
      <c r="I2637" t="n">
        <v>0</v>
      </c>
      <c r="J2637" t="n">
        <v>0</v>
      </c>
      <c r="K2637" t="n">
        <v>0</v>
      </c>
      <c r="L2637" t="n">
        <v>0</v>
      </c>
      <c r="M2637" t="n">
        <v>0</v>
      </c>
      <c r="N2637" t="n">
        <v>0</v>
      </c>
      <c r="O2637" t="n">
        <v>0</v>
      </c>
      <c r="P2637" t="n">
        <v>0</v>
      </c>
      <c r="Q2637" t="n">
        <v>0</v>
      </c>
      <c r="R2637" s="2" t="inlineStr"/>
    </row>
    <row r="2638" ht="15" customHeight="1">
      <c r="A2638" t="inlineStr">
        <is>
          <t>A 34686-2024</t>
        </is>
      </c>
      <c r="B2638" s="1" t="n">
        <v>45526</v>
      </c>
      <c r="C2638" s="1" t="n">
        <v>45822</v>
      </c>
      <c r="D2638" t="inlineStr">
        <is>
          <t>VÄRMLANDS LÄN</t>
        </is>
      </c>
      <c r="E2638" t="inlineStr">
        <is>
          <t>TORSBY</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35019-2024</t>
        </is>
      </c>
      <c r="B2639" s="1" t="n">
        <v>45527</v>
      </c>
      <c r="C2639" s="1" t="n">
        <v>45822</v>
      </c>
      <c r="D2639" t="inlineStr">
        <is>
          <t>VÄRMLANDS LÄN</t>
        </is>
      </c>
      <c r="E2639" t="inlineStr">
        <is>
          <t>TORSBY</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35075-2024</t>
        </is>
      </c>
      <c r="B2640" s="1" t="n">
        <v>45527</v>
      </c>
      <c r="C2640" s="1" t="n">
        <v>45822</v>
      </c>
      <c r="D2640" t="inlineStr">
        <is>
          <t>VÄRMLANDS LÄN</t>
        </is>
      </c>
      <c r="E2640" t="inlineStr">
        <is>
          <t>TORSBY</t>
        </is>
      </c>
      <c r="F2640" t="inlineStr">
        <is>
          <t>Bergvik skog väst AB</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34970-2024</t>
        </is>
      </c>
      <c r="B2641" s="1" t="n">
        <v>45527</v>
      </c>
      <c r="C2641" s="1" t="n">
        <v>45822</v>
      </c>
      <c r="D2641" t="inlineStr">
        <is>
          <t>VÄRMLANDS LÄN</t>
        </is>
      </c>
      <c r="E2641" t="inlineStr">
        <is>
          <t>TORSBY</t>
        </is>
      </c>
      <c r="F2641" t="inlineStr">
        <is>
          <t>Bergvik skog väst AB</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34966-2024</t>
        </is>
      </c>
      <c r="B2642" s="1" t="n">
        <v>45527</v>
      </c>
      <c r="C2642" s="1" t="n">
        <v>45822</v>
      </c>
      <c r="D2642" t="inlineStr">
        <is>
          <t>VÄRMLANDS LÄN</t>
        </is>
      </c>
      <c r="E2642" t="inlineStr">
        <is>
          <t>TORSBY</t>
        </is>
      </c>
      <c r="F2642" t="inlineStr">
        <is>
          <t>Bergvik skog väst AB</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34958-2024</t>
        </is>
      </c>
      <c r="B2643" s="1" t="n">
        <v>45527</v>
      </c>
      <c r="C2643" s="1" t="n">
        <v>45822</v>
      </c>
      <c r="D2643" t="inlineStr">
        <is>
          <t>VÄRMLANDS LÄN</t>
        </is>
      </c>
      <c r="E2643" t="inlineStr">
        <is>
          <t>TORSBY</t>
        </is>
      </c>
      <c r="F2643" t="inlineStr">
        <is>
          <t>Bergvik skog väst AB</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34946-2024</t>
        </is>
      </c>
      <c r="B2644" s="1" t="n">
        <v>45527</v>
      </c>
      <c r="C2644" s="1" t="n">
        <v>45822</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34906-2024</t>
        </is>
      </c>
      <c r="B2645" s="1" t="n">
        <v>45527</v>
      </c>
      <c r="C2645" s="1" t="n">
        <v>45822</v>
      </c>
      <c r="D2645" t="inlineStr">
        <is>
          <t>VÄRMLANDS LÄN</t>
        </is>
      </c>
      <c r="E2645" t="inlineStr">
        <is>
          <t>TORSBY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35066-2024</t>
        </is>
      </c>
      <c r="B2646" s="1" t="n">
        <v>45527</v>
      </c>
      <c r="C2646" s="1" t="n">
        <v>45822</v>
      </c>
      <c r="D2646" t="inlineStr">
        <is>
          <t>VÄRMLANDS LÄN</t>
        </is>
      </c>
      <c r="E2646" t="inlineStr">
        <is>
          <t>TORSBY</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34961-2024</t>
        </is>
      </c>
      <c r="B2647" s="1" t="n">
        <v>45527</v>
      </c>
      <c r="C2647" s="1" t="n">
        <v>45822</v>
      </c>
      <c r="D2647" t="inlineStr">
        <is>
          <t>VÄRMLANDS LÄN</t>
        </is>
      </c>
      <c r="E2647" t="inlineStr">
        <is>
          <t>TORSBY</t>
        </is>
      </c>
      <c r="F2647" t="inlineStr">
        <is>
          <t>Bergvik skog väst AB</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34921-2024</t>
        </is>
      </c>
      <c r="B2648" s="1" t="n">
        <v>45527</v>
      </c>
      <c r="C2648" s="1" t="n">
        <v>45822</v>
      </c>
      <c r="D2648" t="inlineStr">
        <is>
          <t>VÄRMLANDS LÄN</t>
        </is>
      </c>
      <c r="E2648" t="inlineStr">
        <is>
          <t>TORSBY</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34968-2024</t>
        </is>
      </c>
      <c r="B2649" s="1" t="n">
        <v>45527</v>
      </c>
      <c r="C2649" s="1" t="n">
        <v>45822</v>
      </c>
      <c r="D2649" t="inlineStr">
        <is>
          <t>VÄRMLANDS LÄN</t>
        </is>
      </c>
      <c r="E2649" t="inlineStr">
        <is>
          <t>TORSBY</t>
        </is>
      </c>
      <c r="F2649" t="inlineStr">
        <is>
          <t>Bergvik skog väst AB</t>
        </is>
      </c>
      <c r="G2649" t="n">
        <v>10.2</v>
      </c>
      <c r="H2649" t="n">
        <v>0</v>
      </c>
      <c r="I2649" t="n">
        <v>0</v>
      </c>
      <c r="J2649" t="n">
        <v>0</v>
      </c>
      <c r="K2649" t="n">
        <v>0</v>
      </c>
      <c r="L2649" t="n">
        <v>0</v>
      </c>
      <c r="M2649" t="n">
        <v>0</v>
      </c>
      <c r="N2649" t="n">
        <v>0</v>
      </c>
      <c r="O2649" t="n">
        <v>0</v>
      </c>
      <c r="P2649" t="n">
        <v>0</v>
      </c>
      <c r="Q2649" t="n">
        <v>0</v>
      </c>
      <c r="R2649" s="2" t="inlineStr"/>
    </row>
    <row r="2650" ht="15" customHeight="1">
      <c r="A2650" t="inlineStr">
        <is>
          <t>A 34939-2024</t>
        </is>
      </c>
      <c r="B2650" s="1" t="n">
        <v>45527</v>
      </c>
      <c r="C2650" s="1" t="n">
        <v>45822</v>
      </c>
      <c r="D2650" t="inlineStr">
        <is>
          <t>VÄRMLANDS LÄN</t>
        </is>
      </c>
      <c r="E2650" t="inlineStr">
        <is>
          <t>TORSBY</t>
        </is>
      </c>
      <c r="F2650" t="inlineStr">
        <is>
          <t>Bergvik skog väst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35107-2024</t>
        </is>
      </c>
      <c r="B2651" s="1" t="n">
        <v>45529</v>
      </c>
      <c r="C2651" s="1" t="n">
        <v>45822</v>
      </c>
      <c r="D2651" t="inlineStr">
        <is>
          <t>VÄRMLANDS LÄN</t>
        </is>
      </c>
      <c r="E2651" t="inlineStr">
        <is>
          <t>TORSBY</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35524-2024</t>
        </is>
      </c>
      <c r="B2652" s="1" t="n">
        <v>45531</v>
      </c>
      <c r="C2652" s="1" t="n">
        <v>45822</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35493-2024</t>
        </is>
      </c>
      <c r="B2653" s="1" t="n">
        <v>45531</v>
      </c>
      <c r="C2653" s="1" t="n">
        <v>45822</v>
      </c>
      <c r="D2653" t="inlineStr">
        <is>
          <t>VÄRMLANDS LÄN</t>
        </is>
      </c>
      <c r="E2653" t="inlineStr">
        <is>
          <t>TORSBY</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35497-2024</t>
        </is>
      </c>
      <c r="B2654" s="1" t="n">
        <v>45531</v>
      </c>
      <c r="C2654" s="1" t="n">
        <v>45822</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35609-2024</t>
        </is>
      </c>
      <c r="B2655" s="1" t="n">
        <v>45531</v>
      </c>
      <c r="C2655" s="1" t="n">
        <v>45822</v>
      </c>
      <c r="D2655" t="inlineStr">
        <is>
          <t>VÄRMLANDS LÄN</t>
        </is>
      </c>
      <c r="E2655" t="inlineStr">
        <is>
          <t>TORSBY</t>
        </is>
      </c>
      <c r="G2655" t="n">
        <v>38.3</v>
      </c>
      <c r="H2655" t="n">
        <v>0</v>
      </c>
      <c r="I2655" t="n">
        <v>0</v>
      </c>
      <c r="J2655" t="n">
        <v>0</v>
      </c>
      <c r="K2655" t="n">
        <v>0</v>
      </c>
      <c r="L2655" t="n">
        <v>0</v>
      </c>
      <c r="M2655" t="n">
        <v>0</v>
      </c>
      <c r="N2655" t="n">
        <v>0</v>
      </c>
      <c r="O2655" t="n">
        <v>0</v>
      </c>
      <c r="P2655" t="n">
        <v>0</v>
      </c>
      <c r="Q2655" t="n">
        <v>0</v>
      </c>
      <c r="R2655" s="2" t="inlineStr"/>
    </row>
    <row r="2656" ht="15" customHeight="1">
      <c r="A2656" t="inlineStr">
        <is>
          <t>A 35632-2024</t>
        </is>
      </c>
      <c r="B2656" s="1" t="n">
        <v>45531</v>
      </c>
      <c r="C2656" s="1" t="n">
        <v>45822</v>
      </c>
      <c r="D2656" t="inlineStr">
        <is>
          <t>VÄRMLANDS LÄN</t>
        </is>
      </c>
      <c r="E2656" t="inlineStr">
        <is>
          <t>TORSBY</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35762-2024</t>
        </is>
      </c>
      <c r="B2657" s="1" t="n">
        <v>45532</v>
      </c>
      <c r="C2657" s="1" t="n">
        <v>45822</v>
      </c>
      <c r="D2657" t="inlineStr">
        <is>
          <t>VÄRMLANDS LÄN</t>
        </is>
      </c>
      <c r="E2657" t="inlineStr">
        <is>
          <t>TORSBY</t>
        </is>
      </c>
      <c r="G2657" t="n">
        <v>11.8</v>
      </c>
      <c r="H2657" t="n">
        <v>0</v>
      </c>
      <c r="I2657" t="n">
        <v>0</v>
      </c>
      <c r="J2657" t="n">
        <v>0</v>
      </c>
      <c r="K2657" t="n">
        <v>0</v>
      </c>
      <c r="L2657" t="n">
        <v>0</v>
      </c>
      <c r="M2657" t="n">
        <v>0</v>
      </c>
      <c r="N2657" t="n">
        <v>0</v>
      </c>
      <c r="O2657" t="n">
        <v>0</v>
      </c>
      <c r="P2657" t="n">
        <v>0</v>
      </c>
      <c r="Q2657" t="n">
        <v>0</v>
      </c>
      <c r="R2657" s="2" t="inlineStr"/>
    </row>
    <row r="2658" ht="15" customHeight="1">
      <c r="A2658" t="inlineStr">
        <is>
          <t>A 35774-2024</t>
        </is>
      </c>
      <c r="B2658" s="1" t="n">
        <v>45532</v>
      </c>
      <c r="C2658" s="1" t="n">
        <v>45822</v>
      </c>
      <c r="D2658" t="inlineStr">
        <is>
          <t>VÄRMLANDS LÄN</t>
        </is>
      </c>
      <c r="E2658" t="inlineStr">
        <is>
          <t>TORSBY</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35787-2024</t>
        </is>
      </c>
      <c r="B2659" s="1" t="n">
        <v>45532</v>
      </c>
      <c r="C2659" s="1" t="n">
        <v>45822</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35769-2024</t>
        </is>
      </c>
      <c r="B2660" s="1" t="n">
        <v>45532</v>
      </c>
      <c r="C2660" s="1" t="n">
        <v>45822</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35777-2024</t>
        </is>
      </c>
      <c r="B2661" s="1" t="n">
        <v>45532</v>
      </c>
      <c r="C2661" s="1" t="n">
        <v>45822</v>
      </c>
      <c r="D2661" t="inlineStr">
        <is>
          <t>VÄRMLANDS LÄN</t>
        </is>
      </c>
      <c r="E2661" t="inlineStr">
        <is>
          <t>TORSBY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35967-2024</t>
        </is>
      </c>
      <c r="B2662" s="1" t="n">
        <v>45533</v>
      </c>
      <c r="C2662" s="1" t="n">
        <v>45822</v>
      </c>
      <c r="D2662" t="inlineStr">
        <is>
          <t>VÄRMLANDS LÄN</t>
        </is>
      </c>
      <c r="E2662" t="inlineStr">
        <is>
          <t>TORSBY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36057-2024</t>
        </is>
      </c>
      <c r="B2663" s="1" t="n">
        <v>45533</v>
      </c>
      <c r="C2663" s="1" t="n">
        <v>45822</v>
      </c>
      <c r="D2663" t="inlineStr">
        <is>
          <t>VÄRMLANDS LÄN</t>
        </is>
      </c>
      <c r="E2663" t="inlineStr">
        <is>
          <t>TORSBY</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36153-2024</t>
        </is>
      </c>
      <c r="B2664" s="1" t="n">
        <v>45534</v>
      </c>
      <c r="C2664" s="1" t="n">
        <v>45822</v>
      </c>
      <c r="D2664" t="inlineStr">
        <is>
          <t>VÄRMLANDS LÄN</t>
        </is>
      </c>
      <c r="E2664" t="inlineStr">
        <is>
          <t>TORSBY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36175-2024</t>
        </is>
      </c>
      <c r="B2665" s="1" t="n">
        <v>45534</v>
      </c>
      <c r="C2665" s="1" t="n">
        <v>45822</v>
      </c>
      <c r="D2665" t="inlineStr">
        <is>
          <t>VÄRMLANDS LÄN</t>
        </is>
      </c>
      <c r="E2665" t="inlineStr">
        <is>
          <t>TORSBY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36184-2024</t>
        </is>
      </c>
      <c r="B2666" s="1" t="n">
        <v>45534</v>
      </c>
      <c r="C2666" s="1" t="n">
        <v>45822</v>
      </c>
      <c r="D2666" t="inlineStr">
        <is>
          <t>VÄRMLANDS LÄN</t>
        </is>
      </c>
      <c r="E2666" t="inlineStr">
        <is>
          <t>TORSBY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36419-2024</t>
        </is>
      </c>
      <c r="B2667" s="1" t="n">
        <v>45536</v>
      </c>
      <c r="C2667" s="1" t="n">
        <v>45822</v>
      </c>
      <c r="D2667" t="inlineStr">
        <is>
          <t>VÄRMLANDS LÄN</t>
        </is>
      </c>
      <c r="E2667" t="inlineStr">
        <is>
          <t>TORSBY</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36558-2024</t>
        </is>
      </c>
      <c r="B2668" s="1" t="n">
        <v>45537</v>
      </c>
      <c r="C2668" s="1" t="n">
        <v>45822</v>
      </c>
      <c r="D2668" t="inlineStr">
        <is>
          <t>VÄRMLANDS LÄN</t>
        </is>
      </c>
      <c r="E2668" t="inlineStr">
        <is>
          <t>TORSBY</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36578-2024</t>
        </is>
      </c>
      <c r="B2669" s="1" t="n">
        <v>45537</v>
      </c>
      <c r="C2669" s="1" t="n">
        <v>45822</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36540-2024</t>
        </is>
      </c>
      <c r="B2670" s="1" t="n">
        <v>45537</v>
      </c>
      <c r="C2670" s="1" t="n">
        <v>45822</v>
      </c>
      <c r="D2670" t="inlineStr">
        <is>
          <t>VÄRMLANDS LÄN</t>
        </is>
      </c>
      <c r="E2670" t="inlineStr">
        <is>
          <t>TORSBY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36445-2024</t>
        </is>
      </c>
      <c r="B2671" s="1" t="n">
        <v>45537</v>
      </c>
      <c r="C2671" s="1" t="n">
        <v>45822</v>
      </c>
      <c r="D2671" t="inlineStr">
        <is>
          <t>VÄRMLANDS LÄN</t>
        </is>
      </c>
      <c r="E2671" t="inlineStr">
        <is>
          <t>TORSBY</t>
        </is>
      </c>
      <c r="F2671" t="inlineStr">
        <is>
          <t>Bergvik skog väst AB</t>
        </is>
      </c>
      <c r="G2671" t="n">
        <v>78.3</v>
      </c>
      <c r="H2671" t="n">
        <v>0</v>
      </c>
      <c r="I2671" t="n">
        <v>0</v>
      </c>
      <c r="J2671" t="n">
        <v>0</v>
      </c>
      <c r="K2671" t="n">
        <v>0</v>
      </c>
      <c r="L2671" t="n">
        <v>0</v>
      </c>
      <c r="M2671" t="n">
        <v>0</v>
      </c>
      <c r="N2671" t="n">
        <v>0</v>
      </c>
      <c r="O2671" t="n">
        <v>0</v>
      </c>
      <c r="P2671" t="n">
        <v>0</v>
      </c>
      <c r="Q2671" t="n">
        <v>0</v>
      </c>
      <c r="R2671" s="2" t="inlineStr"/>
    </row>
    <row r="2672" ht="15" customHeight="1">
      <c r="A2672" t="inlineStr">
        <is>
          <t>A 36718-2024</t>
        </is>
      </c>
      <c r="B2672" s="1" t="n">
        <v>45537</v>
      </c>
      <c r="C2672" s="1" t="n">
        <v>45822</v>
      </c>
      <c r="D2672" t="inlineStr">
        <is>
          <t>VÄRMLANDS LÄN</t>
        </is>
      </c>
      <c r="E2672" t="inlineStr">
        <is>
          <t>TORSBY</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36765-2024</t>
        </is>
      </c>
      <c r="B2673" s="1" t="n">
        <v>45538</v>
      </c>
      <c r="C2673" s="1" t="n">
        <v>45822</v>
      </c>
      <c r="D2673" t="inlineStr">
        <is>
          <t>VÄRMLANDS LÄN</t>
        </is>
      </c>
      <c r="E2673" t="inlineStr">
        <is>
          <t>TORSBY</t>
        </is>
      </c>
      <c r="F2673" t="inlineStr">
        <is>
          <t>Bergvik skog väst AB</t>
        </is>
      </c>
      <c r="G2673" t="n">
        <v>11.8</v>
      </c>
      <c r="H2673" t="n">
        <v>0</v>
      </c>
      <c r="I2673" t="n">
        <v>0</v>
      </c>
      <c r="J2673" t="n">
        <v>0</v>
      </c>
      <c r="K2673" t="n">
        <v>0</v>
      </c>
      <c r="L2673" t="n">
        <v>0</v>
      </c>
      <c r="M2673" t="n">
        <v>0</v>
      </c>
      <c r="N2673" t="n">
        <v>0</v>
      </c>
      <c r="O2673" t="n">
        <v>0</v>
      </c>
      <c r="P2673" t="n">
        <v>0</v>
      </c>
      <c r="Q2673" t="n">
        <v>0</v>
      </c>
      <c r="R2673" s="2" t="inlineStr"/>
    </row>
    <row r="2674" ht="15" customHeight="1">
      <c r="A2674" t="inlineStr">
        <is>
          <t>A 36758-2024</t>
        </is>
      </c>
      <c r="B2674" s="1" t="n">
        <v>45538</v>
      </c>
      <c r="C2674" s="1" t="n">
        <v>45822</v>
      </c>
      <c r="D2674" t="inlineStr">
        <is>
          <t>VÄRMLANDS LÄN</t>
        </is>
      </c>
      <c r="E2674" t="inlineStr">
        <is>
          <t>TORSBY</t>
        </is>
      </c>
      <c r="F2674" t="inlineStr">
        <is>
          <t>Kyrkan</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36782-2024</t>
        </is>
      </c>
      <c r="B2675" s="1" t="n">
        <v>45538</v>
      </c>
      <c r="C2675" s="1" t="n">
        <v>45822</v>
      </c>
      <c r="D2675" t="inlineStr">
        <is>
          <t>VÄRMLANDS LÄN</t>
        </is>
      </c>
      <c r="E2675" t="inlineStr">
        <is>
          <t>TORSBY</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36790-2024</t>
        </is>
      </c>
      <c r="B2676" s="1" t="n">
        <v>45538</v>
      </c>
      <c r="C2676" s="1" t="n">
        <v>45822</v>
      </c>
      <c r="D2676" t="inlineStr">
        <is>
          <t>VÄRMLANDS LÄN</t>
        </is>
      </c>
      <c r="E2676" t="inlineStr">
        <is>
          <t>TORSBY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36775-2024</t>
        </is>
      </c>
      <c r="B2677" s="1" t="n">
        <v>45538</v>
      </c>
      <c r="C2677" s="1" t="n">
        <v>45822</v>
      </c>
      <c r="D2677" t="inlineStr">
        <is>
          <t>VÄRMLANDS LÄN</t>
        </is>
      </c>
      <c r="E2677" t="inlineStr">
        <is>
          <t>TORSBY</t>
        </is>
      </c>
      <c r="F2677" t="inlineStr">
        <is>
          <t>Kyrkan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36850-2024</t>
        </is>
      </c>
      <c r="B2678" s="1" t="n">
        <v>45538</v>
      </c>
      <c r="C2678" s="1" t="n">
        <v>45822</v>
      </c>
      <c r="D2678" t="inlineStr">
        <is>
          <t>VÄRMLANDS LÄN</t>
        </is>
      </c>
      <c r="E2678" t="inlineStr">
        <is>
          <t>TORSBY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36879-2024</t>
        </is>
      </c>
      <c r="B2679" s="1" t="n">
        <v>45538</v>
      </c>
      <c r="C2679" s="1" t="n">
        <v>45822</v>
      </c>
      <c r="D2679" t="inlineStr">
        <is>
          <t>VÄRMLANDS LÄN</t>
        </is>
      </c>
      <c r="E2679" t="inlineStr">
        <is>
          <t>TORSBY</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36922-2024</t>
        </is>
      </c>
      <c r="B2680" s="1" t="n">
        <v>45538</v>
      </c>
      <c r="C2680" s="1" t="n">
        <v>45822</v>
      </c>
      <c r="D2680" t="inlineStr">
        <is>
          <t>VÄRMLANDS LÄN</t>
        </is>
      </c>
      <c r="E2680" t="inlineStr">
        <is>
          <t>TORSBY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36939-2024</t>
        </is>
      </c>
      <c r="B2681" s="1" t="n">
        <v>45538</v>
      </c>
      <c r="C2681" s="1" t="n">
        <v>45822</v>
      </c>
      <c r="D2681" t="inlineStr">
        <is>
          <t>VÄRMLANDS LÄN</t>
        </is>
      </c>
      <c r="E2681" t="inlineStr">
        <is>
          <t>TORSBY</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36917-2024</t>
        </is>
      </c>
      <c r="B2682" s="1" t="n">
        <v>45538</v>
      </c>
      <c r="C2682" s="1" t="n">
        <v>45822</v>
      </c>
      <c r="D2682" t="inlineStr">
        <is>
          <t>VÄRMLANDS LÄN</t>
        </is>
      </c>
      <c r="E2682" t="inlineStr">
        <is>
          <t>TORSBY</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36964-2024</t>
        </is>
      </c>
      <c r="B2683" s="1" t="n">
        <v>45538</v>
      </c>
      <c r="C2683" s="1" t="n">
        <v>45822</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37153-2024</t>
        </is>
      </c>
      <c r="B2684" s="1" t="n">
        <v>45539</v>
      </c>
      <c r="C2684" s="1" t="n">
        <v>45822</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37194-2024</t>
        </is>
      </c>
      <c r="B2685" s="1" t="n">
        <v>45539</v>
      </c>
      <c r="C2685" s="1" t="n">
        <v>45822</v>
      </c>
      <c r="D2685" t="inlineStr">
        <is>
          <t>VÄRMLANDS LÄN</t>
        </is>
      </c>
      <c r="E2685" t="inlineStr">
        <is>
          <t>TORSBY</t>
        </is>
      </c>
      <c r="F2685" t="inlineStr">
        <is>
          <t>Bergvik skog väst AB</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37238-2024</t>
        </is>
      </c>
      <c r="B2686" s="1" t="n">
        <v>45540</v>
      </c>
      <c r="C2686" s="1" t="n">
        <v>45822</v>
      </c>
      <c r="D2686" t="inlineStr">
        <is>
          <t>VÄRMLANDS LÄN</t>
        </is>
      </c>
      <c r="E2686" t="inlineStr">
        <is>
          <t>TORSBY</t>
        </is>
      </c>
      <c r="F2686" t="inlineStr">
        <is>
          <t>Bergvik skog väst AB</t>
        </is>
      </c>
      <c r="G2686" t="n">
        <v>11.9</v>
      </c>
      <c r="H2686" t="n">
        <v>0</v>
      </c>
      <c r="I2686" t="n">
        <v>0</v>
      </c>
      <c r="J2686" t="n">
        <v>0</v>
      </c>
      <c r="K2686" t="n">
        <v>0</v>
      </c>
      <c r="L2686" t="n">
        <v>0</v>
      </c>
      <c r="M2686" t="n">
        <v>0</v>
      </c>
      <c r="N2686" t="n">
        <v>0</v>
      </c>
      <c r="O2686" t="n">
        <v>0</v>
      </c>
      <c r="P2686" t="n">
        <v>0</v>
      </c>
      <c r="Q2686" t="n">
        <v>0</v>
      </c>
      <c r="R2686" s="2" t="inlineStr"/>
    </row>
    <row r="2687" ht="15" customHeight="1">
      <c r="A2687" t="inlineStr">
        <is>
          <t>A 37477-2024</t>
        </is>
      </c>
      <c r="B2687" s="1" t="n">
        <v>45541</v>
      </c>
      <c r="C2687" s="1" t="n">
        <v>45822</v>
      </c>
      <c r="D2687" t="inlineStr">
        <is>
          <t>VÄRMLANDS LÄN</t>
        </is>
      </c>
      <c r="E2687" t="inlineStr">
        <is>
          <t>TORSBY</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37580-2024</t>
        </is>
      </c>
      <c r="B2688" s="1" t="n">
        <v>45541</v>
      </c>
      <c r="C2688" s="1" t="n">
        <v>45822</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37665-2024</t>
        </is>
      </c>
      <c r="B2689" s="1" t="n">
        <v>45541</v>
      </c>
      <c r="C2689" s="1" t="n">
        <v>45822</v>
      </c>
      <c r="D2689" t="inlineStr">
        <is>
          <t>VÄRMLANDS LÄN</t>
        </is>
      </c>
      <c r="E2689" t="inlineStr">
        <is>
          <t>TORSBY</t>
        </is>
      </c>
      <c r="F2689" t="inlineStr">
        <is>
          <t>Kyrkan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37533-2024</t>
        </is>
      </c>
      <c r="B2690" s="1" t="n">
        <v>45541</v>
      </c>
      <c r="C2690" s="1" t="n">
        <v>45822</v>
      </c>
      <c r="D2690" t="inlineStr">
        <is>
          <t>VÄRMLANDS LÄN</t>
        </is>
      </c>
      <c r="E2690" t="inlineStr">
        <is>
          <t>TORSBY</t>
        </is>
      </c>
      <c r="F2690" t="inlineStr">
        <is>
          <t>Bergvik skog väst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37733-2024</t>
        </is>
      </c>
      <c r="B2691" s="1" t="n">
        <v>45541</v>
      </c>
      <c r="C2691" s="1" t="n">
        <v>45822</v>
      </c>
      <c r="D2691" t="inlineStr">
        <is>
          <t>VÄRMLANDS LÄN</t>
        </is>
      </c>
      <c r="E2691" t="inlineStr">
        <is>
          <t>TORSBY</t>
        </is>
      </c>
      <c r="F2691" t="inlineStr">
        <is>
          <t>Bergvik skog väst AB</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37884-2024</t>
        </is>
      </c>
      <c r="B2692" s="1" t="n">
        <v>45544</v>
      </c>
      <c r="C2692" s="1" t="n">
        <v>45822</v>
      </c>
      <c r="D2692" t="inlineStr">
        <is>
          <t>VÄRMLANDS LÄN</t>
        </is>
      </c>
      <c r="E2692" t="inlineStr">
        <is>
          <t>TORSBY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37853-2024</t>
        </is>
      </c>
      <c r="B2693" s="1" t="n">
        <v>45544</v>
      </c>
      <c r="C2693" s="1" t="n">
        <v>45822</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37901-2024</t>
        </is>
      </c>
      <c r="B2694" s="1" t="n">
        <v>45544</v>
      </c>
      <c r="C2694" s="1" t="n">
        <v>45822</v>
      </c>
      <c r="D2694" t="inlineStr">
        <is>
          <t>VÄRMLANDS LÄN</t>
        </is>
      </c>
      <c r="E2694" t="inlineStr">
        <is>
          <t>TORSBY</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37913-2024</t>
        </is>
      </c>
      <c r="B2695" s="1" t="n">
        <v>45544</v>
      </c>
      <c r="C2695" s="1" t="n">
        <v>45822</v>
      </c>
      <c r="D2695" t="inlineStr">
        <is>
          <t>VÄRMLANDS LÄN</t>
        </is>
      </c>
      <c r="E2695" t="inlineStr">
        <is>
          <t>TORSBY</t>
        </is>
      </c>
      <c r="F2695" t="inlineStr">
        <is>
          <t>Bergvik skog väst AB</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38062-2024</t>
        </is>
      </c>
      <c r="B2696" s="1" t="n">
        <v>45544</v>
      </c>
      <c r="C2696" s="1" t="n">
        <v>45822</v>
      </c>
      <c r="D2696" t="inlineStr">
        <is>
          <t>VÄRMLANDS LÄN</t>
        </is>
      </c>
      <c r="E2696" t="inlineStr">
        <is>
          <t>TORSBY</t>
        </is>
      </c>
      <c r="F2696" t="inlineStr">
        <is>
          <t>Bergvik skog väst AB</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38076-2024</t>
        </is>
      </c>
      <c r="B2697" s="1" t="n">
        <v>45544</v>
      </c>
      <c r="C2697" s="1" t="n">
        <v>45822</v>
      </c>
      <c r="D2697" t="inlineStr">
        <is>
          <t>VÄRMLANDS LÄN</t>
        </is>
      </c>
      <c r="E2697" t="inlineStr">
        <is>
          <t>TORSBY</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38100-2024</t>
        </is>
      </c>
      <c r="B2698" s="1" t="n">
        <v>45545</v>
      </c>
      <c r="C2698" s="1" t="n">
        <v>45822</v>
      </c>
      <c r="D2698" t="inlineStr">
        <is>
          <t>VÄRMLANDS LÄN</t>
        </is>
      </c>
      <c r="E2698" t="inlineStr">
        <is>
          <t>TORSBY</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38085-2024</t>
        </is>
      </c>
      <c r="B2699" s="1" t="n">
        <v>45545</v>
      </c>
      <c r="C2699" s="1" t="n">
        <v>45822</v>
      </c>
      <c r="D2699" t="inlineStr">
        <is>
          <t>VÄRMLANDS LÄN</t>
        </is>
      </c>
      <c r="E2699" t="inlineStr">
        <is>
          <t>TORSBY</t>
        </is>
      </c>
      <c r="F2699" t="inlineStr">
        <is>
          <t>Bergvik skog väst AB</t>
        </is>
      </c>
      <c r="G2699" t="n">
        <v>27.8</v>
      </c>
      <c r="H2699" t="n">
        <v>0</v>
      </c>
      <c r="I2699" t="n">
        <v>0</v>
      </c>
      <c r="J2699" t="n">
        <v>0</v>
      </c>
      <c r="K2699" t="n">
        <v>0</v>
      </c>
      <c r="L2699" t="n">
        <v>0</v>
      </c>
      <c r="M2699" t="n">
        <v>0</v>
      </c>
      <c r="N2699" t="n">
        <v>0</v>
      </c>
      <c r="O2699" t="n">
        <v>0</v>
      </c>
      <c r="P2699" t="n">
        <v>0</v>
      </c>
      <c r="Q2699" t="n">
        <v>0</v>
      </c>
      <c r="R2699" s="2" t="inlineStr"/>
    </row>
    <row r="2700" ht="15" customHeight="1">
      <c r="A2700" t="inlineStr">
        <is>
          <t>A 38148-2024</t>
        </is>
      </c>
      <c r="B2700" s="1" t="n">
        <v>45545</v>
      </c>
      <c r="C2700" s="1" t="n">
        <v>45822</v>
      </c>
      <c r="D2700" t="inlineStr">
        <is>
          <t>VÄRMLANDS LÄN</t>
        </is>
      </c>
      <c r="E2700" t="inlineStr">
        <is>
          <t>TORSBY</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38184-2024</t>
        </is>
      </c>
      <c r="B2701" s="1" t="n">
        <v>45545</v>
      </c>
      <c r="C2701" s="1" t="n">
        <v>45822</v>
      </c>
      <c r="D2701" t="inlineStr">
        <is>
          <t>VÄRMLANDS LÄN</t>
        </is>
      </c>
      <c r="E2701" t="inlineStr">
        <is>
          <t>TORSBY</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38206-2024</t>
        </is>
      </c>
      <c r="B2702" s="1" t="n">
        <v>45545</v>
      </c>
      <c r="C2702" s="1" t="n">
        <v>45822</v>
      </c>
      <c r="D2702" t="inlineStr">
        <is>
          <t>VÄRMLANDS LÄN</t>
        </is>
      </c>
      <c r="E2702" t="inlineStr">
        <is>
          <t>TORSBY</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38353-2024</t>
        </is>
      </c>
      <c r="B2703" s="1" t="n">
        <v>45545</v>
      </c>
      <c r="C2703" s="1" t="n">
        <v>45822</v>
      </c>
      <c r="D2703" t="inlineStr">
        <is>
          <t>VÄRMLANDS LÄN</t>
        </is>
      </c>
      <c r="E2703" t="inlineStr">
        <is>
          <t>TORSBY</t>
        </is>
      </c>
      <c r="G2703" t="n">
        <v>20.8</v>
      </c>
      <c r="H2703" t="n">
        <v>0</v>
      </c>
      <c r="I2703" t="n">
        <v>0</v>
      </c>
      <c r="J2703" t="n">
        <v>0</v>
      </c>
      <c r="K2703" t="n">
        <v>0</v>
      </c>
      <c r="L2703" t="n">
        <v>0</v>
      </c>
      <c r="M2703" t="n">
        <v>0</v>
      </c>
      <c r="N2703" t="n">
        <v>0</v>
      </c>
      <c r="O2703" t="n">
        <v>0</v>
      </c>
      <c r="P2703" t="n">
        <v>0</v>
      </c>
      <c r="Q2703" t="n">
        <v>0</v>
      </c>
      <c r="R2703" s="2" t="inlineStr"/>
    </row>
    <row r="2704" ht="15" customHeight="1">
      <c r="A2704" t="inlineStr">
        <is>
          <t>A 38497-2024</t>
        </is>
      </c>
      <c r="B2704" s="1" t="n">
        <v>45546</v>
      </c>
      <c r="C2704" s="1" t="n">
        <v>45822</v>
      </c>
      <c r="D2704" t="inlineStr">
        <is>
          <t>VÄRMLANDS LÄN</t>
        </is>
      </c>
      <c r="E2704" t="inlineStr">
        <is>
          <t>TORSBY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38618-2024</t>
        </is>
      </c>
      <c r="B2705" s="1" t="n">
        <v>45546</v>
      </c>
      <c r="C2705" s="1" t="n">
        <v>45822</v>
      </c>
      <c r="D2705" t="inlineStr">
        <is>
          <t>VÄRMLANDS LÄN</t>
        </is>
      </c>
      <c r="E2705" t="inlineStr">
        <is>
          <t>TORSBY</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38911-2024</t>
        </is>
      </c>
      <c r="B2706" s="1" t="n">
        <v>45547</v>
      </c>
      <c r="C2706" s="1" t="n">
        <v>45822</v>
      </c>
      <c r="D2706" t="inlineStr">
        <is>
          <t>VÄRMLANDS LÄN</t>
        </is>
      </c>
      <c r="E2706" t="inlineStr">
        <is>
          <t>TORSBY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38931-2024</t>
        </is>
      </c>
      <c r="B2707" s="1" t="n">
        <v>45548</v>
      </c>
      <c r="C2707" s="1" t="n">
        <v>45822</v>
      </c>
      <c r="D2707" t="inlineStr">
        <is>
          <t>VÄRMLANDS LÄN</t>
        </is>
      </c>
      <c r="E2707" t="inlineStr">
        <is>
          <t>TORSBY</t>
        </is>
      </c>
      <c r="F2707" t="inlineStr">
        <is>
          <t>Bergvik skog väst AB</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39075-2024</t>
        </is>
      </c>
      <c r="B2708" s="1" t="n">
        <v>45548</v>
      </c>
      <c r="C2708" s="1" t="n">
        <v>45822</v>
      </c>
      <c r="D2708" t="inlineStr">
        <is>
          <t>VÄRMLANDS LÄN</t>
        </is>
      </c>
      <c r="E2708" t="inlineStr">
        <is>
          <t>TORSBY</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39277-2024</t>
        </is>
      </c>
      <c r="B2709" s="1" t="n">
        <v>45551</v>
      </c>
      <c r="C2709" s="1" t="n">
        <v>45822</v>
      </c>
      <c r="D2709" t="inlineStr">
        <is>
          <t>VÄRMLANDS LÄN</t>
        </is>
      </c>
      <c r="E2709" t="inlineStr">
        <is>
          <t>TORSBY</t>
        </is>
      </c>
      <c r="F2709" t="inlineStr">
        <is>
          <t>Bergvik skog väst AB</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39378-2024</t>
        </is>
      </c>
      <c r="B2710" s="1" t="n">
        <v>45551</v>
      </c>
      <c r="C2710" s="1" t="n">
        <v>45822</v>
      </c>
      <c r="D2710" t="inlineStr">
        <is>
          <t>VÄRMLANDS LÄN</t>
        </is>
      </c>
      <c r="E2710" t="inlineStr">
        <is>
          <t>TORSBY</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39383-2024</t>
        </is>
      </c>
      <c r="B2711" s="1" t="n">
        <v>45551</v>
      </c>
      <c r="C2711" s="1" t="n">
        <v>45822</v>
      </c>
      <c r="D2711" t="inlineStr">
        <is>
          <t>VÄRMLANDS LÄN</t>
        </is>
      </c>
      <c r="E2711" t="inlineStr">
        <is>
          <t>TORSBY</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39587-2024</t>
        </is>
      </c>
      <c r="B2712" s="1" t="n">
        <v>45551</v>
      </c>
      <c r="C2712" s="1" t="n">
        <v>45822</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39569-2024</t>
        </is>
      </c>
      <c r="B2713" s="1" t="n">
        <v>45551</v>
      </c>
      <c r="C2713" s="1" t="n">
        <v>45822</v>
      </c>
      <c r="D2713" t="inlineStr">
        <is>
          <t>VÄRMLANDS LÄN</t>
        </is>
      </c>
      <c r="E2713" t="inlineStr">
        <is>
          <t>TORSBY</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39567-2024</t>
        </is>
      </c>
      <c r="B2714" s="1" t="n">
        <v>45552</v>
      </c>
      <c r="C2714" s="1" t="n">
        <v>45822</v>
      </c>
      <c r="D2714" t="inlineStr">
        <is>
          <t>VÄRMLANDS LÄN</t>
        </is>
      </c>
      <c r="E2714" t="inlineStr">
        <is>
          <t>TORSBY</t>
        </is>
      </c>
      <c r="F2714" t="inlineStr">
        <is>
          <t>Bergvik skog väst AB</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39617-2024</t>
        </is>
      </c>
      <c r="B2715" s="1" t="n">
        <v>45552</v>
      </c>
      <c r="C2715" s="1" t="n">
        <v>45822</v>
      </c>
      <c r="D2715" t="inlineStr">
        <is>
          <t>VÄRMLANDS LÄN</t>
        </is>
      </c>
      <c r="E2715" t="inlineStr">
        <is>
          <t>TORSBY</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39767-2024</t>
        </is>
      </c>
      <c r="B2716" s="1" t="n">
        <v>45552</v>
      </c>
      <c r="C2716" s="1" t="n">
        <v>45822</v>
      </c>
      <c r="D2716" t="inlineStr">
        <is>
          <t>VÄRMLANDS LÄN</t>
        </is>
      </c>
      <c r="E2716" t="inlineStr">
        <is>
          <t>TORSBY</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39771-2024</t>
        </is>
      </c>
      <c r="B2717" s="1" t="n">
        <v>45552</v>
      </c>
      <c r="C2717" s="1" t="n">
        <v>45822</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39746-2024</t>
        </is>
      </c>
      <c r="B2718" s="1" t="n">
        <v>45552</v>
      </c>
      <c r="C2718" s="1" t="n">
        <v>45822</v>
      </c>
      <c r="D2718" t="inlineStr">
        <is>
          <t>VÄRMLANDS LÄN</t>
        </is>
      </c>
      <c r="E2718" t="inlineStr">
        <is>
          <t>TORSBY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39770-2024</t>
        </is>
      </c>
      <c r="B2719" s="1" t="n">
        <v>45552</v>
      </c>
      <c r="C2719" s="1" t="n">
        <v>45822</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39768-2024</t>
        </is>
      </c>
      <c r="B2720" s="1" t="n">
        <v>45552</v>
      </c>
      <c r="C2720" s="1" t="n">
        <v>45822</v>
      </c>
      <c r="D2720" t="inlineStr">
        <is>
          <t>VÄRMLANDS LÄN</t>
        </is>
      </c>
      <c r="E2720" t="inlineStr">
        <is>
          <t>TORSBY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39772-2024</t>
        </is>
      </c>
      <c r="B2721" s="1" t="n">
        <v>45552</v>
      </c>
      <c r="C2721" s="1" t="n">
        <v>45822</v>
      </c>
      <c r="D2721" t="inlineStr">
        <is>
          <t>VÄRMLANDS LÄN</t>
        </is>
      </c>
      <c r="E2721" t="inlineStr">
        <is>
          <t>TORSBY</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39769-2024</t>
        </is>
      </c>
      <c r="B2722" s="1" t="n">
        <v>45552</v>
      </c>
      <c r="C2722" s="1" t="n">
        <v>45822</v>
      </c>
      <c r="D2722" t="inlineStr">
        <is>
          <t>VÄRMLANDS LÄN</t>
        </is>
      </c>
      <c r="E2722" t="inlineStr">
        <is>
          <t>TORSBY</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39953-2024</t>
        </is>
      </c>
      <c r="B2723" s="1" t="n">
        <v>45553</v>
      </c>
      <c r="C2723" s="1" t="n">
        <v>45822</v>
      </c>
      <c r="D2723" t="inlineStr">
        <is>
          <t>VÄRMLANDS LÄN</t>
        </is>
      </c>
      <c r="E2723" t="inlineStr">
        <is>
          <t>TORSBY</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39985-2024</t>
        </is>
      </c>
      <c r="B2724" s="1" t="n">
        <v>45553</v>
      </c>
      <c r="C2724" s="1" t="n">
        <v>45822</v>
      </c>
      <c r="D2724" t="inlineStr">
        <is>
          <t>VÄRMLANDS LÄN</t>
        </is>
      </c>
      <c r="E2724" t="inlineStr">
        <is>
          <t>TORSBY</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40180-2024</t>
        </is>
      </c>
      <c r="B2725" s="1" t="n">
        <v>45554</v>
      </c>
      <c r="C2725" s="1" t="n">
        <v>45822</v>
      </c>
      <c r="D2725" t="inlineStr">
        <is>
          <t>VÄRMLANDS LÄN</t>
        </is>
      </c>
      <c r="E2725" t="inlineStr">
        <is>
          <t>TORSBY</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40227-2024</t>
        </is>
      </c>
      <c r="B2726" s="1" t="n">
        <v>45554</v>
      </c>
      <c r="C2726" s="1" t="n">
        <v>45822</v>
      </c>
      <c r="D2726" t="inlineStr">
        <is>
          <t>VÄRMLANDS LÄN</t>
        </is>
      </c>
      <c r="E2726" t="inlineStr">
        <is>
          <t>TORSBY</t>
        </is>
      </c>
      <c r="F2726" t="inlineStr">
        <is>
          <t>Bergvik skog väst AB</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40157-2024</t>
        </is>
      </c>
      <c r="B2727" s="1" t="n">
        <v>45554</v>
      </c>
      <c r="C2727" s="1" t="n">
        <v>45822</v>
      </c>
      <c r="D2727" t="inlineStr">
        <is>
          <t>VÄRMLANDS LÄN</t>
        </is>
      </c>
      <c r="E2727" t="inlineStr">
        <is>
          <t>TORSBY</t>
        </is>
      </c>
      <c r="F2727" t="inlineStr">
        <is>
          <t>Bergvik skog väst AB</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40301-2024</t>
        </is>
      </c>
      <c r="B2728" s="1" t="n">
        <v>45554</v>
      </c>
      <c r="C2728" s="1" t="n">
        <v>45822</v>
      </c>
      <c r="D2728" t="inlineStr">
        <is>
          <t>VÄRMLANDS LÄN</t>
        </is>
      </c>
      <c r="E2728" t="inlineStr">
        <is>
          <t>TORSBY</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40541-2024</t>
        </is>
      </c>
      <c r="B2729" s="1" t="n">
        <v>45555</v>
      </c>
      <c r="C2729" s="1" t="n">
        <v>45822</v>
      </c>
      <c r="D2729" t="inlineStr">
        <is>
          <t>VÄRMLANDS LÄN</t>
        </is>
      </c>
      <c r="E2729" t="inlineStr">
        <is>
          <t>TORSBY</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40565-2024</t>
        </is>
      </c>
      <c r="B2730" s="1" t="n">
        <v>45555</v>
      </c>
      <c r="C2730" s="1" t="n">
        <v>45822</v>
      </c>
      <c r="D2730" t="inlineStr">
        <is>
          <t>VÄRMLANDS LÄN</t>
        </is>
      </c>
      <c r="E2730" t="inlineStr">
        <is>
          <t>TORSBY</t>
        </is>
      </c>
      <c r="F2730" t="inlineStr">
        <is>
          <t>Bergvik skog väst AB</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40573-2024</t>
        </is>
      </c>
      <c r="B2731" s="1" t="n">
        <v>45555</v>
      </c>
      <c r="C2731" s="1" t="n">
        <v>45822</v>
      </c>
      <c r="D2731" t="inlineStr">
        <is>
          <t>VÄRMLANDS LÄN</t>
        </is>
      </c>
      <c r="E2731" t="inlineStr">
        <is>
          <t>TORSBY</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40546-2024</t>
        </is>
      </c>
      <c r="B2732" s="1" t="n">
        <v>45555</v>
      </c>
      <c r="C2732" s="1" t="n">
        <v>45822</v>
      </c>
      <c r="D2732" t="inlineStr">
        <is>
          <t>VÄRMLANDS LÄN</t>
        </is>
      </c>
      <c r="E2732" t="inlineStr">
        <is>
          <t>TORSBY</t>
        </is>
      </c>
      <c r="F2732" t="inlineStr">
        <is>
          <t>Bergvik skog väst AB</t>
        </is>
      </c>
      <c r="G2732" t="n">
        <v>13.9</v>
      </c>
      <c r="H2732" t="n">
        <v>0</v>
      </c>
      <c r="I2732" t="n">
        <v>0</v>
      </c>
      <c r="J2732" t="n">
        <v>0</v>
      </c>
      <c r="K2732" t="n">
        <v>0</v>
      </c>
      <c r="L2732" t="n">
        <v>0</v>
      </c>
      <c r="M2732" t="n">
        <v>0</v>
      </c>
      <c r="N2732" t="n">
        <v>0</v>
      </c>
      <c r="O2732" t="n">
        <v>0</v>
      </c>
      <c r="P2732" t="n">
        <v>0</v>
      </c>
      <c r="Q2732" t="n">
        <v>0</v>
      </c>
      <c r="R2732" s="2" t="inlineStr"/>
    </row>
    <row r="2733" ht="15" customHeight="1">
      <c r="A2733" t="inlineStr">
        <is>
          <t>A 40914-2024</t>
        </is>
      </c>
      <c r="B2733" s="1" t="n">
        <v>45558</v>
      </c>
      <c r="C2733" s="1" t="n">
        <v>45822</v>
      </c>
      <c r="D2733" t="inlineStr">
        <is>
          <t>VÄRMLANDS LÄN</t>
        </is>
      </c>
      <c r="E2733" t="inlineStr">
        <is>
          <t>TORSBY</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40807-2024</t>
        </is>
      </c>
      <c r="B2734" s="1" t="n">
        <v>45558</v>
      </c>
      <c r="C2734" s="1" t="n">
        <v>45822</v>
      </c>
      <c r="D2734" t="inlineStr">
        <is>
          <t>VÄRMLANDS LÄN</t>
        </is>
      </c>
      <c r="E2734" t="inlineStr">
        <is>
          <t>TORSBY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40810-2024</t>
        </is>
      </c>
      <c r="B2735" s="1" t="n">
        <v>45558</v>
      </c>
      <c r="C2735" s="1" t="n">
        <v>45822</v>
      </c>
      <c r="D2735" t="inlineStr">
        <is>
          <t>VÄRMLANDS LÄN</t>
        </is>
      </c>
      <c r="E2735" t="inlineStr">
        <is>
          <t>TORSBY</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40987-2024</t>
        </is>
      </c>
      <c r="B2736" s="1" t="n">
        <v>45558</v>
      </c>
      <c r="C2736" s="1" t="n">
        <v>45822</v>
      </c>
      <c r="D2736" t="inlineStr">
        <is>
          <t>VÄRMLANDS LÄN</t>
        </is>
      </c>
      <c r="E2736" t="inlineStr">
        <is>
          <t>TORSBY</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41161-2024</t>
        </is>
      </c>
      <c r="B2737" s="1" t="n">
        <v>45559</v>
      </c>
      <c r="C2737" s="1" t="n">
        <v>45822</v>
      </c>
      <c r="D2737" t="inlineStr">
        <is>
          <t>VÄRMLANDS LÄN</t>
        </is>
      </c>
      <c r="E2737" t="inlineStr">
        <is>
          <t>TORSBY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41162-2024</t>
        </is>
      </c>
      <c r="B2738" s="1" t="n">
        <v>45559</v>
      </c>
      <c r="C2738" s="1" t="n">
        <v>45822</v>
      </c>
      <c r="D2738" t="inlineStr">
        <is>
          <t>VÄRMLANDS LÄN</t>
        </is>
      </c>
      <c r="E2738" t="inlineStr">
        <is>
          <t>TORSBY</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41518-2024</t>
        </is>
      </c>
      <c r="B2739" s="1" t="n">
        <v>45560</v>
      </c>
      <c r="C2739" s="1" t="n">
        <v>45822</v>
      </c>
      <c r="D2739" t="inlineStr">
        <is>
          <t>VÄRMLANDS LÄN</t>
        </is>
      </c>
      <c r="E2739" t="inlineStr">
        <is>
          <t>TORSBY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41504-2024</t>
        </is>
      </c>
      <c r="B2740" s="1" t="n">
        <v>45560</v>
      </c>
      <c r="C2740" s="1" t="n">
        <v>45822</v>
      </c>
      <c r="D2740" t="inlineStr">
        <is>
          <t>VÄRMLANDS LÄN</t>
        </is>
      </c>
      <c r="E2740" t="inlineStr">
        <is>
          <t>TORSBY</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41529-2024</t>
        </is>
      </c>
      <c r="B2741" s="1" t="n">
        <v>45560</v>
      </c>
      <c r="C2741" s="1" t="n">
        <v>45822</v>
      </c>
      <c r="D2741" t="inlineStr">
        <is>
          <t>VÄRMLANDS LÄN</t>
        </is>
      </c>
      <c r="E2741" t="inlineStr">
        <is>
          <t>TORSBY</t>
        </is>
      </c>
      <c r="F2741" t="inlineStr">
        <is>
          <t>Bergvik skog väst AB</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41501-2024</t>
        </is>
      </c>
      <c r="B2742" s="1" t="n">
        <v>45560</v>
      </c>
      <c r="C2742" s="1" t="n">
        <v>45822</v>
      </c>
      <c r="D2742" t="inlineStr">
        <is>
          <t>VÄRMLANDS LÄN</t>
        </is>
      </c>
      <c r="E2742" t="inlineStr">
        <is>
          <t>TORSBY</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41720-2024</t>
        </is>
      </c>
      <c r="B2743" s="1" t="n">
        <v>45560</v>
      </c>
      <c r="C2743" s="1" t="n">
        <v>45822</v>
      </c>
      <c r="D2743" t="inlineStr">
        <is>
          <t>VÄRMLANDS LÄN</t>
        </is>
      </c>
      <c r="E2743" t="inlineStr">
        <is>
          <t>TORSBY</t>
        </is>
      </c>
      <c r="F2743" t="inlineStr">
        <is>
          <t>Bergvik skog väst AB</t>
        </is>
      </c>
      <c r="G2743" t="n">
        <v>13.2</v>
      </c>
      <c r="H2743" t="n">
        <v>0</v>
      </c>
      <c r="I2743" t="n">
        <v>0</v>
      </c>
      <c r="J2743" t="n">
        <v>0</v>
      </c>
      <c r="K2743" t="n">
        <v>0</v>
      </c>
      <c r="L2743" t="n">
        <v>0</v>
      </c>
      <c r="M2743" t="n">
        <v>0</v>
      </c>
      <c r="N2743" t="n">
        <v>0</v>
      </c>
      <c r="O2743" t="n">
        <v>0</v>
      </c>
      <c r="P2743" t="n">
        <v>0</v>
      </c>
      <c r="Q2743" t="n">
        <v>0</v>
      </c>
      <c r="R2743" s="2" t="inlineStr"/>
    </row>
    <row r="2744" ht="15" customHeight="1">
      <c r="A2744" t="inlineStr">
        <is>
          <t>A 41534-2024</t>
        </is>
      </c>
      <c r="B2744" s="1" t="n">
        <v>45560</v>
      </c>
      <c r="C2744" s="1" t="n">
        <v>45822</v>
      </c>
      <c r="D2744" t="inlineStr">
        <is>
          <t>VÄRMLANDS LÄN</t>
        </is>
      </c>
      <c r="E2744" t="inlineStr">
        <is>
          <t>TORSBY</t>
        </is>
      </c>
      <c r="G2744" t="n">
        <v>17.3</v>
      </c>
      <c r="H2744" t="n">
        <v>0</v>
      </c>
      <c r="I2744" t="n">
        <v>0</v>
      </c>
      <c r="J2744" t="n">
        <v>0</v>
      </c>
      <c r="K2744" t="n">
        <v>0</v>
      </c>
      <c r="L2744" t="n">
        <v>0</v>
      </c>
      <c r="M2744" t="n">
        <v>0</v>
      </c>
      <c r="N2744" t="n">
        <v>0</v>
      </c>
      <c r="O2744" t="n">
        <v>0</v>
      </c>
      <c r="P2744" t="n">
        <v>0</v>
      </c>
      <c r="Q2744" t="n">
        <v>0</v>
      </c>
      <c r="R2744" s="2" t="inlineStr"/>
    </row>
    <row r="2745" ht="15" customHeight="1">
      <c r="A2745" t="inlineStr">
        <is>
          <t>A 41631-2024</t>
        </is>
      </c>
      <c r="B2745" s="1" t="n">
        <v>45560</v>
      </c>
      <c r="C2745" s="1" t="n">
        <v>45822</v>
      </c>
      <c r="D2745" t="inlineStr">
        <is>
          <t>VÄRMLANDS LÄN</t>
        </is>
      </c>
      <c r="E2745" t="inlineStr">
        <is>
          <t>TORSBY</t>
        </is>
      </c>
      <c r="F2745" t="inlineStr">
        <is>
          <t>Bergvik skog väst AB</t>
        </is>
      </c>
      <c r="G2745" t="n">
        <v>16.3</v>
      </c>
      <c r="H2745" t="n">
        <v>0</v>
      </c>
      <c r="I2745" t="n">
        <v>0</v>
      </c>
      <c r="J2745" t="n">
        <v>0</v>
      </c>
      <c r="K2745" t="n">
        <v>0</v>
      </c>
      <c r="L2745" t="n">
        <v>0</v>
      </c>
      <c r="M2745" t="n">
        <v>0</v>
      </c>
      <c r="N2745" t="n">
        <v>0</v>
      </c>
      <c r="O2745" t="n">
        <v>0</v>
      </c>
      <c r="P2745" t="n">
        <v>0</v>
      </c>
      <c r="Q2745" t="n">
        <v>0</v>
      </c>
      <c r="R2745" s="2" t="inlineStr"/>
    </row>
    <row r="2746" ht="15" customHeight="1">
      <c r="A2746" t="inlineStr">
        <is>
          <t>A 41745-2024</t>
        </is>
      </c>
      <c r="B2746" s="1" t="n">
        <v>45561</v>
      </c>
      <c r="C2746" s="1" t="n">
        <v>45822</v>
      </c>
      <c r="D2746" t="inlineStr">
        <is>
          <t>VÄRMLANDS LÄN</t>
        </is>
      </c>
      <c r="E2746" t="inlineStr">
        <is>
          <t>TORSBY</t>
        </is>
      </c>
      <c r="F2746" t="inlineStr">
        <is>
          <t>Bergvik skog väst AB</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41743-2024</t>
        </is>
      </c>
      <c r="B2747" s="1" t="n">
        <v>45561</v>
      </c>
      <c r="C2747" s="1" t="n">
        <v>45822</v>
      </c>
      <c r="D2747" t="inlineStr">
        <is>
          <t>VÄRMLANDS LÄN</t>
        </is>
      </c>
      <c r="E2747" t="inlineStr">
        <is>
          <t>TORSBY</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41936-2024</t>
        </is>
      </c>
      <c r="B2748" s="1" t="n">
        <v>45561</v>
      </c>
      <c r="C2748" s="1" t="n">
        <v>45822</v>
      </c>
      <c r="D2748" t="inlineStr">
        <is>
          <t>VÄRMLANDS LÄN</t>
        </is>
      </c>
      <c r="E2748" t="inlineStr">
        <is>
          <t>TORSBY</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42283-2024</t>
        </is>
      </c>
      <c r="B2749" s="1" t="n">
        <v>45562</v>
      </c>
      <c r="C2749" s="1" t="n">
        <v>45822</v>
      </c>
      <c r="D2749" t="inlineStr">
        <is>
          <t>VÄRMLANDS LÄN</t>
        </is>
      </c>
      <c r="E2749" t="inlineStr">
        <is>
          <t>TORSBY</t>
        </is>
      </c>
      <c r="F2749" t="inlineStr">
        <is>
          <t>Bergvik skog väst AB</t>
        </is>
      </c>
      <c r="G2749" t="n">
        <v>10.7</v>
      </c>
      <c r="H2749" t="n">
        <v>0</v>
      </c>
      <c r="I2749" t="n">
        <v>0</v>
      </c>
      <c r="J2749" t="n">
        <v>0</v>
      </c>
      <c r="K2749" t="n">
        <v>0</v>
      </c>
      <c r="L2749" t="n">
        <v>0</v>
      </c>
      <c r="M2749" t="n">
        <v>0</v>
      </c>
      <c r="N2749" t="n">
        <v>0</v>
      </c>
      <c r="O2749" t="n">
        <v>0</v>
      </c>
      <c r="P2749" t="n">
        <v>0</v>
      </c>
      <c r="Q2749" t="n">
        <v>0</v>
      </c>
      <c r="R2749" s="2" t="inlineStr"/>
    </row>
    <row r="2750" ht="15" customHeight="1">
      <c r="A2750" t="inlineStr">
        <is>
          <t>A 42250-2024</t>
        </is>
      </c>
      <c r="B2750" s="1" t="n">
        <v>45562</v>
      </c>
      <c r="C2750" s="1" t="n">
        <v>45822</v>
      </c>
      <c r="D2750" t="inlineStr">
        <is>
          <t>VÄRMLANDS LÄN</t>
        </is>
      </c>
      <c r="E2750" t="inlineStr">
        <is>
          <t>TORSBY</t>
        </is>
      </c>
      <c r="F2750" t="inlineStr">
        <is>
          <t>Bergvik skog väst AB</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42176-2024</t>
        </is>
      </c>
      <c r="B2751" s="1" t="n">
        <v>45562</v>
      </c>
      <c r="C2751" s="1" t="n">
        <v>45822</v>
      </c>
      <c r="D2751" t="inlineStr">
        <is>
          <t>VÄRMLANDS LÄN</t>
        </is>
      </c>
      <c r="E2751" t="inlineStr">
        <is>
          <t>TORSBY</t>
        </is>
      </c>
      <c r="F2751" t="inlineStr">
        <is>
          <t>Kommuner</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42405-2024</t>
        </is>
      </c>
      <c r="B2752" s="1" t="n">
        <v>45565</v>
      </c>
      <c r="C2752" s="1" t="n">
        <v>45822</v>
      </c>
      <c r="D2752" t="inlineStr">
        <is>
          <t>VÄRMLANDS LÄN</t>
        </is>
      </c>
      <c r="E2752" t="inlineStr">
        <is>
          <t>TORSBY</t>
        </is>
      </c>
      <c r="F2752" t="inlineStr">
        <is>
          <t>Bergvik skog väst AB</t>
        </is>
      </c>
      <c r="G2752" t="n">
        <v>10</v>
      </c>
      <c r="H2752" t="n">
        <v>0</v>
      </c>
      <c r="I2752" t="n">
        <v>0</v>
      </c>
      <c r="J2752" t="n">
        <v>0</v>
      </c>
      <c r="K2752" t="n">
        <v>0</v>
      </c>
      <c r="L2752" t="n">
        <v>0</v>
      </c>
      <c r="M2752" t="n">
        <v>0</v>
      </c>
      <c r="N2752" t="n">
        <v>0</v>
      </c>
      <c r="O2752" t="n">
        <v>0</v>
      </c>
      <c r="P2752" t="n">
        <v>0</v>
      </c>
      <c r="Q2752" t="n">
        <v>0</v>
      </c>
      <c r="R2752" s="2" t="inlineStr"/>
    </row>
    <row r="2753" ht="15" customHeight="1">
      <c r="A2753" t="inlineStr">
        <is>
          <t>A 42414-2024</t>
        </is>
      </c>
      <c r="B2753" s="1" t="n">
        <v>45565</v>
      </c>
      <c r="C2753" s="1" t="n">
        <v>45822</v>
      </c>
      <c r="D2753" t="inlineStr">
        <is>
          <t>VÄRMLANDS LÄN</t>
        </is>
      </c>
      <c r="E2753" t="inlineStr">
        <is>
          <t>TORSBY</t>
        </is>
      </c>
      <c r="F2753" t="inlineStr">
        <is>
          <t>Bergvik skog väst AB</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42424-2024</t>
        </is>
      </c>
      <c r="B2754" s="1" t="n">
        <v>45565</v>
      </c>
      <c r="C2754" s="1" t="n">
        <v>45822</v>
      </c>
      <c r="D2754" t="inlineStr">
        <is>
          <t>VÄRMLANDS LÄN</t>
        </is>
      </c>
      <c r="E2754" t="inlineStr">
        <is>
          <t>TORSBY</t>
        </is>
      </c>
      <c r="F2754" t="inlineStr">
        <is>
          <t>Bergvik skog väst AB</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42428-2024</t>
        </is>
      </c>
      <c r="B2755" s="1" t="n">
        <v>45565</v>
      </c>
      <c r="C2755" s="1" t="n">
        <v>45822</v>
      </c>
      <c r="D2755" t="inlineStr">
        <is>
          <t>VÄRMLANDS LÄN</t>
        </is>
      </c>
      <c r="E2755" t="inlineStr">
        <is>
          <t>TORSBY</t>
        </is>
      </c>
      <c r="F2755" t="inlineStr">
        <is>
          <t>Bergvik skog väst AB</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42457-2024</t>
        </is>
      </c>
      <c r="B2756" s="1" t="n">
        <v>45565</v>
      </c>
      <c r="C2756" s="1" t="n">
        <v>45822</v>
      </c>
      <c r="D2756" t="inlineStr">
        <is>
          <t>VÄRMLANDS LÄN</t>
        </is>
      </c>
      <c r="E2756" t="inlineStr">
        <is>
          <t>TORSBY</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42834-2024</t>
        </is>
      </c>
      <c r="B2757" s="1" t="n">
        <v>45566</v>
      </c>
      <c r="C2757" s="1" t="n">
        <v>45822</v>
      </c>
      <c r="D2757" t="inlineStr">
        <is>
          <t>VÄRMLANDS LÄN</t>
        </is>
      </c>
      <c r="E2757" t="inlineStr">
        <is>
          <t>TORSBY</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42662-2024</t>
        </is>
      </c>
      <c r="B2758" s="1" t="n">
        <v>45566</v>
      </c>
      <c r="C2758" s="1" t="n">
        <v>45822</v>
      </c>
      <c r="D2758" t="inlineStr">
        <is>
          <t>VÄRMLANDS LÄN</t>
        </is>
      </c>
      <c r="E2758" t="inlineStr">
        <is>
          <t>TORSBY</t>
        </is>
      </c>
      <c r="F2758" t="inlineStr">
        <is>
          <t>Bergvik skog väst AB</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43037-2024</t>
        </is>
      </c>
      <c r="B2759" s="1" t="n">
        <v>45567</v>
      </c>
      <c r="C2759" s="1" t="n">
        <v>45822</v>
      </c>
      <c r="D2759" t="inlineStr">
        <is>
          <t>VÄRMLANDS LÄN</t>
        </is>
      </c>
      <c r="E2759" t="inlineStr">
        <is>
          <t>TORSBY</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42945-2024</t>
        </is>
      </c>
      <c r="B2760" s="1" t="n">
        <v>45567</v>
      </c>
      <c r="C2760" s="1" t="n">
        <v>45822</v>
      </c>
      <c r="D2760" t="inlineStr">
        <is>
          <t>VÄRMLANDS LÄN</t>
        </is>
      </c>
      <c r="E2760" t="inlineStr">
        <is>
          <t>TORSBY</t>
        </is>
      </c>
      <c r="F2760" t="inlineStr">
        <is>
          <t>Bergvik skog väst AB</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43137-2024</t>
        </is>
      </c>
      <c r="B2761" s="1" t="n">
        <v>45567</v>
      </c>
      <c r="C2761" s="1" t="n">
        <v>45822</v>
      </c>
      <c r="D2761" t="inlineStr">
        <is>
          <t>VÄRMLANDS LÄN</t>
        </is>
      </c>
      <c r="E2761" t="inlineStr">
        <is>
          <t>TORSBY</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43044-2024</t>
        </is>
      </c>
      <c r="B2762" s="1" t="n">
        <v>45567</v>
      </c>
      <c r="C2762" s="1" t="n">
        <v>45822</v>
      </c>
      <c r="D2762" t="inlineStr">
        <is>
          <t>VÄRMLANDS LÄN</t>
        </is>
      </c>
      <c r="E2762" t="inlineStr">
        <is>
          <t>TORSBY</t>
        </is>
      </c>
      <c r="F2762" t="inlineStr">
        <is>
          <t>Bergvik skog väst AB</t>
        </is>
      </c>
      <c r="G2762" t="n">
        <v>42.7</v>
      </c>
      <c r="H2762" t="n">
        <v>0</v>
      </c>
      <c r="I2762" t="n">
        <v>0</v>
      </c>
      <c r="J2762" t="n">
        <v>0</v>
      </c>
      <c r="K2762" t="n">
        <v>0</v>
      </c>
      <c r="L2762" t="n">
        <v>0</v>
      </c>
      <c r="M2762" t="n">
        <v>0</v>
      </c>
      <c r="N2762" t="n">
        <v>0</v>
      </c>
      <c r="O2762" t="n">
        <v>0</v>
      </c>
      <c r="P2762" t="n">
        <v>0</v>
      </c>
      <c r="Q2762" t="n">
        <v>0</v>
      </c>
      <c r="R2762" s="2" t="inlineStr"/>
    </row>
    <row r="2763" ht="15" customHeight="1">
      <c r="A2763" t="inlineStr">
        <is>
          <t>A 43164-2024</t>
        </is>
      </c>
      <c r="B2763" s="1" t="n">
        <v>45567</v>
      </c>
      <c r="C2763" s="1" t="n">
        <v>45822</v>
      </c>
      <c r="D2763" t="inlineStr">
        <is>
          <t>VÄRMLANDS LÄN</t>
        </is>
      </c>
      <c r="E2763" t="inlineStr">
        <is>
          <t>TORSBY</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43144-2024</t>
        </is>
      </c>
      <c r="B2764" s="1" t="n">
        <v>45567</v>
      </c>
      <c r="C2764" s="1" t="n">
        <v>45822</v>
      </c>
      <c r="D2764" t="inlineStr">
        <is>
          <t>VÄRMLANDS LÄN</t>
        </is>
      </c>
      <c r="E2764" t="inlineStr">
        <is>
          <t>TORSBY</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43420-2024</t>
        </is>
      </c>
      <c r="B2765" s="1" t="n">
        <v>45568</v>
      </c>
      <c r="C2765" s="1" t="n">
        <v>45822</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43409-2024</t>
        </is>
      </c>
      <c r="B2766" s="1" t="n">
        <v>45568</v>
      </c>
      <c r="C2766" s="1" t="n">
        <v>45822</v>
      </c>
      <c r="D2766" t="inlineStr">
        <is>
          <t>VÄRMLANDS LÄN</t>
        </is>
      </c>
      <c r="E2766" t="inlineStr">
        <is>
          <t>TORSBY</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43295-2024</t>
        </is>
      </c>
      <c r="B2767" s="1" t="n">
        <v>45568</v>
      </c>
      <c r="C2767" s="1" t="n">
        <v>45822</v>
      </c>
      <c r="D2767" t="inlineStr">
        <is>
          <t>VÄRMLANDS LÄN</t>
        </is>
      </c>
      <c r="E2767" t="inlineStr">
        <is>
          <t>TORSBY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43336-2024</t>
        </is>
      </c>
      <c r="B2768" s="1" t="n">
        <v>45568</v>
      </c>
      <c r="C2768" s="1" t="n">
        <v>45822</v>
      </c>
      <c r="D2768" t="inlineStr">
        <is>
          <t>VÄRMLANDS LÄN</t>
        </is>
      </c>
      <c r="E2768" t="inlineStr">
        <is>
          <t>TORSBY</t>
        </is>
      </c>
      <c r="F2768" t="inlineStr">
        <is>
          <t>Bergvik skog väst AB</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43301-2024</t>
        </is>
      </c>
      <c r="B2769" s="1" t="n">
        <v>45568</v>
      </c>
      <c r="C2769" s="1" t="n">
        <v>45822</v>
      </c>
      <c r="D2769" t="inlineStr">
        <is>
          <t>VÄRMLANDS LÄN</t>
        </is>
      </c>
      <c r="E2769" t="inlineStr">
        <is>
          <t>TORSBY</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43256-2024</t>
        </is>
      </c>
      <c r="B2770" s="1" t="n">
        <v>45568</v>
      </c>
      <c r="C2770" s="1" t="n">
        <v>45822</v>
      </c>
      <c r="D2770" t="inlineStr">
        <is>
          <t>VÄRMLANDS LÄN</t>
        </is>
      </c>
      <c r="E2770" t="inlineStr">
        <is>
          <t>TORSBY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43538-2024</t>
        </is>
      </c>
      <c r="B2771" s="1" t="n">
        <v>45569</v>
      </c>
      <c r="C2771" s="1" t="n">
        <v>45822</v>
      </c>
      <c r="D2771" t="inlineStr">
        <is>
          <t>VÄRMLANDS LÄN</t>
        </is>
      </c>
      <c r="E2771" t="inlineStr">
        <is>
          <t>TORSBY</t>
        </is>
      </c>
      <c r="F2771" t="inlineStr">
        <is>
          <t>Bergvik skog väst AB</t>
        </is>
      </c>
      <c r="G2771" t="n">
        <v>14.4</v>
      </c>
      <c r="H2771" t="n">
        <v>0</v>
      </c>
      <c r="I2771" t="n">
        <v>0</v>
      </c>
      <c r="J2771" t="n">
        <v>0</v>
      </c>
      <c r="K2771" t="n">
        <v>0</v>
      </c>
      <c r="L2771" t="n">
        <v>0</v>
      </c>
      <c r="M2771" t="n">
        <v>0</v>
      </c>
      <c r="N2771" t="n">
        <v>0</v>
      </c>
      <c r="O2771" t="n">
        <v>0</v>
      </c>
      <c r="P2771" t="n">
        <v>0</v>
      </c>
      <c r="Q2771" t="n">
        <v>0</v>
      </c>
      <c r="R2771" s="2" t="inlineStr"/>
    </row>
    <row r="2772" ht="15" customHeight="1">
      <c r="A2772" t="inlineStr">
        <is>
          <t>A 43718-2024</t>
        </is>
      </c>
      <c r="B2772" s="1" t="n">
        <v>45569</v>
      </c>
      <c r="C2772" s="1" t="n">
        <v>45822</v>
      </c>
      <c r="D2772" t="inlineStr">
        <is>
          <t>VÄRMLANDS LÄN</t>
        </is>
      </c>
      <c r="E2772" t="inlineStr">
        <is>
          <t>TORSBY</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43545-2024</t>
        </is>
      </c>
      <c r="B2773" s="1" t="n">
        <v>45569</v>
      </c>
      <c r="C2773" s="1" t="n">
        <v>45822</v>
      </c>
      <c r="D2773" t="inlineStr">
        <is>
          <t>VÄRMLANDS LÄN</t>
        </is>
      </c>
      <c r="E2773" t="inlineStr">
        <is>
          <t>TORSBY</t>
        </is>
      </c>
      <c r="F2773" t="inlineStr">
        <is>
          <t>Bergvik skog väst AB</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43739-2024</t>
        </is>
      </c>
      <c r="B2774" s="1" t="n">
        <v>45569</v>
      </c>
      <c r="C2774" s="1" t="n">
        <v>45822</v>
      </c>
      <c r="D2774" t="inlineStr">
        <is>
          <t>VÄRMLANDS LÄN</t>
        </is>
      </c>
      <c r="E2774" t="inlineStr">
        <is>
          <t>TORSBY</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43864-2024</t>
        </is>
      </c>
      <c r="B2775" s="1" t="n">
        <v>45572</v>
      </c>
      <c r="C2775" s="1" t="n">
        <v>45822</v>
      </c>
      <c r="D2775" t="inlineStr">
        <is>
          <t>VÄRMLANDS LÄN</t>
        </is>
      </c>
      <c r="E2775" t="inlineStr">
        <is>
          <t>TORSBY</t>
        </is>
      </c>
      <c r="F2775" t="inlineStr">
        <is>
          <t>Kommuner</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43988-2024</t>
        </is>
      </c>
      <c r="B2776" s="1" t="n">
        <v>45572</v>
      </c>
      <c r="C2776" s="1" t="n">
        <v>45822</v>
      </c>
      <c r="D2776" t="inlineStr">
        <is>
          <t>VÄRMLANDS LÄN</t>
        </is>
      </c>
      <c r="E2776" t="inlineStr">
        <is>
          <t>TORSBY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44081-2024</t>
        </is>
      </c>
      <c r="B2777" s="1" t="n">
        <v>45572</v>
      </c>
      <c r="C2777" s="1" t="n">
        <v>45822</v>
      </c>
      <c r="D2777" t="inlineStr">
        <is>
          <t>VÄRMLANDS LÄN</t>
        </is>
      </c>
      <c r="E2777" t="inlineStr">
        <is>
          <t>TORSBY</t>
        </is>
      </c>
      <c r="F2777" t="inlineStr">
        <is>
          <t>Bergvik skog väst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44059-2024</t>
        </is>
      </c>
      <c r="B2778" s="1" t="n">
        <v>45572</v>
      </c>
      <c r="C2778" s="1" t="n">
        <v>45822</v>
      </c>
      <c r="D2778" t="inlineStr">
        <is>
          <t>VÄRMLANDS LÄN</t>
        </is>
      </c>
      <c r="E2778" t="inlineStr">
        <is>
          <t>TORSBY</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44349-2024</t>
        </is>
      </c>
      <c r="B2779" s="1" t="n">
        <v>45573</v>
      </c>
      <c r="C2779" s="1" t="n">
        <v>45822</v>
      </c>
      <c r="D2779" t="inlineStr">
        <is>
          <t>VÄRMLANDS LÄN</t>
        </is>
      </c>
      <c r="E2779" t="inlineStr">
        <is>
          <t>TORSBY</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44352-2024</t>
        </is>
      </c>
      <c r="B2780" s="1" t="n">
        <v>45573</v>
      </c>
      <c r="C2780" s="1" t="n">
        <v>45822</v>
      </c>
      <c r="D2780" t="inlineStr">
        <is>
          <t>VÄRMLANDS LÄN</t>
        </is>
      </c>
      <c r="E2780" t="inlineStr">
        <is>
          <t>TORSBY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44276-2024</t>
        </is>
      </c>
      <c r="B2781" s="1" t="n">
        <v>45573</v>
      </c>
      <c r="C2781" s="1" t="n">
        <v>45822</v>
      </c>
      <c r="D2781" t="inlineStr">
        <is>
          <t>VÄRMLANDS LÄN</t>
        </is>
      </c>
      <c r="E2781" t="inlineStr">
        <is>
          <t>TORSBY</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44241-2024</t>
        </is>
      </c>
      <c r="B2782" s="1" t="n">
        <v>45573</v>
      </c>
      <c r="C2782" s="1" t="n">
        <v>45822</v>
      </c>
      <c r="D2782" t="inlineStr">
        <is>
          <t>VÄRMLANDS LÄN</t>
        </is>
      </c>
      <c r="E2782" t="inlineStr">
        <is>
          <t>TORSBY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44303-2024</t>
        </is>
      </c>
      <c r="B2783" s="1" t="n">
        <v>45573</v>
      </c>
      <c r="C2783" s="1" t="n">
        <v>45822</v>
      </c>
      <c r="D2783" t="inlineStr">
        <is>
          <t>VÄRMLANDS LÄN</t>
        </is>
      </c>
      <c r="E2783" t="inlineStr">
        <is>
          <t>TORSBY</t>
        </is>
      </c>
      <c r="F2783" t="inlineStr">
        <is>
          <t>Bergvik skog väst AB</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44424-2024</t>
        </is>
      </c>
      <c r="B2784" s="1" t="n">
        <v>45573</v>
      </c>
      <c r="C2784" s="1" t="n">
        <v>45822</v>
      </c>
      <c r="D2784" t="inlineStr">
        <is>
          <t>VÄRMLANDS LÄN</t>
        </is>
      </c>
      <c r="E2784" t="inlineStr">
        <is>
          <t>TORSBY</t>
        </is>
      </c>
      <c r="G2784" t="n">
        <v>8.5</v>
      </c>
      <c r="H2784" t="n">
        <v>0</v>
      </c>
      <c r="I2784" t="n">
        <v>0</v>
      </c>
      <c r="J2784" t="n">
        <v>0</v>
      </c>
      <c r="K2784" t="n">
        <v>0</v>
      </c>
      <c r="L2784" t="n">
        <v>0</v>
      </c>
      <c r="M2784" t="n">
        <v>0</v>
      </c>
      <c r="N2784" t="n">
        <v>0</v>
      </c>
      <c r="O2784" t="n">
        <v>0</v>
      </c>
      <c r="P2784" t="n">
        <v>0</v>
      </c>
      <c r="Q2784" t="n">
        <v>0</v>
      </c>
      <c r="R2784" s="2" t="inlineStr"/>
    </row>
    <row r="2785" ht="15" customHeight="1">
      <c r="A2785" t="inlineStr">
        <is>
          <t>A 44325-2024</t>
        </is>
      </c>
      <c r="B2785" s="1" t="n">
        <v>45573</v>
      </c>
      <c r="C2785" s="1" t="n">
        <v>45822</v>
      </c>
      <c r="D2785" t="inlineStr">
        <is>
          <t>VÄRMLANDS LÄN</t>
        </is>
      </c>
      <c r="E2785" t="inlineStr">
        <is>
          <t>TORSBY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44422-2024</t>
        </is>
      </c>
      <c r="B2786" s="1" t="n">
        <v>45573</v>
      </c>
      <c r="C2786" s="1" t="n">
        <v>45822</v>
      </c>
      <c r="D2786" t="inlineStr">
        <is>
          <t>VÄRMLANDS LÄN</t>
        </is>
      </c>
      <c r="E2786" t="inlineStr">
        <is>
          <t>TORSBY</t>
        </is>
      </c>
      <c r="G2786" t="n">
        <v>14.1</v>
      </c>
      <c r="H2786" t="n">
        <v>0</v>
      </c>
      <c r="I2786" t="n">
        <v>0</v>
      </c>
      <c r="J2786" t="n">
        <v>0</v>
      </c>
      <c r="K2786" t="n">
        <v>0</v>
      </c>
      <c r="L2786" t="n">
        <v>0</v>
      </c>
      <c r="M2786" t="n">
        <v>0</v>
      </c>
      <c r="N2786" t="n">
        <v>0</v>
      </c>
      <c r="O2786" t="n">
        <v>0</v>
      </c>
      <c r="P2786" t="n">
        <v>0</v>
      </c>
      <c r="Q2786" t="n">
        <v>0</v>
      </c>
      <c r="R2786" s="2" t="inlineStr"/>
    </row>
    <row r="2787" ht="15" customHeight="1">
      <c r="A2787" t="inlineStr">
        <is>
          <t>A 44423-2024</t>
        </is>
      </c>
      <c r="B2787" s="1" t="n">
        <v>45573</v>
      </c>
      <c r="C2787" s="1" t="n">
        <v>45822</v>
      </c>
      <c r="D2787" t="inlineStr">
        <is>
          <t>VÄRMLANDS LÄN</t>
        </is>
      </c>
      <c r="E2787" t="inlineStr">
        <is>
          <t>TORSBY</t>
        </is>
      </c>
      <c r="G2787" t="n">
        <v>34.1</v>
      </c>
      <c r="H2787" t="n">
        <v>0</v>
      </c>
      <c r="I2787" t="n">
        <v>0</v>
      </c>
      <c r="J2787" t="n">
        <v>0</v>
      </c>
      <c r="K2787" t="n">
        <v>0</v>
      </c>
      <c r="L2787" t="n">
        <v>0</v>
      </c>
      <c r="M2787" t="n">
        <v>0</v>
      </c>
      <c r="N2787" t="n">
        <v>0</v>
      </c>
      <c r="O2787" t="n">
        <v>0</v>
      </c>
      <c r="P2787" t="n">
        <v>0</v>
      </c>
      <c r="Q2787" t="n">
        <v>0</v>
      </c>
      <c r="R2787" s="2" t="inlineStr"/>
    </row>
    <row r="2788" ht="15" customHeight="1">
      <c r="A2788" t="inlineStr">
        <is>
          <t>A 44278-2024</t>
        </is>
      </c>
      <c r="B2788" s="1" t="n">
        <v>45573</v>
      </c>
      <c r="C2788" s="1" t="n">
        <v>45822</v>
      </c>
      <c r="D2788" t="inlineStr">
        <is>
          <t>VÄRMLANDS LÄN</t>
        </is>
      </c>
      <c r="E2788" t="inlineStr">
        <is>
          <t>TORSBY</t>
        </is>
      </c>
      <c r="F2788" t="inlineStr">
        <is>
          <t>Bergvik skog väst AB</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44204-2024</t>
        </is>
      </c>
      <c r="B2789" s="1" t="n">
        <v>45573</v>
      </c>
      <c r="C2789" s="1" t="n">
        <v>45822</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44338-2024</t>
        </is>
      </c>
      <c r="B2790" s="1" t="n">
        <v>45573</v>
      </c>
      <c r="C2790" s="1" t="n">
        <v>45822</v>
      </c>
      <c r="D2790" t="inlineStr">
        <is>
          <t>VÄRMLANDS LÄN</t>
        </is>
      </c>
      <c r="E2790" t="inlineStr">
        <is>
          <t>TORSBY</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44342-2024</t>
        </is>
      </c>
      <c r="B2791" s="1" t="n">
        <v>45573</v>
      </c>
      <c r="C2791" s="1" t="n">
        <v>45822</v>
      </c>
      <c r="D2791" t="inlineStr">
        <is>
          <t>VÄRMLANDS LÄN</t>
        </is>
      </c>
      <c r="E2791" t="inlineStr">
        <is>
          <t>TORSBY</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44448-2024</t>
        </is>
      </c>
      <c r="B2792" s="1" t="n">
        <v>45574</v>
      </c>
      <c r="C2792" s="1" t="n">
        <v>45822</v>
      </c>
      <c r="D2792" t="inlineStr">
        <is>
          <t>VÄRMLANDS LÄN</t>
        </is>
      </c>
      <c r="E2792" t="inlineStr">
        <is>
          <t>TORSBY</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44697-2024</t>
        </is>
      </c>
      <c r="B2793" s="1" t="n">
        <v>45574</v>
      </c>
      <c r="C2793" s="1" t="n">
        <v>45822</v>
      </c>
      <c r="D2793" t="inlineStr">
        <is>
          <t>VÄRMLANDS LÄN</t>
        </is>
      </c>
      <c r="E2793" t="inlineStr">
        <is>
          <t>TORSBY</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44685-2024</t>
        </is>
      </c>
      <c r="B2794" s="1" t="n">
        <v>45574</v>
      </c>
      <c r="C2794" s="1" t="n">
        <v>45822</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44690-2024</t>
        </is>
      </c>
      <c r="B2795" s="1" t="n">
        <v>45574</v>
      </c>
      <c r="C2795" s="1" t="n">
        <v>45822</v>
      </c>
      <c r="D2795" t="inlineStr">
        <is>
          <t>VÄRMLANDS LÄN</t>
        </is>
      </c>
      <c r="E2795" t="inlineStr">
        <is>
          <t>TORSBY</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44702-2024</t>
        </is>
      </c>
      <c r="B2796" s="1" t="n">
        <v>45574</v>
      </c>
      <c r="C2796" s="1" t="n">
        <v>45822</v>
      </c>
      <c r="D2796" t="inlineStr">
        <is>
          <t>VÄRMLANDS LÄN</t>
        </is>
      </c>
      <c r="E2796" t="inlineStr">
        <is>
          <t>TORSBY</t>
        </is>
      </c>
      <c r="F2796" t="inlineStr">
        <is>
          <t>Bergvik skog väst AB</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44770-2024</t>
        </is>
      </c>
      <c r="B2797" s="1" t="n">
        <v>45574</v>
      </c>
      <c r="C2797" s="1" t="n">
        <v>45822</v>
      </c>
      <c r="D2797" t="inlineStr">
        <is>
          <t>VÄRMLANDS LÄN</t>
        </is>
      </c>
      <c r="E2797" t="inlineStr">
        <is>
          <t>TORSBY</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44786-2024</t>
        </is>
      </c>
      <c r="B2798" s="1" t="n">
        <v>45574</v>
      </c>
      <c r="C2798" s="1" t="n">
        <v>45822</v>
      </c>
      <c r="D2798" t="inlineStr">
        <is>
          <t>VÄRMLANDS LÄN</t>
        </is>
      </c>
      <c r="E2798" t="inlineStr">
        <is>
          <t>TORSBY</t>
        </is>
      </c>
      <c r="F2798" t="inlineStr">
        <is>
          <t>Bergvik skog väst AB</t>
        </is>
      </c>
      <c r="G2798" t="n">
        <v>21.9</v>
      </c>
      <c r="H2798" t="n">
        <v>0</v>
      </c>
      <c r="I2798" t="n">
        <v>0</v>
      </c>
      <c r="J2798" t="n">
        <v>0</v>
      </c>
      <c r="K2798" t="n">
        <v>0</v>
      </c>
      <c r="L2798" t="n">
        <v>0</v>
      </c>
      <c r="M2798" t="n">
        <v>0</v>
      </c>
      <c r="N2798" t="n">
        <v>0</v>
      </c>
      <c r="O2798" t="n">
        <v>0</v>
      </c>
      <c r="P2798" t="n">
        <v>0</v>
      </c>
      <c r="Q2798" t="n">
        <v>0</v>
      </c>
      <c r="R2798" s="2" t="inlineStr"/>
    </row>
    <row r="2799" ht="15" customHeight="1">
      <c r="A2799" t="inlineStr">
        <is>
          <t>A 44659-2024</t>
        </is>
      </c>
      <c r="B2799" s="1" t="n">
        <v>45574</v>
      </c>
      <c r="C2799" s="1" t="n">
        <v>45822</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44683-2024</t>
        </is>
      </c>
      <c r="B2800" s="1" t="n">
        <v>45574</v>
      </c>
      <c r="C2800" s="1" t="n">
        <v>45822</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44470-2024</t>
        </is>
      </c>
      <c r="B2801" s="1" t="n">
        <v>45574</v>
      </c>
      <c r="C2801" s="1" t="n">
        <v>45822</v>
      </c>
      <c r="D2801" t="inlineStr">
        <is>
          <t>VÄRMLANDS LÄN</t>
        </is>
      </c>
      <c r="E2801" t="inlineStr">
        <is>
          <t>TORSBY</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44764-2024</t>
        </is>
      </c>
      <c r="B2802" s="1" t="n">
        <v>45574</v>
      </c>
      <c r="C2802" s="1" t="n">
        <v>45822</v>
      </c>
      <c r="D2802" t="inlineStr">
        <is>
          <t>VÄRMLANDS LÄN</t>
        </is>
      </c>
      <c r="E2802" t="inlineStr">
        <is>
          <t>TORSBY</t>
        </is>
      </c>
      <c r="F2802" t="inlineStr">
        <is>
          <t>Bergvik skog väst AB</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44838-2024</t>
        </is>
      </c>
      <c r="B2803" s="1" t="n">
        <v>45574</v>
      </c>
      <c r="C2803" s="1" t="n">
        <v>45822</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45134-2024</t>
        </is>
      </c>
      <c r="B2804" s="1" t="n">
        <v>45575</v>
      </c>
      <c r="C2804" s="1" t="n">
        <v>45822</v>
      </c>
      <c r="D2804" t="inlineStr">
        <is>
          <t>VÄRMLANDS LÄN</t>
        </is>
      </c>
      <c r="E2804" t="inlineStr">
        <is>
          <t>TORSBY</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45114-2024</t>
        </is>
      </c>
      <c r="B2805" s="1" t="n">
        <v>45575</v>
      </c>
      <c r="C2805" s="1" t="n">
        <v>45822</v>
      </c>
      <c r="D2805" t="inlineStr">
        <is>
          <t>VÄRMLANDS LÄN</t>
        </is>
      </c>
      <c r="E2805" t="inlineStr">
        <is>
          <t>TORSBY</t>
        </is>
      </c>
      <c r="F2805" t="inlineStr">
        <is>
          <t>Bergvik skog väst AB</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45129-2024</t>
        </is>
      </c>
      <c r="B2806" s="1" t="n">
        <v>45575</v>
      </c>
      <c r="C2806" s="1" t="n">
        <v>45822</v>
      </c>
      <c r="D2806" t="inlineStr">
        <is>
          <t>VÄRMLANDS LÄN</t>
        </is>
      </c>
      <c r="E2806" t="inlineStr">
        <is>
          <t>TORSBY</t>
        </is>
      </c>
      <c r="F2806" t="inlineStr">
        <is>
          <t>Bergvik skog väst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45132-2024</t>
        </is>
      </c>
      <c r="B2807" s="1" t="n">
        <v>45575</v>
      </c>
      <c r="C2807" s="1" t="n">
        <v>45822</v>
      </c>
      <c r="D2807" t="inlineStr">
        <is>
          <t>VÄRMLANDS LÄN</t>
        </is>
      </c>
      <c r="E2807" t="inlineStr">
        <is>
          <t>TORSBY</t>
        </is>
      </c>
      <c r="F2807" t="inlineStr">
        <is>
          <t>Bergvik skog väst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45022-2024</t>
        </is>
      </c>
      <c r="B2808" s="1" t="n">
        <v>45575</v>
      </c>
      <c r="C2808" s="1" t="n">
        <v>45822</v>
      </c>
      <c r="D2808" t="inlineStr">
        <is>
          <t>VÄRMLANDS LÄN</t>
        </is>
      </c>
      <c r="E2808" t="inlineStr">
        <is>
          <t>TORSBY</t>
        </is>
      </c>
      <c r="F2808" t="inlineStr">
        <is>
          <t>Bergvik skog väst AB</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45227-2024</t>
        </is>
      </c>
      <c r="B2809" s="1" t="n">
        <v>45575</v>
      </c>
      <c r="C2809" s="1" t="n">
        <v>45822</v>
      </c>
      <c r="D2809" t="inlineStr">
        <is>
          <t>VÄRMLANDS LÄN</t>
        </is>
      </c>
      <c r="E2809" t="inlineStr">
        <is>
          <t>TORSBY</t>
        </is>
      </c>
      <c r="G2809" t="n">
        <v>12.9</v>
      </c>
      <c r="H2809" t="n">
        <v>0</v>
      </c>
      <c r="I2809" t="n">
        <v>0</v>
      </c>
      <c r="J2809" t="n">
        <v>0</v>
      </c>
      <c r="K2809" t="n">
        <v>0</v>
      </c>
      <c r="L2809" t="n">
        <v>0</v>
      </c>
      <c r="M2809" t="n">
        <v>0</v>
      </c>
      <c r="N2809" t="n">
        <v>0</v>
      </c>
      <c r="O2809" t="n">
        <v>0</v>
      </c>
      <c r="P2809" t="n">
        <v>0</v>
      </c>
      <c r="Q2809" t="n">
        <v>0</v>
      </c>
      <c r="R2809" s="2" t="inlineStr"/>
    </row>
    <row r="2810" ht="15" customHeight="1">
      <c r="A2810" t="inlineStr">
        <is>
          <t>A 44965-2024</t>
        </is>
      </c>
      <c r="B2810" s="1" t="n">
        <v>45575</v>
      </c>
      <c r="C2810" s="1" t="n">
        <v>45822</v>
      </c>
      <c r="D2810" t="inlineStr">
        <is>
          <t>VÄRMLANDS LÄN</t>
        </is>
      </c>
      <c r="E2810" t="inlineStr">
        <is>
          <t>TORSBY</t>
        </is>
      </c>
      <c r="F2810" t="inlineStr">
        <is>
          <t>Bergvik skog väst AB</t>
        </is>
      </c>
      <c r="G2810" t="n">
        <v>15.1</v>
      </c>
      <c r="H2810" t="n">
        <v>0</v>
      </c>
      <c r="I2810" t="n">
        <v>0</v>
      </c>
      <c r="J2810" t="n">
        <v>0</v>
      </c>
      <c r="K2810" t="n">
        <v>0</v>
      </c>
      <c r="L2810" t="n">
        <v>0</v>
      </c>
      <c r="M2810" t="n">
        <v>0</v>
      </c>
      <c r="N2810" t="n">
        <v>0</v>
      </c>
      <c r="O2810" t="n">
        <v>0</v>
      </c>
      <c r="P2810" t="n">
        <v>0</v>
      </c>
      <c r="Q2810" t="n">
        <v>0</v>
      </c>
      <c r="R2810" s="2" t="inlineStr"/>
    </row>
    <row r="2811" ht="15" customHeight="1">
      <c r="A2811" t="inlineStr">
        <is>
          <t>A 45389-2024</t>
        </is>
      </c>
      <c r="B2811" s="1" t="n">
        <v>45576</v>
      </c>
      <c r="C2811" s="1" t="n">
        <v>45822</v>
      </c>
      <c r="D2811" t="inlineStr">
        <is>
          <t>VÄRMLANDS LÄN</t>
        </is>
      </c>
      <c r="E2811" t="inlineStr">
        <is>
          <t>TORSBY</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45448-2024</t>
        </is>
      </c>
      <c r="B2812" s="1" t="n">
        <v>45576</v>
      </c>
      <c r="C2812" s="1" t="n">
        <v>45822</v>
      </c>
      <c r="D2812" t="inlineStr">
        <is>
          <t>VÄRMLANDS LÄN</t>
        </is>
      </c>
      <c r="E2812" t="inlineStr">
        <is>
          <t>TORSBY</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45385-2024</t>
        </is>
      </c>
      <c r="B2813" s="1" t="n">
        <v>45576</v>
      </c>
      <c r="C2813" s="1" t="n">
        <v>45822</v>
      </c>
      <c r="D2813" t="inlineStr">
        <is>
          <t>VÄRMLANDS LÄN</t>
        </is>
      </c>
      <c r="E2813" t="inlineStr">
        <is>
          <t>TORSBY</t>
        </is>
      </c>
      <c r="F2813" t="inlineStr">
        <is>
          <t>Bergvik skog väst AB</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45669-2024</t>
        </is>
      </c>
      <c r="B2814" s="1" t="n">
        <v>45579</v>
      </c>
      <c r="C2814" s="1" t="n">
        <v>45822</v>
      </c>
      <c r="D2814" t="inlineStr">
        <is>
          <t>VÄRMLANDS LÄN</t>
        </is>
      </c>
      <c r="E2814" t="inlineStr">
        <is>
          <t>TORSBY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45548-2024</t>
        </is>
      </c>
      <c r="B2815" s="1" t="n">
        <v>45579</v>
      </c>
      <c r="C2815" s="1" t="n">
        <v>45822</v>
      </c>
      <c r="D2815" t="inlineStr">
        <is>
          <t>VÄRMLANDS LÄN</t>
        </is>
      </c>
      <c r="E2815" t="inlineStr">
        <is>
          <t>TORSBY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45812-2024</t>
        </is>
      </c>
      <c r="B2816" s="1" t="n">
        <v>45579</v>
      </c>
      <c r="C2816" s="1" t="n">
        <v>45822</v>
      </c>
      <c r="D2816" t="inlineStr">
        <is>
          <t>VÄRMLANDS LÄN</t>
        </is>
      </c>
      <c r="E2816" t="inlineStr">
        <is>
          <t>TORSBY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45849-2024</t>
        </is>
      </c>
      <c r="B2817" s="1" t="n">
        <v>45580</v>
      </c>
      <c r="C2817" s="1" t="n">
        <v>45822</v>
      </c>
      <c r="D2817" t="inlineStr">
        <is>
          <t>VÄRMLANDS LÄN</t>
        </is>
      </c>
      <c r="E2817" t="inlineStr">
        <is>
          <t>TORSBY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46239-2024</t>
        </is>
      </c>
      <c r="B2818" s="1" t="n">
        <v>45581</v>
      </c>
      <c r="C2818" s="1" t="n">
        <v>45822</v>
      </c>
      <c r="D2818" t="inlineStr">
        <is>
          <t>VÄRMLANDS LÄN</t>
        </is>
      </c>
      <c r="E2818" t="inlineStr">
        <is>
          <t>TORSBY</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46152-2024</t>
        </is>
      </c>
      <c r="B2819" s="1" t="n">
        <v>45581</v>
      </c>
      <c r="C2819" s="1" t="n">
        <v>45822</v>
      </c>
      <c r="D2819" t="inlineStr">
        <is>
          <t>VÄRMLANDS LÄN</t>
        </is>
      </c>
      <c r="E2819" t="inlineStr">
        <is>
          <t>TORSBY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46166-2024</t>
        </is>
      </c>
      <c r="B2820" s="1" t="n">
        <v>45581</v>
      </c>
      <c r="C2820" s="1" t="n">
        <v>45822</v>
      </c>
      <c r="D2820" t="inlineStr">
        <is>
          <t>VÄRMLANDS LÄN</t>
        </is>
      </c>
      <c r="E2820" t="inlineStr">
        <is>
          <t>TORSBY</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46471-2024</t>
        </is>
      </c>
      <c r="B2821" s="1" t="n">
        <v>45582</v>
      </c>
      <c r="C2821" s="1" t="n">
        <v>45822</v>
      </c>
      <c r="D2821" t="inlineStr">
        <is>
          <t>VÄRMLANDS LÄN</t>
        </is>
      </c>
      <c r="E2821" t="inlineStr">
        <is>
          <t>TORSBY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46503-2024</t>
        </is>
      </c>
      <c r="B2822" s="1" t="n">
        <v>45582</v>
      </c>
      <c r="C2822" s="1" t="n">
        <v>45822</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46456-2024</t>
        </is>
      </c>
      <c r="B2823" s="1" t="n">
        <v>45582</v>
      </c>
      <c r="C2823" s="1" t="n">
        <v>45822</v>
      </c>
      <c r="D2823" t="inlineStr">
        <is>
          <t>VÄRMLANDS LÄN</t>
        </is>
      </c>
      <c r="E2823" t="inlineStr">
        <is>
          <t>TORSBY</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46343-2024</t>
        </is>
      </c>
      <c r="B2824" s="1" t="n">
        <v>45582</v>
      </c>
      <c r="C2824" s="1" t="n">
        <v>45822</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46914-2024</t>
        </is>
      </c>
      <c r="B2825" s="1" t="n">
        <v>45583</v>
      </c>
      <c r="C2825" s="1" t="n">
        <v>45822</v>
      </c>
      <c r="D2825" t="inlineStr">
        <is>
          <t>VÄRMLANDS LÄN</t>
        </is>
      </c>
      <c r="E2825" t="inlineStr">
        <is>
          <t>TORSBY</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46698-2024</t>
        </is>
      </c>
      <c r="B2826" s="1" t="n">
        <v>45583</v>
      </c>
      <c r="C2826" s="1" t="n">
        <v>45822</v>
      </c>
      <c r="D2826" t="inlineStr">
        <is>
          <t>VÄRMLANDS LÄN</t>
        </is>
      </c>
      <c r="E2826" t="inlineStr">
        <is>
          <t>TORSBY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46909-2024</t>
        </is>
      </c>
      <c r="B2827" s="1" t="n">
        <v>45583</v>
      </c>
      <c r="C2827" s="1" t="n">
        <v>45822</v>
      </c>
      <c r="D2827" t="inlineStr">
        <is>
          <t>VÄRMLANDS LÄN</t>
        </is>
      </c>
      <c r="E2827" t="inlineStr">
        <is>
          <t>TORSBY</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46917-2024</t>
        </is>
      </c>
      <c r="B2828" s="1" t="n">
        <v>45583</v>
      </c>
      <c r="C2828" s="1" t="n">
        <v>45822</v>
      </c>
      <c r="D2828" t="inlineStr">
        <is>
          <t>VÄRMLANDS LÄN</t>
        </is>
      </c>
      <c r="E2828" t="inlineStr">
        <is>
          <t>TORSBY</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46912-2024</t>
        </is>
      </c>
      <c r="B2829" s="1" t="n">
        <v>45583</v>
      </c>
      <c r="C2829" s="1" t="n">
        <v>45822</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46915-2024</t>
        </is>
      </c>
      <c r="B2830" s="1" t="n">
        <v>45583</v>
      </c>
      <c r="C2830" s="1" t="n">
        <v>45822</v>
      </c>
      <c r="D2830" t="inlineStr">
        <is>
          <t>VÄRMLANDS LÄN</t>
        </is>
      </c>
      <c r="E2830" t="inlineStr">
        <is>
          <t>TORSBY</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47005-2024</t>
        </is>
      </c>
      <c r="B2831" s="1" t="n">
        <v>45586</v>
      </c>
      <c r="C2831" s="1" t="n">
        <v>45822</v>
      </c>
      <c r="D2831" t="inlineStr">
        <is>
          <t>VÄRMLANDS LÄN</t>
        </is>
      </c>
      <c r="E2831" t="inlineStr">
        <is>
          <t>TORSBY</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47006-2024</t>
        </is>
      </c>
      <c r="B2832" s="1" t="n">
        <v>45586</v>
      </c>
      <c r="C2832" s="1" t="n">
        <v>45822</v>
      </c>
      <c r="D2832" t="inlineStr">
        <is>
          <t>VÄRMLANDS LÄN</t>
        </is>
      </c>
      <c r="E2832" t="inlineStr">
        <is>
          <t>TORSBY</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47553-2024</t>
        </is>
      </c>
      <c r="B2833" s="1" t="n">
        <v>45587</v>
      </c>
      <c r="C2833" s="1" t="n">
        <v>45822</v>
      </c>
      <c r="D2833" t="inlineStr">
        <is>
          <t>VÄRMLANDS LÄN</t>
        </is>
      </c>
      <c r="E2833" t="inlineStr">
        <is>
          <t>TORSBY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47465-2024</t>
        </is>
      </c>
      <c r="B2834" s="1" t="n">
        <v>45587</v>
      </c>
      <c r="C2834" s="1" t="n">
        <v>45822</v>
      </c>
      <c r="D2834" t="inlineStr">
        <is>
          <t>VÄRMLANDS LÄN</t>
        </is>
      </c>
      <c r="E2834" t="inlineStr">
        <is>
          <t>TORSBY</t>
        </is>
      </c>
      <c r="F2834" t="inlineStr">
        <is>
          <t>Övriga Aktiebolag</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47316-2024</t>
        </is>
      </c>
      <c r="B2835" s="1" t="n">
        <v>45587</v>
      </c>
      <c r="C2835" s="1" t="n">
        <v>45822</v>
      </c>
      <c r="D2835" t="inlineStr">
        <is>
          <t>VÄRMLANDS LÄN</t>
        </is>
      </c>
      <c r="E2835" t="inlineStr">
        <is>
          <t>TORSBY</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47452-2024</t>
        </is>
      </c>
      <c r="B2836" s="1" t="n">
        <v>45587</v>
      </c>
      <c r="C2836" s="1" t="n">
        <v>45822</v>
      </c>
      <c r="D2836" t="inlineStr">
        <is>
          <t>VÄRMLANDS LÄN</t>
        </is>
      </c>
      <c r="E2836" t="inlineStr">
        <is>
          <t>TORSBY</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47755-2024</t>
        </is>
      </c>
      <c r="B2837" s="1" t="n">
        <v>45588</v>
      </c>
      <c r="C2837" s="1" t="n">
        <v>45822</v>
      </c>
      <c r="D2837" t="inlineStr">
        <is>
          <t>VÄRMLANDS LÄN</t>
        </is>
      </c>
      <c r="E2837" t="inlineStr">
        <is>
          <t>TORSBY</t>
        </is>
      </c>
      <c r="F2837" t="inlineStr">
        <is>
          <t>Bergvik skog väst AB</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47651-2024</t>
        </is>
      </c>
      <c r="B2838" s="1" t="n">
        <v>45588</v>
      </c>
      <c r="C2838" s="1" t="n">
        <v>45822</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47619-2024</t>
        </is>
      </c>
      <c r="B2839" s="1" t="n">
        <v>45588</v>
      </c>
      <c r="C2839" s="1" t="n">
        <v>45822</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47835-2024</t>
        </is>
      </c>
      <c r="B2840" s="1" t="n">
        <v>45588</v>
      </c>
      <c r="C2840" s="1" t="n">
        <v>45822</v>
      </c>
      <c r="D2840" t="inlineStr">
        <is>
          <t>VÄRMLANDS LÄN</t>
        </is>
      </c>
      <c r="E2840" t="inlineStr">
        <is>
          <t>TORSBY</t>
        </is>
      </c>
      <c r="F2840" t="inlineStr">
        <is>
          <t>Bergvik skog väst AB</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47839-2024</t>
        </is>
      </c>
      <c r="B2841" s="1" t="n">
        <v>45588</v>
      </c>
      <c r="C2841" s="1" t="n">
        <v>45822</v>
      </c>
      <c r="D2841" t="inlineStr">
        <is>
          <t>VÄRMLANDS LÄN</t>
        </is>
      </c>
      <c r="E2841" t="inlineStr">
        <is>
          <t>TORSBY</t>
        </is>
      </c>
      <c r="F2841" t="inlineStr">
        <is>
          <t>Bergvik skog väst AB</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47863-2024</t>
        </is>
      </c>
      <c r="B2842" s="1" t="n">
        <v>45588</v>
      </c>
      <c r="C2842" s="1" t="n">
        <v>45822</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48185-2024</t>
        </is>
      </c>
      <c r="B2843" s="1" t="n">
        <v>45589</v>
      </c>
      <c r="C2843" s="1" t="n">
        <v>45822</v>
      </c>
      <c r="D2843" t="inlineStr">
        <is>
          <t>VÄRMLANDS LÄN</t>
        </is>
      </c>
      <c r="E2843" t="inlineStr">
        <is>
          <t>TORSBY</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48160-2024</t>
        </is>
      </c>
      <c r="B2844" s="1" t="n">
        <v>45589</v>
      </c>
      <c r="C2844" s="1" t="n">
        <v>45822</v>
      </c>
      <c r="D2844" t="inlineStr">
        <is>
          <t>VÄRMLANDS LÄN</t>
        </is>
      </c>
      <c r="E2844" t="inlineStr">
        <is>
          <t>TORSBY</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48305-2024</t>
        </is>
      </c>
      <c r="B2845" s="1" t="n">
        <v>45590</v>
      </c>
      <c r="C2845" s="1" t="n">
        <v>45822</v>
      </c>
      <c r="D2845" t="inlineStr">
        <is>
          <t>VÄRMLANDS LÄN</t>
        </is>
      </c>
      <c r="E2845" t="inlineStr">
        <is>
          <t>TORSBY</t>
        </is>
      </c>
      <c r="F2845" t="inlineStr">
        <is>
          <t>Bergvik skog väst AB</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48253-2024</t>
        </is>
      </c>
      <c r="B2846" s="1" t="n">
        <v>45590</v>
      </c>
      <c r="C2846" s="1" t="n">
        <v>45822</v>
      </c>
      <c r="D2846" t="inlineStr">
        <is>
          <t>VÄRMLANDS LÄN</t>
        </is>
      </c>
      <c r="E2846" t="inlineStr">
        <is>
          <t>TORSBY</t>
        </is>
      </c>
      <c r="F2846" t="inlineStr">
        <is>
          <t>Bergvik skog väst AB</t>
        </is>
      </c>
      <c r="G2846" t="n">
        <v>20.7</v>
      </c>
      <c r="H2846" t="n">
        <v>0</v>
      </c>
      <c r="I2846" t="n">
        <v>0</v>
      </c>
      <c r="J2846" t="n">
        <v>0</v>
      </c>
      <c r="K2846" t="n">
        <v>0</v>
      </c>
      <c r="L2846" t="n">
        <v>0</v>
      </c>
      <c r="M2846" t="n">
        <v>0</v>
      </c>
      <c r="N2846" t="n">
        <v>0</v>
      </c>
      <c r="O2846" t="n">
        <v>0</v>
      </c>
      <c r="P2846" t="n">
        <v>0</v>
      </c>
      <c r="Q2846" t="n">
        <v>0</v>
      </c>
      <c r="R2846" s="2" t="inlineStr"/>
    </row>
    <row r="2847" ht="15" customHeight="1">
      <c r="A2847" t="inlineStr">
        <is>
          <t>A 48629-2024</t>
        </is>
      </c>
      <c r="B2847" s="1" t="n">
        <v>45593</v>
      </c>
      <c r="C2847" s="1" t="n">
        <v>45822</v>
      </c>
      <c r="D2847" t="inlineStr">
        <is>
          <t>VÄRMLANDS LÄN</t>
        </is>
      </c>
      <c r="E2847" t="inlineStr">
        <is>
          <t>TORSBY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48540-2024</t>
        </is>
      </c>
      <c r="B2848" s="1" t="n">
        <v>45593</v>
      </c>
      <c r="C2848" s="1" t="n">
        <v>45822</v>
      </c>
      <c r="D2848" t="inlineStr">
        <is>
          <t>VÄRMLANDS LÄN</t>
        </is>
      </c>
      <c r="E2848" t="inlineStr">
        <is>
          <t>TORSBY</t>
        </is>
      </c>
      <c r="G2848" t="n">
        <v>16.5</v>
      </c>
      <c r="H2848" t="n">
        <v>0</v>
      </c>
      <c r="I2848" t="n">
        <v>0</v>
      </c>
      <c r="J2848" t="n">
        <v>0</v>
      </c>
      <c r="K2848" t="n">
        <v>0</v>
      </c>
      <c r="L2848" t="n">
        <v>0</v>
      </c>
      <c r="M2848" t="n">
        <v>0</v>
      </c>
      <c r="N2848" t="n">
        <v>0</v>
      </c>
      <c r="O2848" t="n">
        <v>0</v>
      </c>
      <c r="P2848" t="n">
        <v>0</v>
      </c>
      <c r="Q2848" t="n">
        <v>0</v>
      </c>
      <c r="R2848" s="2" t="inlineStr"/>
    </row>
    <row r="2849" ht="15" customHeight="1">
      <c r="A2849" t="inlineStr">
        <is>
          <t>A 48721-2024</t>
        </is>
      </c>
      <c r="B2849" s="1" t="n">
        <v>45593</v>
      </c>
      <c r="C2849" s="1" t="n">
        <v>45822</v>
      </c>
      <c r="D2849" t="inlineStr">
        <is>
          <t>VÄRMLANDS LÄN</t>
        </is>
      </c>
      <c r="E2849" t="inlineStr">
        <is>
          <t>TORSBY</t>
        </is>
      </c>
      <c r="F2849" t="inlineStr">
        <is>
          <t>Bergvik skog väst AB</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48840-2024</t>
        </is>
      </c>
      <c r="B2850" s="1" t="n">
        <v>45593</v>
      </c>
      <c r="C2850" s="1" t="n">
        <v>45822</v>
      </c>
      <c r="D2850" t="inlineStr">
        <is>
          <t>VÄRMLANDS LÄN</t>
        </is>
      </c>
      <c r="E2850" t="inlineStr">
        <is>
          <t>TORSBY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48627-2024</t>
        </is>
      </c>
      <c r="B2851" s="1" t="n">
        <v>45593</v>
      </c>
      <c r="C2851" s="1" t="n">
        <v>45822</v>
      </c>
      <c r="D2851" t="inlineStr">
        <is>
          <t>VÄRMLANDS LÄN</t>
        </is>
      </c>
      <c r="E2851" t="inlineStr">
        <is>
          <t>TORSBY</t>
        </is>
      </c>
      <c r="F2851" t="inlineStr">
        <is>
          <t>Bergvik skog väst AB</t>
        </is>
      </c>
      <c r="G2851" t="n">
        <v>42.6</v>
      </c>
      <c r="H2851" t="n">
        <v>0</v>
      </c>
      <c r="I2851" t="n">
        <v>0</v>
      </c>
      <c r="J2851" t="n">
        <v>0</v>
      </c>
      <c r="K2851" t="n">
        <v>0</v>
      </c>
      <c r="L2851" t="n">
        <v>0</v>
      </c>
      <c r="M2851" t="n">
        <v>0</v>
      </c>
      <c r="N2851" t="n">
        <v>0</v>
      </c>
      <c r="O2851" t="n">
        <v>0</v>
      </c>
      <c r="P2851" t="n">
        <v>0</v>
      </c>
      <c r="Q2851" t="n">
        <v>0</v>
      </c>
      <c r="R2851" s="2" t="inlineStr"/>
    </row>
    <row r="2852" ht="15" customHeight="1">
      <c r="A2852" t="inlineStr">
        <is>
          <t>A 48558-2024</t>
        </is>
      </c>
      <c r="B2852" s="1" t="n">
        <v>45593</v>
      </c>
      <c r="C2852" s="1" t="n">
        <v>45822</v>
      </c>
      <c r="D2852" t="inlineStr">
        <is>
          <t>VÄRMLANDS LÄN</t>
        </is>
      </c>
      <c r="E2852" t="inlineStr">
        <is>
          <t>TORSBY</t>
        </is>
      </c>
      <c r="F2852" t="inlineStr">
        <is>
          <t>Bergvik skog väst AB</t>
        </is>
      </c>
      <c r="G2852" t="n">
        <v>14.2</v>
      </c>
      <c r="H2852" t="n">
        <v>0</v>
      </c>
      <c r="I2852" t="n">
        <v>0</v>
      </c>
      <c r="J2852" t="n">
        <v>0</v>
      </c>
      <c r="K2852" t="n">
        <v>0</v>
      </c>
      <c r="L2852" t="n">
        <v>0</v>
      </c>
      <c r="M2852" t="n">
        <v>0</v>
      </c>
      <c r="N2852" t="n">
        <v>0</v>
      </c>
      <c r="O2852" t="n">
        <v>0</v>
      </c>
      <c r="P2852" t="n">
        <v>0</v>
      </c>
      <c r="Q2852" t="n">
        <v>0</v>
      </c>
      <c r="R2852" s="2" t="inlineStr"/>
    </row>
    <row r="2853" ht="15" customHeight="1">
      <c r="A2853" t="inlineStr">
        <is>
          <t>A 48874-2024</t>
        </is>
      </c>
      <c r="B2853" s="1" t="n">
        <v>45594</v>
      </c>
      <c r="C2853" s="1" t="n">
        <v>45822</v>
      </c>
      <c r="D2853" t="inlineStr">
        <is>
          <t>VÄRMLANDS LÄN</t>
        </is>
      </c>
      <c r="E2853" t="inlineStr">
        <is>
          <t>TORSBY</t>
        </is>
      </c>
      <c r="F2853" t="inlineStr">
        <is>
          <t>Bergvik skog väst AB</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48963-2024</t>
        </is>
      </c>
      <c r="B2854" s="1" t="n">
        <v>45594</v>
      </c>
      <c r="C2854" s="1" t="n">
        <v>45822</v>
      </c>
      <c r="D2854" t="inlineStr">
        <is>
          <t>VÄRMLANDS LÄN</t>
        </is>
      </c>
      <c r="E2854" t="inlineStr">
        <is>
          <t>TORSBY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48903-2024</t>
        </is>
      </c>
      <c r="B2855" s="1" t="n">
        <v>45594</v>
      </c>
      <c r="C2855" s="1" t="n">
        <v>45822</v>
      </c>
      <c r="D2855" t="inlineStr">
        <is>
          <t>VÄRMLANDS LÄN</t>
        </is>
      </c>
      <c r="E2855" t="inlineStr">
        <is>
          <t>TORSBY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49163-2024</t>
        </is>
      </c>
      <c r="B2856" s="1" t="n">
        <v>45594</v>
      </c>
      <c r="C2856" s="1" t="n">
        <v>45822</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49195-2024</t>
        </is>
      </c>
      <c r="B2857" s="1" t="n">
        <v>45595</v>
      </c>
      <c r="C2857" s="1" t="n">
        <v>45822</v>
      </c>
      <c r="D2857" t="inlineStr">
        <is>
          <t>VÄRMLANDS LÄN</t>
        </is>
      </c>
      <c r="E2857" t="inlineStr">
        <is>
          <t>TORSBY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49383-2024</t>
        </is>
      </c>
      <c r="B2858" s="1" t="n">
        <v>45595</v>
      </c>
      <c r="C2858" s="1" t="n">
        <v>45822</v>
      </c>
      <c r="D2858" t="inlineStr">
        <is>
          <t>VÄRMLANDS LÄN</t>
        </is>
      </c>
      <c r="E2858" t="inlineStr">
        <is>
          <t>TORSBY</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49298-2024</t>
        </is>
      </c>
      <c r="B2859" s="1" t="n">
        <v>45595</v>
      </c>
      <c r="C2859" s="1" t="n">
        <v>45822</v>
      </c>
      <c r="D2859" t="inlineStr">
        <is>
          <t>VÄRMLANDS LÄN</t>
        </is>
      </c>
      <c r="E2859" t="inlineStr">
        <is>
          <t>TORSBY</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49524-2024</t>
        </is>
      </c>
      <c r="B2860" s="1" t="n">
        <v>45596</v>
      </c>
      <c r="C2860" s="1" t="n">
        <v>45822</v>
      </c>
      <c r="D2860" t="inlineStr">
        <is>
          <t>VÄRMLANDS LÄN</t>
        </is>
      </c>
      <c r="E2860" t="inlineStr">
        <is>
          <t>TORSBY</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49912-2024</t>
        </is>
      </c>
      <c r="B2861" s="1" t="n">
        <v>45597</v>
      </c>
      <c r="C2861" s="1" t="n">
        <v>45822</v>
      </c>
      <c r="D2861" t="inlineStr">
        <is>
          <t>VÄRMLANDS LÄN</t>
        </is>
      </c>
      <c r="E2861" t="inlineStr">
        <is>
          <t>TORSBY</t>
        </is>
      </c>
      <c r="F2861" t="inlineStr">
        <is>
          <t>Bergvik skog väst AB</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49845-2024</t>
        </is>
      </c>
      <c r="B2862" s="1" t="n">
        <v>45597</v>
      </c>
      <c r="C2862" s="1" t="n">
        <v>45822</v>
      </c>
      <c r="D2862" t="inlineStr">
        <is>
          <t>VÄRMLANDS LÄN</t>
        </is>
      </c>
      <c r="E2862" t="inlineStr">
        <is>
          <t>TORSBY</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49936-2024</t>
        </is>
      </c>
      <c r="B2863" s="1" t="n">
        <v>45597</v>
      </c>
      <c r="C2863" s="1" t="n">
        <v>45822</v>
      </c>
      <c r="D2863" t="inlineStr">
        <is>
          <t>VÄRMLANDS LÄN</t>
        </is>
      </c>
      <c r="E2863" t="inlineStr">
        <is>
          <t>TORSBY</t>
        </is>
      </c>
      <c r="F2863" t="inlineStr">
        <is>
          <t>Bergvik skog väst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49840-2024</t>
        </is>
      </c>
      <c r="B2864" s="1" t="n">
        <v>45597</v>
      </c>
      <c r="C2864" s="1" t="n">
        <v>45822</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50147-2024</t>
        </is>
      </c>
      <c r="B2865" s="1" t="n">
        <v>45600</v>
      </c>
      <c r="C2865" s="1" t="n">
        <v>45822</v>
      </c>
      <c r="D2865" t="inlineStr">
        <is>
          <t>VÄRMLANDS LÄN</t>
        </is>
      </c>
      <c r="E2865" t="inlineStr">
        <is>
          <t>TORSBY</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50235-2024</t>
        </is>
      </c>
      <c r="B2866" s="1" t="n">
        <v>45600</v>
      </c>
      <c r="C2866" s="1" t="n">
        <v>45822</v>
      </c>
      <c r="D2866" t="inlineStr">
        <is>
          <t>VÄRMLANDS LÄN</t>
        </is>
      </c>
      <c r="E2866" t="inlineStr">
        <is>
          <t>TORSBY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50568-2024</t>
        </is>
      </c>
      <c r="B2867" s="1" t="n">
        <v>45601</v>
      </c>
      <c r="C2867" s="1" t="n">
        <v>45822</v>
      </c>
      <c r="D2867" t="inlineStr">
        <is>
          <t>VÄRMLANDS LÄN</t>
        </is>
      </c>
      <c r="E2867" t="inlineStr">
        <is>
          <t>TORSBY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50386-2024</t>
        </is>
      </c>
      <c r="B2868" s="1" t="n">
        <v>45601</v>
      </c>
      <c r="C2868" s="1" t="n">
        <v>45822</v>
      </c>
      <c r="D2868" t="inlineStr">
        <is>
          <t>VÄRMLANDS LÄN</t>
        </is>
      </c>
      <c r="E2868" t="inlineStr">
        <is>
          <t>TORSBY</t>
        </is>
      </c>
      <c r="F2868" t="inlineStr">
        <is>
          <t>Övriga Aktiebolag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50373-2024</t>
        </is>
      </c>
      <c r="B2869" s="1" t="n">
        <v>45601</v>
      </c>
      <c r="C2869" s="1" t="n">
        <v>45822</v>
      </c>
      <c r="D2869" t="inlineStr">
        <is>
          <t>VÄRMLANDS LÄN</t>
        </is>
      </c>
      <c r="E2869" t="inlineStr">
        <is>
          <t>TORSBY</t>
        </is>
      </c>
      <c r="F2869" t="inlineStr">
        <is>
          <t>Övriga Aktiebolag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50372-2024</t>
        </is>
      </c>
      <c r="B2870" s="1" t="n">
        <v>45601</v>
      </c>
      <c r="C2870" s="1" t="n">
        <v>45822</v>
      </c>
      <c r="D2870" t="inlineStr">
        <is>
          <t>VÄRMLANDS LÄN</t>
        </is>
      </c>
      <c r="E2870" t="inlineStr">
        <is>
          <t>TORSBY</t>
        </is>
      </c>
      <c r="F2870" t="inlineStr">
        <is>
          <t>Övriga Aktiebolag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50376-2024</t>
        </is>
      </c>
      <c r="B2871" s="1" t="n">
        <v>45601</v>
      </c>
      <c r="C2871" s="1" t="n">
        <v>45822</v>
      </c>
      <c r="D2871" t="inlineStr">
        <is>
          <t>VÄRMLANDS LÄN</t>
        </is>
      </c>
      <c r="E2871" t="inlineStr">
        <is>
          <t>TORSBY</t>
        </is>
      </c>
      <c r="F2871" t="inlineStr">
        <is>
          <t>Övriga Aktiebolag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50380-2024</t>
        </is>
      </c>
      <c r="B2872" s="1" t="n">
        <v>45601</v>
      </c>
      <c r="C2872" s="1" t="n">
        <v>45822</v>
      </c>
      <c r="D2872" t="inlineStr">
        <is>
          <t>VÄRMLANDS LÄN</t>
        </is>
      </c>
      <c r="E2872" t="inlineStr">
        <is>
          <t>TORSBY</t>
        </is>
      </c>
      <c r="F2872" t="inlineStr">
        <is>
          <t>Bergvik skog väst AB</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50494-2024</t>
        </is>
      </c>
      <c r="B2873" s="1" t="n">
        <v>45601</v>
      </c>
      <c r="C2873" s="1" t="n">
        <v>45822</v>
      </c>
      <c r="D2873" t="inlineStr">
        <is>
          <t>VÄRMLANDS LÄN</t>
        </is>
      </c>
      <c r="E2873" t="inlineStr">
        <is>
          <t>TORSBY</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50832-2024</t>
        </is>
      </c>
      <c r="B2874" s="1" t="n">
        <v>45602</v>
      </c>
      <c r="C2874" s="1" t="n">
        <v>45822</v>
      </c>
      <c r="D2874" t="inlineStr">
        <is>
          <t>VÄRMLANDS LÄN</t>
        </is>
      </c>
      <c r="E2874" t="inlineStr">
        <is>
          <t>TORSBY</t>
        </is>
      </c>
      <c r="F2874" t="inlineStr">
        <is>
          <t>Bergvik skog väst AB</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51271-2024</t>
        </is>
      </c>
      <c r="B2875" s="1" t="n">
        <v>45603</v>
      </c>
      <c r="C2875" s="1" t="n">
        <v>45822</v>
      </c>
      <c r="D2875" t="inlineStr">
        <is>
          <t>VÄRMLANDS LÄN</t>
        </is>
      </c>
      <c r="E2875" t="inlineStr">
        <is>
          <t>TORSBY</t>
        </is>
      </c>
      <c r="F2875" t="inlineStr">
        <is>
          <t>Bergvik skog väst AB</t>
        </is>
      </c>
      <c r="G2875" t="n">
        <v>22.5</v>
      </c>
      <c r="H2875" t="n">
        <v>0</v>
      </c>
      <c r="I2875" t="n">
        <v>0</v>
      </c>
      <c r="J2875" t="n">
        <v>0</v>
      </c>
      <c r="K2875" t="n">
        <v>0</v>
      </c>
      <c r="L2875" t="n">
        <v>0</v>
      </c>
      <c r="M2875" t="n">
        <v>0</v>
      </c>
      <c r="N2875" t="n">
        <v>0</v>
      </c>
      <c r="O2875" t="n">
        <v>0</v>
      </c>
      <c r="P2875" t="n">
        <v>0</v>
      </c>
      <c r="Q2875" t="n">
        <v>0</v>
      </c>
      <c r="R2875" s="2" t="inlineStr"/>
    </row>
    <row r="2876" ht="15" customHeight="1">
      <c r="A2876" t="inlineStr">
        <is>
          <t>A 51369-2024</t>
        </is>
      </c>
      <c r="B2876" s="1" t="n">
        <v>45604</v>
      </c>
      <c r="C2876" s="1" t="n">
        <v>45822</v>
      </c>
      <c r="D2876" t="inlineStr">
        <is>
          <t>VÄRMLANDS LÄN</t>
        </is>
      </c>
      <c r="E2876" t="inlineStr">
        <is>
          <t>TORSBY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51469-2024</t>
        </is>
      </c>
      <c r="B2877" s="1" t="n">
        <v>45604</v>
      </c>
      <c r="C2877" s="1" t="n">
        <v>45822</v>
      </c>
      <c r="D2877" t="inlineStr">
        <is>
          <t>VÄRMLANDS LÄN</t>
        </is>
      </c>
      <c r="E2877" t="inlineStr">
        <is>
          <t>TORSBY</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51661-2024</t>
        </is>
      </c>
      <c r="B2878" s="1" t="n">
        <v>45606</v>
      </c>
      <c r="C2878" s="1" t="n">
        <v>45822</v>
      </c>
      <c r="D2878" t="inlineStr">
        <is>
          <t>VÄRMLANDS LÄN</t>
        </is>
      </c>
      <c r="E2878" t="inlineStr">
        <is>
          <t>TORSBY</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51662-2024</t>
        </is>
      </c>
      <c r="B2879" s="1" t="n">
        <v>45606</v>
      </c>
      <c r="C2879" s="1" t="n">
        <v>45822</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51663-2024</t>
        </is>
      </c>
      <c r="B2880" s="1" t="n">
        <v>45606</v>
      </c>
      <c r="C2880" s="1" t="n">
        <v>45822</v>
      </c>
      <c r="D2880" t="inlineStr">
        <is>
          <t>VÄRMLANDS LÄN</t>
        </is>
      </c>
      <c r="E2880" t="inlineStr">
        <is>
          <t>TORSBY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51660-2024</t>
        </is>
      </c>
      <c r="B2881" s="1" t="n">
        <v>45606</v>
      </c>
      <c r="C2881" s="1" t="n">
        <v>45822</v>
      </c>
      <c r="D2881" t="inlineStr">
        <is>
          <t>VÄRMLANDS LÄN</t>
        </is>
      </c>
      <c r="E2881" t="inlineStr">
        <is>
          <t>TORSBY</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51987-2024</t>
        </is>
      </c>
      <c r="B2882" s="1" t="n">
        <v>45607</v>
      </c>
      <c r="C2882" s="1" t="n">
        <v>45822</v>
      </c>
      <c r="D2882" t="inlineStr">
        <is>
          <t>VÄRMLANDS LÄN</t>
        </is>
      </c>
      <c r="E2882" t="inlineStr">
        <is>
          <t>TORSBY</t>
        </is>
      </c>
      <c r="G2882" t="n">
        <v>17.7</v>
      </c>
      <c r="H2882" t="n">
        <v>0</v>
      </c>
      <c r="I2882" t="n">
        <v>0</v>
      </c>
      <c r="J2882" t="n">
        <v>0</v>
      </c>
      <c r="K2882" t="n">
        <v>0</v>
      </c>
      <c r="L2882" t="n">
        <v>0</v>
      </c>
      <c r="M2882" t="n">
        <v>0</v>
      </c>
      <c r="N2882" t="n">
        <v>0</v>
      </c>
      <c r="O2882" t="n">
        <v>0</v>
      </c>
      <c r="P2882" t="n">
        <v>0</v>
      </c>
      <c r="Q2882" t="n">
        <v>0</v>
      </c>
      <c r="R2882" s="2" t="inlineStr"/>
    </row>
    <row r="2883" ht="15" customHeight="1">
      <c r="A2883" t="inlineStr">
        <is>
          <t>A 51836-2024</t>
        </is>
      </c>
      <c r="B2883" s="1" t="n">
        <v>45607</v>
      </c>
      <c r="C2883" s="1" t="n">
        <v>45822</v>
      </c>
      <c r="D2883" t="inlineStr">
        <is>
          <t>VÄRMLANDS LÄN</t>
        </is>
      </c>
      <c r="E2883" t="inlineStr">
        <is>
          <t>TORSBY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51823-2024</t>
        </is>
      </c>
      <c r="B2884" s="1" t="n">
        <v>45607</v>
      </c>
      <c r="C2884" s="1" t="n">
        <v>45822</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51785-2024</t>
        </is>
      </c>
      <c r="B2885" s="1" t="n">
        <v>45607</v>
      </c>
      <c r="C2885" s="1" t="n">
        <v>45822</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52223-2024</t>
        </is>
      </c>
      <c r="B2886" s="1" t="n">
        <v>45608</v>
      </c>
      <c r="C2886" s="1" t="n">
        <v>45822</v>
      </c>
      <c r="D2886" t="inlineStr">
        <is>
          <t>VÄRMLANDS LÄN</t>
        </is>
      </c>
      <c r="E2886" t="inlineStr">
        <is>
          <t>TORSBY</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52239-2024</t>
        </is>
      </c>
      <c r="B2887" s="1" t="n">
        <v>45608</v>
      </c>
      <c r="C2887" s="1" t="n">
        <v>45822</v>
      </c>
      <c r="D2887" t="inlineStr">
        <is>
          <t>VÄRMLANDS LÄN</t>
        </is>
      </c>
      <c r="E2887" t="inlineStr">
        <is>
          <t>TORSBY</t>
        </is>
      </c>
      <c r="F2887" t="inlineStr">
        <is>
          <t>Bergvik skog väst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52257-2024</t>
        </is>
      </c>
      <c r="B2888" s="1" t="n">
        <v>45608</v>
      </c>
      <c r="C2888" s="1" t="n">
        <v>45822</v>
      </c>
      <c r="D2888" t="inlineStr">
        <is>
          <t>VÄRMLANDS LÄN</t>
        </is>
      </c>
      <c r="E2888" t="inlineStr">
        <is>
          <t>TORSBY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52314-2024</t>
        </is>
      </c>
      <c r="B2889" s="1" t="n">
        <v>45608</v>
      </c>
      <c r="C2889" s="1" t="n">
        <v>45822</v>
      </c>
      <c r="D2889" t="inlineStr">
        <is>
          <t>VÄRMLANDS LÄN</t>
        </is>
      </c>
      <c r="E2889" t="inlineStr">
        <is>
          <t>TORSBY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52062-2024</t>
        </is>
      </c>
      <c r="B2890" s="1" t="n">
        <v>45608</v>
      </c>
      <c r="C2890" s="1" t="n">
        <v>45822</v>
      </c>
      <c r="D2890" t="inlineStr">
        <is>
          <t>VÄRMLANDS LÄN</t>
        </is>
      </c>
      <c r="E2890" t="inlineStr">
        <is>
          <t>TORSBY</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52262-2024</t>
        </is>
      </c>
      <c r="B2891" s="1" t="n">
        <v>45608</v>
      </c>
      <c r="C2891" s="1" t="n">
        <v>45822</v>
      </c>
      <c r="D2891" t="inlineStr">
        <is>
          <t>VÄRMLANDS LÄN</t>
        </is>
      </c>
      <c r="E2891" t="inlineStr">
        <is>
          <t>TORSBY</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52051-2024</t>
        </is>
      </c>
      <c r="B2892" s="1" t="n">
        <v>45608</v>
      </c>
      <c r="C2892" s="1" t="n">
        <v>45822</v>
      </c>
      <c r="D2892" t="inlineStr">
        <is>
          <t>VÄRMLANDS LÄN</t>
        </is>
      </c>
      <c r="E2892" t="inlineStr">
        <is>
          <t>TORSBY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52057-2024</t>
        </is>
      </c>
      <c r="B2893" s="1" t="n">
        <v>45608</v>
      </c>
      <c r="C2893" s="1" t="n">
        <v>45822</v>
      </c>
      <c r="D2893" t="inlineStr">
        <is>
          <t>VÄRMLANDS LÄN</t>
        </is>
      </c>
      <c r="E2893" t="inlineStr">
        <is>
          <t>TORSBY</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52334-2024</t>
        </is>
      </c>
      <c r="B2894" s="1" t="n">
        <v>45609</v>
      </c>
      <c r="C2894" s="1" t="n">
        <v>45822</v>
      </c>
      <c r="D2894" t="inlineStr">
        <is>
          <t>VÄRMLANDS LÄN</t>
        </is>
      </c>
      <c r="E2894" t="inlineStr">
        <is>
          <t>TORSBY</t>
        </is>
      </c>
      <c r="F2894" t="inlineStr">
        <is>
          <t>Bergvik skog väst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52386-2024</t>
        </is>
      </c>
      <c r="B2895" s="1" t="n">
        <v>45609</v>
      </c>
      <c r="C2895" s="1" t="n">
        <v>45822</v>
      </c>
      <c r="D2895" t="inlineStr">
        <is>
          <t>VÄRMLANDS LÄN</t>
        </is>
      </c>
      <c r="E2895" t="inlineStr">
        <is>
          <t>TORSBY</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52595-2024</t>
        </is>
      </c>
      <c r="B2896" s="1" t="n">
        <v>45609</v>
      </c>
      <c r="C2896" s="1" t="n">
        <v>45822</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52592-2024</t>
        </is>
      </c>
      <c r="B2897" s="1" t="n">
        <v>45609</v>
      </c>
      <c r="C2897" s="1" t="n">
        <v>45822</v>
      </c>
      <c r="D2897" t="inlineStr">
        <is>
          <t>VÄRMLANDS LÄN</t>
        </is>
      </c>
      <c r="E2897" t="inlineStr">
        <is>
          <t>TORSBY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52581-2024</t>
        </is>
      </c>
      <c r="B2898" s="1" t="n">
        <v>45609</v>
      </c>
      <c r="C2898" s="1" t="n">
        <v>45822</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52669-2024</t>
        </is>
      </c>
      <c r="B2899" s="1" t="n">
        <v>45610</v>
      </c>
      <c r="C2899" s="1" t="n">
        <v>45822</v>
      </c>
      <c r="D2899" t="inlineStr">
        <is>
          <t>VÄRMLANDS LÄN</t>
        </is>
      </c>
      <c r="E2899" t="inlineStr">
        <is>
          <t>TORSBY</t>
        </is>
      </c>
      <c r="F2899" t="inlineStr">
        <is>
          <t>Kyrkan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52676-2024</t>
        </is>
      </c>
      <c r="B2900" s="1" t="n">
        <v>45610</v>
      </c>
      <c r="C2900" s="1" t="n">
        <v>45822</v>
      </c>
      <c r="D2900" t="inlineStr">
        <is>
          <t>VÄRMLANDS LÄN</t>
        </is>
      </c>
      <c r="E2900" t="inlineStr">
        <is>
          <t>TORSBY</t>
        </is>
      </c>
      <c r="F2900" t="inlineStr">
        <is>
          <t>Kyrkan</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52689-2024</t>
        </is>
      </c>
      <c r="B2901" s="1" t="n">
        <v>45610</v>
      </c>
      <c r="C2901" s="1" t="n">
        <v>45822</v>
      </c>
      <c r="D2901" t="inlineStr">
        <is>
          <t>VÄRMLANDS LÄN</t>
        </is>
      </c>
      <c r="E2901" t="inlineStr">
        <is>
          <t>TORSBY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52801-2024</t>
        </is>
      </c>
      <c r="B2902" s="1" t="n">
        <v>45610</v>
      </c>
      <c r="C2902" s="1" t="n">
        <v>45822</v>
      </c>
      <c r="D2902" t="inlineStr">
        <is>
          <t>VÄRMLANDS LÄN</t>
        </is>
      </c>
      <c r="E2902" t="inlineStr">
        <is>
          <t>TORSBY</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52809-2024</t>
        </is>
      </c>
      <c r="B2903" s="1" t="n">
        <v>45610</v>
      </c>
      <c r="C2903" s="1" t="n">
        <v>45822</v>
      </c>
      <c r="D2903" t="inlineStr">
        <is>
          <t>VÄRMLANDS LÄN</t>
        </is>
      </c>
      <c r="E2903" t="inlineStr">
        <is>
          <t>TORSBY</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52940-2024</t>
        </is>
      </c>
      <c r="B2904" s="1" t="n">
        <v>45610</v>
      </c>
      <c r="C2904" s="1" t="n">
        <v>45822</v>
      </c>
      <c r="D2904" t="inlineStr">
        <is>
          <t>VÄRMLANDS LÄN</t>
        </is>
      </c>
      <c r="E2904" t="inlineStr">
        <is>
          <t>TORSBY</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52956-2024</t>
        </is>
      </c>
      <c r="B2905" s="1" t="n">
        <v>45610</v>
      </c>
      <c r="C2905" s="1" t="n">
        <v>45822</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52949-2024</t>
        </is>
      </c>
      <c r="B2906" s="1" t="n">
        <v>45610</v>
      </c>
      <c r="C2906" s="1" t="n">
        <v>45822</v>
      </c>
      <c r="D2906" t="inlineStr">
        <is>
          <t>VÄRMLANDS LÄN</t>
        </is>
      </c>
      <c r="E2906" t="inlineStr">
        <is>
          <t>TORSBY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52957-2024</t>
        </is>
      </c>
      <c r="B2907" s="1" t="n">
        <v>45610</v>
      </c>
      <c r="C2907" s="1" t="n">
        <v>45822</v>
      </c>
      <c r="D2907" t="inlineStr">
        <is>
          <t>VÄRMLANDS LÄN</t>
        </is>
      </c>
      <c r="E2907" t="inlineStr">
        <is>
          <t>TORSBY</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52947-2024</t>
        </is>
      </c>
      <c r="B2908" s="1" t="n">
        <v>45610</v>
      </c>
      <c r="C2908" s="1" t="n">
        <v>45822</v>
      </c>
      <c r="D2908" t="inlineStr">
        <is>
          <t>VÄRMLANDS LÄN</t>
        </is>
      </c>
      <c r="E2908" t="inlineStr">
        <is>
          <t>TORSBY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52750-2024</t>
        </is>
      </c>
      <c r="B2909" s="1" t="n">
        <v>45610</v>
      </c>
      <c r="C2909" s="1" t="n">
        <v>45822</v>
      </c>
      <c r="D2909" t="inlineStr">
        <is>
          <t>VÄRMLANDS LÄN</t>
        </is>
      </c>
      <c r="E2909" t="inlineStr">
        <is>
          <t>TORSBY</t>
        </is>
      </c>
      <c r="F2909" t="inlineStr">
        <is>
          <t>Kyrkan</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53035-2024</t>
        </is>
      </c>
      <c r="B2910" s="1" t="n">
        <v>45611</v>
      </c>
      <c r="C2910" s="1" t="n">
        <v>45822</v>
      </c>
      <c r="D2910" t="inlineStr">
        <is>
          <t>VÄRMLANDS LÄN</t>
        </is>
      </c>
      <c r="E2910" t="inlineStr">
        <is>
          <t>TORSBY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53146-2024</t>
        </is>
      </c>
      <c r="B2911" s="1" t="n">
        <v>45611</v>
      </c>
      <c r="C2911" s="1" t="n">
        <v>45822</v>
      </c>
      <c r="D2911" t="inlineStr">
        <is>
          <t>VÄRMLANDS LÄN</t>
        </is>
      </c>
      <c r="E2911" t="inlineStr">
        <is>
          <t>TORSBY</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53460-2024</t>
        </is>
      </c>
      <c r="B2912" s="1" t="n">
        <v>45611</v>
      </c>
      <c r="C2912" s="1" t="n">
        <v>45822</v>
      </c>
      <c r="D2912" t="inlineStr">
        <is>
          <t>VÄRMLANDS LÄN</t>
        </is>
      </c>
      <c r="E2912" t="inlineStr">
        <is>
          <t>TORSBY</t>
        </is>
      </c>
      <c r="G2912" t="n">
        <v>12.7</v>
      </c>
      <c r="H2912" t="n">
        <v>0</v>
      </c>
      <c r="I2912" t="n">
        <v>0</v>
      </c>
      <c r="J2912" t="n">
        <v>0</v>
      </c>
      <c r="K2912" t="n">
        <v>0</v>
      </c>
      <c r="L2912" t="n">
        <v>0</v>
      </c>
      <c r="M2912" t="n">
        <v>0</v>
      </c>
      <c r="N2912" t="n">
        <v>0</v>
      </c>
      <c r="O2912" t="n">
        <v>0</v>
      </c>
      <c r="P2912" t="n">
        <v>0</v>
      </c>
      <c r="Q2912" t="n">
        <v>0</v>
      </c>
      <c r="R2912" s="2" t="inlineStr"/>
    </row>
    <row r="2913" ht="15" customHeight="1">
      <c r="A2913" t="inlineStr">
        <is>
          <t>A 53044-2024</t>
        </is>
      </c>
      <c r="B2913" s="1" t="n">
        <v>45611</v>
      </c>
      <c r="C2913" s="1" t="n">
        <v>45822</v>
      </c>
      <c r="D2913" t="inlineStr">
        <is>
          <t>VÄRMLANDS LÄN</t>
        </is>
      </c>
      <c r="E2913" t="inlineStr">
        <is>
          <t>TORSBY</t>
        </is>
      </c>
      <c r="F2913" t="inlineStr">
        <is>
          <t>Kyrkan</t>
        </is>
      </c>
      <c r="G2913" t="n">
        <v>25.8</v>
      </c>
      <c r="H2913" t="n">
        <v>0</v>
      </c>
      <c r="I2913" t="n">
        <v>0</v>
      </c>
      <c r="J2913" t="n">
        <v>0</v>
      </c>
      <c r="K2913" t="n">
        <v>0</v>
      </c>
      <c r="L2913" t="n">
        <v>0</v>
      </c>
      <c r="M2913" t="n">
        <v>0</v>
      </c>
      <c r="N2913" t="n">
        <v>0</v>
      </c>
      <c r="O2913" t="n">
        <v>0</v>
      </c>
      <c r="P2913" t="n">
        <v>0</v>
      </c>
      <c r="Q2913" t="n">
        <v>0</v>
      </c>
      <c r="R2913" s="2" t="inlineStr"/>
    </row>
    <row r="2914" ht="15" customHeight="1">
      <c r="A2914" t="inlineStr">
        <is>
          <t>A 53038-2024</t>
        </is>
      </c>
      <c r="B2914" s="1" t="n">
        <v>45611</v>
      </c>
      <c r="C2914" s="1" t="n">
        <v>45822</v>
      </c>
      <c r="D2914" t="inlineStr">
        <is>
          <t>VÄRMLANDS LÄN</t>
        </is>
      </c>
      <c r="E2914" t="inlineStr">
        <is>
          <t>TORSBY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53025-2024</t>
        </is>
      </c>
      <c r="B2915" s="1" t="n">
        <v>45611</v>
      </c>
      <c r="C2915" s="1" t="n">
        <v>45822</v>
      </c>
      <c r="D2915" t="inlineStr">
        <is>
          <t>VÄRMLANDS LÄN</t>
        </is>
      </c>
      <c r="E2915" t="inlineStr">
        <is>
          <t>TORSBY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53099-2024</t>
        </is>
      </c>
      <c r="B2916" s="1" t="n">
        <v>45611</v>
      </c>
      <c r="C2916" s="1" t="n">
        <v>45822</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53211-2024</t>
        </is>
      </c>
      <c r="B2917" s="1" t="n">
        <v>45612</v>
      </c>
      <c r="C2917" s="1" t="n">
        <v>45822</v>
      </c>
      <c r="D2917" t="inlineStr">
        <is>
          <t>VÄRMLANDS LÄN</t>
        </is>
      </c>
      <c r="E2917" t="inlineStr">
        <is>
          <t>TORSBY</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53331-2024</t>
        </is>
      </c>
      <c r="B2918" s="1" t="n">
        <v>45614</v>
      </c>
      <c r="C2918" s="1" t="n">
        <v>45822</v>
      </c>
      <c r="D2918" t="inlineStr">
        <is>
          <t>VÄRMLANDS LÄN</t>
        </is>
      </c>
      <c r="E2918" t="inlineStr">
        <is>
          <t>TORSBY</t>
        </is>
      </c>
      <c r="F2918" t="inlineStr">
        <is>
          <t>Bergvik skog väst AB</t>
        </is>
      </c>
      <c r="G2918" t="n">
        <v>9.300000000000001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53570-2024</t>
        </is>
      </c>
      <c r="B2919" s="1" t="n">
        <v>45614</v>
      </c>
      <c r="C2919" s="1" t="n">
        <v>45822</v>
      </c>
      <c r="D2919" t="inlineStr">
        <is>
          <t>VÄRMLANDS LÄN</t>
        </is>
      </c>
      <c r="E2919" t="inlineStr">
        <is>
          <t>TORSBY</t>
        </is>
      </c>
      <c r="G2919" t="n">
        <v>15.5</v>
      </c>
      <c r="H2919" t="n">
        <v>0</v>
      </c>
      <c r="I2919" t="n">
        <v>0</v>
      </c>
      <c r="J2919" t="n">
        <v>0</v>
      </c>
      <c r="K2919" t="n">
        <v>0</v>
      </c>
      <c r="L2919" t="n">
        <v>0</v>
      </c>
      <c r="M2919" t="n">
        <v>0</v>
      </c>
      <c r="N2919" t="n">
        <v>0</v>
      </c>
      <c r="O2919" t="n">
        <v>0</v>
      </c>
      <c r="P2919" t="n">
        <v>0</v>
      </c>
      <c r="Q2919" t="n">
        <v>0</v>
      </c>
      <c r="R2919" s="2" t="inlineStr"/>
    </row>
    <row r="2920" ht="15" customHeight="1">
      <c r="A2920" t="inlineStr">
        <is>
          <t>A 53583-2024</t>
        </is>
      </c>
      <c r="B2920" s="1" t="n">
        <v>45614</v>
      </c>
      <c r="C2920" s="1" t="n">
        <v>45822</v>
      </c>
      <c r="D2920" t="inlineStr">
        <is>
          <t>VÄRMLANDS LÄN</t>
        </is>
      </c>
      <c r="E2920" t="inlineStr">
        <is>
          <t>TORSBY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53627-2024</t>
        </is>
      </c>
      <c r="B2921" s="1" t="n">
        <v>45614</v>
      </c>
      <c r="C2921" s="1" t="n">
        <v>45822</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53253-2024</t>
        </is>
      </c>
      <c r="B2922" s="1" t="n">
        <v>45614</v>
      </c>
      <c r="C2922" s="1" t="n">
        <v>45822</v>
      </c>
      <c r="D2922" t="inlineStr">
        <is>
          <t>VÄRMLANDS LÄN</t>
        </is>
      </c>
      <c r="E2922" t="inlineStr">
        <is>
          <t>TORSBY</t>
        </is>
      </c>
      <c r="F2922" t="inlineStr">
        <is>
          <t>Bergvik skog väst AB</t>
        </is>
      </c>
      <c r="G2922" t="n">
        <v>12.7</v>
      </c>
      <c r="H2922" t="n">
        <v>0</v>
      </c>
      <c r="I2922" t="n">
        <v>0</v>
      </c>
      <c r="J2922" t="n">
        <v>0</v>
      </c>
      <c r="K2922" t="n">
        <v>0</v>
      </c>
      <c r="L2922" t="n">
        <v>0</v>
      </c>
      <c r="M2922" t="n">
        <v>0</v>
      </c>
      <c r="N2922" t="n">
        <v>0</v>
      </c>
      <c r="O2922" t="n">
        <v>0</v>
      </c>
      <c r="P2922" t="n">
        <v>0</v>
      </c>
      <c r="Q2922" t="n">
        <v>0</v>
      </c>
      <c r="R2922" s="2" t="inlineStr"/>
    </row>
    <row r="2923" ht="15" customHeight="1">
      <c r="A2923" t="inlineStr">
        <is>
          <t>A 53599-2024</t>
        </is>
      </c>
      <c r="B2923" s="1" t="n">
        <v>45614</v>
      </c>
      <c r="C2923" s="1" t="n">
        <v>45822</v>
      </c>
      <c r="D2923" t="inlineStr">
        <is>
          <t>VÄRMLANDS LÄN</t>
        </is>
      </c>
      <c r="E2923" t="inlineStr">
        <is>
          <t>TORSBY</t>
        </is>
      </c>
      <c r="F2923" t="inlineStr">
        <is>
          <t>Bergvik skog väst AB</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53396-2024</t>
        </is>
      </c>
      <c r="B2924" s="1" t="n">
        <v>45614</v>
      </c>
      <c r="C2924" s="1" t="n">
        <v>45822</v>
      </c>
      <c r="D2924" t="inlineStr">
        <is>
          <t>VÄRMLANDS LÄN</t>
        </is>
      </c>
      <c r="E2924" t="inlineStr">
        <is>
          <t>TORSBY</t>
        </is>
      </c>
      <c r="F2924" t="inlineStr">
        <is>
          <t>Bergvik skog väst AB</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53593-2024</t>
        </is>
      </c>
      <c r="B2925" s="1" t="n">
        <v>45614</v>
      </c>
      <c r="C2925" s="1" t="n">
        <v>45822</v>
      </c>
      <c r="D2925" t="inlineStr">
        <is>
          <t>VÄRMLANDS LÄN</t>
        </is>
      </c>
      <c r="E2925" t="inlineStr">
        <is>
          <t>TORSBY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53506-2024</t>
        </is>
      </c>
      <c r="B2926" s="1" t="n">
        <v>45614</v>
      </c>
      <c r="C2926" s="1" t="n">
        <v>45822</v>
      </c>
      <c r="D2926" t="inlineStr">
        <is>
          <t>VÄRMLANDS LÄN</t>
        </is>
      </c>
      <c r="E2926" t="inlineStr">
        <is>
          <t>TORSBY</t>
        </is>
      </c>
      <c r="F2926" t="inlineStr">
        <is>
          <t>Bergvik skog väst AB</t>
        </is>
      </c>
      <c r="G2926" t="n">
        <v>12.2</v>
      </c>
      <c r="H2926" t="n">
        <v>0</v>
      </c>
      <c r="I2926" t="n">
        <v>0</v>
      </c>
      <c r="J2926" t="n">
        <v>0</v>
      </c>
      <c r="K2926" t="n">
        <v>0</v>
      </c>
      <c r="L2926" t="n">
        <v>0</v>
      </c>
      <c r="M2926" t="n">
        <v>0</v>
      </c>
      <c r="N2926" t="n">
        <v>0</v>
      </c>
      <c r="O2926" t="n">
        <v>0</v>
      </c>
      <c r="P2926" t="n">
        <v>0</v>
      </c>
      <c r="Q2926" t="n">
        <v>0</v>
      </c>
      <c r="R2926" s="2" t="inlineStr"/>
    </row>
    <row r="2927" ht="15" customHeight="1">
      <c r="A2927" t="inlineStr">
        <is>
          <t>A 53368-2024</t>
        </is>
      </c>
      <c r="B2927" s="1" t="n">
        <v>45614</v>
      </c>
      <c r="C2927" s="1" t="n">
        <v>45822</v>
      </c>
      <c r="D2927" t="inlineStr">
        <is>
          <t>VÄRMLANDS LÄN</t>
        </is>
      </c>
      <c r="E2927" t="inlineStr">
        <is>
          <t>TORSBY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53358-2024</t>
        </is>
      </c>
      <c r="B2928" s="1" t="n">
        <v>45614</v>
      </c>
      <c r="C2928" s="1" t="n">
        <v>45822</v>
      </c>
      <c r="D2928" t="inlineStr">
        <is>
          <t>VÄRMLANDS LÄN</t>
        </is>
      </c>
      <c r="E2928" t="inlineStr">
        <is>
          <t>TORSBY</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53297-2024</t>
        </is>
      </c>
      <c r="B2929" s="1" t="n">
        <v>45614</v>
      </c>
      <c r="C2929" s="1" t="n">
        <v>45822</v>
      </c>
      <c r="D2929" t="inlineStr">
        <is>
          <t>VÄRMLANDS LÄN</t>
        </is>
      </c>
      <c r="E2929" t="inlineStr">
        <is>
          <t>TORSBY</t>
        </is>
      </c>
      <c r="F2929" t="inlineStr">
        <is>
          <t>Bergvik skog väst AB</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53744-2024</t>
        </is>
      </c>
      <c r="B2930" s="1" t="n">
        <v>45615</v>
      </c>
      <c r="C2930" s="1" t="n">
        <v>45822</v>
      </c>
      <c r="D2930" t="inlineStr">
        <is>
          <t>VÄRMLANDS LÄN</t>
        </is>
      </c>
      <c r="E2930" t="inlineStr">
        <is>
          <t>TORSBY</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53748-2024</t>
        </is>
      </c>
      <c r="B2931" s="1" t="n">
        <v>45615</v>
      </c>
      <c r="C2931" s="1" t="n">
        <v>45822</v>
      </c>
      <c r="D2931" t="inlineStr">
        <is>
          <t>VÄRMLANDS LÄN</t>
        </is>
      </c>
      <c r="E2931" t="inlineStr">
        <is>
          <t>TORSBY</t>
        </is>
      </c>
      <c r="G2931" t="n">
        <v>11.2</v>
      </c>
      <c r="H2931" t="n">
        <v>0</v>
      </c>
      <c r="I2931" t="n">
        <v>0</v>
      </c>
      <c r="J2931" t="n">
        <v>0</v>
      </c>
      <c r="K2931" t="n">
        <v>0</v>
      </c>
      <c r="L2931" t="n">
        <v>0</v>
      </c>
      <c r="M2931" t="n">
        <v>0</v>
      </c>
      <c r="N2931" t="n">
        <v>0</v>
      </c>
      <c r="O2931" t="n">
        <v>0</v>
      </c>
      <c r="P2931" t="n">
        <v>0</v>
      </c>
      <c r="Q2931" t="n">
        <v>0</v>
      </c>
      <c r="R2931" s="2" t="inlineStr"/>
    </row>
    <row r="2932" ht="15" customHeight="1">
      <c r="A2932" t="inlineStr">
        <is>
          <t>A 53667-2024</t>
        </is>
      </c>
      <c r="B2932" s="1" t="n">
        <v>45615</v>
      </c>
      <c r="C2932" s="1" t="n">
        <v>45822</v>
      </c>
      <c r="D2932" t="inlineStr">
        <is>
          <t>VÄRMLANDS LÄN</t>
        </is>
      </c>
      <c r="E2932" t="inlineStr">
        <is>
          <t>TORSBY</t>
        </is>
      </c>
      <c r="F2932" t="inlineStr">
        <is>
          <t>Bergvik skog väst AB</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54023-2024</t>
        </is>
      </c>
      <c r="B2933" s="1" t="n">
        <v>45616</v>
      </c>
      <c r="C2933" s="1" t="n">
        <v>45822</v>
      </c>
      <c r="D2933" t="inlineStr">
        <is>
          <t>VÄRMLANDS LÄN</t>
        </is>
      </c>
      <c r="E2933" t="inlineStr">
        <is>
          <t>TORSBY</t>
        </is>
      </c>
      <c r="F2933" t="inlineStr">
        <is>
          <t>Kommuner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54266-2024</t>
        </is>
      </c>
      <c r="B2934" s="1" t="n">
        <v>45616</v>
      </c>
      <c r="C2934" s="1" t="n">
        <v>45822</v>
      </c>
      <c r="D2934" t="inlineStr">
        <is>
          <t>VÄRMLANDS LÄN</t>
        </is>
      </c>
      <c r="E2934" t="inlineStr">
        <is>
          <t>TORSBY</t>
        </is>
      </c>
      <c r="F2934" t="inlineStr">
        <is>
          <t>Kommuner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54004-2024</t>
        </is>
      </c>
      <c r="B2935" s="1" t="n">
        <v>45616</v>
      </c>
      <c r="C2935" s="1" t="n">
        <v>45822</v>
      </c>
      <c r="D2935" t="inlineStr">
        <is>
          <t>VÄRMLANDS LÄN</t>
        </is>
      </c>
      <c r="E2935" t="inlineStr">
        <is>
          <t>TORSBY</t>
        </is>
      </c>
      <c r="F2935" t="inlineStr">
        <is>
          <t>Kommuner</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54011-2024</t>
        </is>
      </c>
      <c r="B2936" s="1" t="n">
        <v>45616</v>
      </c>
      <c r="C2936" s="1" t="n">
        <v>45822</v>
      </c>
      <c r="D2936" t="inlineStr">
        <is>
          <t>VÄRMLANDS LÄN</t>
        </is>
      </c>
      <c r="E2936" t="inlineStr">
        <is>
          <t>TORSBY</t>
        </is>
      </c>
      <c r="F2936" t="inlineStr">
        <is>
          <t>Kommuner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54026-2024</t>
        </is>
      </c>
      <c r="B2937" s="1" t="n">
        <v>45616</v>
      </c>
      <c r="C2937" s="1" t="n">
        <v>45822</v>
      </c>
      <c r="D2937" t="inlineStr">
        <is>
          <t>VÄRMLANDS LÄN</t>
        </is>
      </c>
      <c r="E2937" t="inlineStr">
        <is>
          <t>TORSBY</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54265-2024</t>
        </is>
      </c>
      <c r="B2938" s="1" t="n">
        <v>45616</v>
      </c>
      <c r="C2938" s="1" t="n">
        <v>45822</v>
      </c>
      <c r="D2938" t="inlineStr">
        <is>
          <t>VÄRMLANDS LÄN</t>
        </is>
      </c>
      <c r="E2938" t="inlineStr">
        <is>
          <t>TORSBY</t>
        </is>
      </c>
      <c r="F2938" t="inlineStr">
        <is>
          <t>Kommuner</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54006-2024</t>
        </is>
      </c>
      <c r="B2939" s="1" t="n">
        <v>45616</v>
      </c>
      <c r="C2939" s="1" t="n">
        <v>45822</v>
      </c>
      <c r="D2939" t="inlineStr">
        <is>
          <t>VÄRMLANDS LÄN</t>
        </is>
      </c>
      <c r="E2939" t="inlineStr">
        <is>
          <t>TORSBY</t>
        </is>
      </c>
      <c r="F2939" t="inlineStr">
        <is>
          <t>Kommuner</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54014-2024</t>
        </is>
      </c>
      <c r="B2940" s="1" t="n">
        <v>45616</v>
      </c>
      <c r="C2940" s="1" t="n">
        <v>45822</v>
      </c>
      <c r="D2940" t="inlineStr">
        <is>
          <t>VÄRMLANDS LÄN</t>
        </is>
      </c>
      <c r="E2940" t="inlineStr">
        <is>
          <t>TORSBY</t>
        </is>
      </c>
      <c r="F2940" t="inlineStr">
        <is>
          <t>Kommuner</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54027-2024</t>
        </is>
      </c>
      <c r="B2941" s="1" t="n">
        <v>45616</v>
      </c>
      <c r="C2941" s="1" t="n">
        <v>45822</v>
      </c>
      <c r="D2941" t="inlineStr">
        <is>
          <t>VÄRMLANDS LÄN</t>
        </is>
      </c>
      <c r="E2941" t="inlineStr">
        <is>
          <t>TORSBY</t>
        </is>
      </c>
      <c r="F2941" t="inlineStr">
        <is>
          <t>Bergvik skog väst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54328-2024</t>
        </is>
      </c>
      <c r="B2942" s="1" t="n">
        <v>45617</v>
      </c>
      <c r="C2942" s="1" t="n">
        <v>45822</v>
      </c>
      <c r="D2942" t="inlineStr">
        <is>
          <t>VÄRMLANDS LÄN</t>
        </is>
      </c>
      <c r="E2942" t="inlineStr">
        <is>
          <t>TORSBY</t>
        </is>
      </c>
      <c r="F2942" t="inlineStr">
        <is>
          <t>Bergvik skog väst AB</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54306-2024</t>
        </is>
      </c>
      <c r="B2943" s="1" t="n">
        <v>45617</v>
      </c>
      <c r="C2943" s="1" t="n">
        <v>45822</v>
      </c>
      <c r="D2943" t="inlineStr">
        <is>
          <t>VÄRMLANDS LÄN</t>
        </is>
      </c>
      <c r="E2943" t="inlineStr">
        <is>
          <t>TORSBY</t>
        </is>
      </c>
      <c r="F2943" t="inlineStr">
        <is>
          <t>Bergvik skog väst AB</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54374-2024</t>
        </is>
      </c>
      <c r="B2944" s="1" t="n">
        <v>45617</v>
      </c>
      <c r="C2944" s="1" t="n">
        <v>45822</v>
      </c>
      <c r="D2944" t="inlineStr">
        <is>
          <t>VÄRMLANDS LÄN</t>
        </is>
      </c>
      <c r="E2944" t="inlineStr">
        <is>
          <t>TORSBY</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54618-2024</t>
        </is>
      </c>
      <c r="B2945" s="1" t="n">
        <v>45617</v>
      </c>
      <c r="C2945" s="1" t="n">
        <v>45822</v>
      </c>
      <c r="D2945" t="inlineStr">
        <is>
          <t>VÄRMLANDS LÄN</t>
        </is>
      </c>
      <c r="E2945" t="inlineStr">
        <is>
          <t>TORSBY</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54646-2024</t>
        </is>
      </c>
      <c r="B2946" s="1" t="n">
        <v>45617</v>
      </c>
      <c r="C2946" s="1" t="n">
        <v>45822</v>
      </c>
      <c r="D2946" t="inlineStr">
        <is>
          <t>VÄRMLANDS LÄN</t>
        </is>
      </c>
      <c r="E2946" t="inlineStr">
        <is>
          <t>TORSBY</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54489-2024</t>
        </is>
      </c>
      <c r="B2947" s="1" t="n">
        <v>45617</v>
      </c>
      <c r="C2947" s="1" t="n">
        <v>45822</v>
      </c>
      <c r="D2947" t="inlineStr">
        <is>
          <t>VÄRMLANDS LÄN</t>
        </is>
      </c>
      <c r="E2947" t="inlineStr">
        <is>
          <t>TORSBY</t>
        </is>
      </c>
      <c r="F2947" t="inlineStr">
        <is>
          <t>Bergvik skog väst AB</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54609-2024</t>
        </is>
      </c>
      <c r="B2948" s="1" t="n">
        <v>45617</v>
      </c>
      <c r="C2948" s="1" t="n">
        <v>45822</v>
      </c>
      <c r="D2948" t="inlineStr">
        <is>
          <t>VÄRMLANDS LÄN</t>
        </is>
      </c>
      <c r="E2948" t="inlineStr">
        <is>
          <t>TORSBY</t>
        </is>
      </c>
      <c r="F2948" t="inlineStr">
        <is>
          <t>Kommuner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54891-2024</t>
        </is>
      </c>
      <c r="B2949" s="1" t="n">
        <v>45618</v>
      </c>
      <c r="C2949" s="1" t="n">
        <v>45822</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54796-2024</t>
        </is>
      </c>
      <c r="B2950" s="1" t="n">
        <v>45618</v>
      </c>
      <c r="C2950" s="1" t="n">
        <v>45822</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54813-2024</t>
        </is>
      </c>
      <c r="B2951" s="1" t="n">
        <v>45618</v>
      </c>
      <c r="C2951" s="1" t="n">
        <v>45822</v>
      </c>
      <c r="D2951" t="inlineStr">
        <is>
          <t>VÄRMLANDS LÄN</t>
        </is>
      </c>
      <c r="E2951" t="inlineStr">
        <is>
          <t>TORSBY</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54790-2024</t>
        </is>
      </c>
      <c r="B2952" s="1" t="n">
        <v>45618</v>
      </c>
      <c r="C2952" s="1" t="n">
        <v>45822</v>
      </c>
      <c r="D2952" t="inlineStr">
        <is>
          <t>VÄRMLANDS LÄN</t>
        </is>
      </c>
      <c r="E2952" t="inlineStr">
        <is>
          <t>TORSBY</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54664-2024</t>
        </is>
      </c>
      <c r="B2953" s="1" t="n">
        <v>45618</v>
      </c>
      <c r="C2953" s="1" t="n">
        <v>45822</v>
      </c>
      <c r="D2953" t="inlineStr">
        <is>
          <t>VÄRMLANDS LÄN</t>
        </is>
      </c>
      <c r="E2953" t="inlineStr">
        <is>
          <t>TORSBY</t>
        </is>
      </c>
      <c r="F2953" t="inlineStr">
        <is>
          <t>Bergvik skog väst AB</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55072-2024</t>
        </is>
      </c>
      <c r="B2954" s="1" t="n">
        <v>45621</v>
      </c>
      <c r="C2954" s="1" t="n">
        <v>45822</v>
      </c>
      <c r="D2954" t="inlineStr">
        <is>
          <t>VÄRMLANDS LÄN</t>
        </is>
      </c>
      <c r="E2954" t="inlineStr">
        <is>
          <t>TORSBY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55036-2024</t>
        </is>
      </c>
      <c r="B2955" s="1" t="n">
        <v>45621</v>
      </c>
      <c r="C2955" s="1" t="n">
        <v>45822</v>
      </c>
      <c r="D2955" t="inlineStr">
        <is>
          <t>VÄRMLANDS LÄN</t>
        </is>
      </c>
      <c r="E2955" t="inlineStr">
        <is>
          <t>TORSBY</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55386-2024</t>
        </is>
      </c>
      <c r="B2956" s="1" t="n">
        <v>45622</v>
      </c>
      <c r="C2956" s="1" t="n">
        <v>45822</v>
      </c>
      <c r="D2956" t="inlineStr">
        <is>
          <t>VÄRMLANDS LÄN</t>
        </is>
      </c>
      <c r="E2956" t="inlineStr">
        <is>
          <t>TORSBY</t>
        </is>
      </c>
      <c r="F2956" t="inlineStr">
        <is>
          <t>Bergvik skog väst AB</t>
        </is>
      </c>
      <c r="G2956" t="n">
        <v>20.1</v>
      </c>
      <c r="H2956" t="n">
        <v>0</v>
      </c>
      <c r="I2956" t="n">
        <v>0</v>
      </c>
      <c r="J2956" t="n">
        <v>0</v>
      </c>
      <c r="K2956" t="n">
        <v>0</v>
      </c>
      <c r="L2956" t="n">
        <v>0</v>
      </c>
      <c r="M2956" t="n">
        <v>0</v>
      </c>
      <c r="N2956" t="n">
        <v>0</v>
      </c>
      <c r="O2956" t="n">
        <v>0</v>
      </c>
      <c r="P2956" t="n">
        <v>0</v>
      </c>
      <c r="Q2956" t="n">
        <v>0</v>
      </c>
      <c r="R2956" s="2" t="inlineStr"/>
    </row>
    <row r="2957" ht="15" customHeight="1">
      <c r="A2957" t="inlineStr">
        <is>
          <t>A 55546-2024</t>
        </is>
      </c>
      <c r="B2957" s="1" t="n">
        <v>45622</v>
      </c>
      <c r="C2957" s="1" t="n">
        <v>45822</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55430-2024</t>
        </is>
      </c>
      <c r="B2958" s="1" t="n">
        <v>45622</v>
      </c>
      <c r="C2958" s="1" t="n">
        <v>45822</v>
      </c>
      <c r="D2958" t="inlineStr">
        <is>
          <t>VÄRMLANDS LÄN</t>
        </is>
      </c>
      <c r="E2958" t="inlineStr">
        <is>
          <t>TORSBY</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55543-2024</t>
        </is>
      </c>
      <c r="B2959" s="1" t="n">
        <v>45622</v>
      </c>
      <c r="C2959" s="1" t="n">
        <v>45822</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55808-2024</t>
        </is>
      </c>
      <c r="B2960" s="1" t="n">
        <v>45622</v>
      </c>
      <c r="C2960" s="1" t="n">
        <v>45822</v>
      </c>
      <c r="D2960" t="inlineStr">
        <is>
          <t>VÄRMLANDS LÄN</t>
        </is>
      </c>
      <c r="E2960" t="inlineStr">
        <is>
          <t>TORSBY</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55750-2024</t>
        </is>
      </c>
      <c r="B2961" s="1" t="n">
        <v>45623</v>
      </c>
      <c r="C2961" s="1" t="n">
        <v>45822</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55814-2024</t>
        </is>
      </c>
      <c r="B2962" s="1" t="n">
        <v>45623</v>
      </c>
      <c r="C2962" s="1" t="n">
        <v>45822</v>
      </c>
      <c r="D2962" t="inlineStr">
        <is>
          <t>VÄRMLANDS LÄN</t>
        </is>
      </c>
      <c r="E2962" t="inlineStr">
        <is>
          <t>TORSBY</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55836-2024</t>
        </is>
      </c>
      <c r="B2963" s="1" t="n">
        <v>45623</v>
      </c>
      <c r="C2963" s="1" t="n">
        <v>45822</v>
      </c>
      <c r="D2963" t="inlineStr">
        <is>
          <t>VÄRMLANDS LÄN</t>
        </is>
      </c>
      <c r="E2963" t="inlineStr">
        <is>
          <t>TORSBY</t>
        </is>
      </c>
      <c r="F2963" t="inlineStr">
        <is>
          <t>Kommuner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55845-2024</t>
        </is>
      </c>
      <c r="B2964" s="1" t="n">
        <v>45623</v>
      </c>
      <c r="C2964" s="1" t="n">
        <v>45822</v>
      </c>
      <c r="D2964" t="inlineStr">
        <is>
          <t>VÄRMLANDS LÄN</t>
        </is>
      </c>
      <c r="E2964" t="inlineStr">
        <is>
          <t>TORSBY</t>
        </is>
      </c>
      <c r="F2964" t="inlineStr">
        <is>
          <t>Kommuner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55837-2024</t>
        </is>
      </c>
      <c r="B2965" s="1" t="n">
        <v>45623</v>
      </c>
      <c r="C2965" s="1" t="n">
        <v>45822</v>
      </c>
      <c r="D2965" t="inlineStr">
        <is>
          <t>VÄRMLANDS LÄN</t>
        </is>
      </c>
      <c r="E2965" t="inlineStr">
        <is>
          <t>TORSBY</t>
        </is>
      </c>
      <c r="F2965" t="inlineStr">
        <is>
          <t>Kommuner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55842-2024</t>
        </is>
      </c>
      <c r="B2966" s="1" t="n">
        <v>45623</v>
      </c>
      <c r="C2966" s="1" t="n">
        <v>45822</v>
      </c>
      <c r="D2966" t="inlineStr">
        <is>
          <t>VÄRMLANDS LÄN</t>
        </is>
      </c>
      <c r="E2966" t="inlineStr">
        <is>
          <t>TORSBY</t>
        </is>
      </c>
      <c r="F2966" t="inlineStr">
        <is>
          <t>Kommuner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55834-2024</t>
        </is>
      </c>
      <c r="B2967" s="1" t="n">
        <v>45623</v>
      </c>
      <c r="C2967" s="1" t="n">
        <v>45822</v>
      </c>
      <c r="D2967" t="inlineStr">
        <is>
          <t>VÄRMLANDS LÄN</t>
        </is>
      </c>
      <c r="E2967" t="inlineStr">
        <is>
          <t>TORSBY</t>
        </is>
      </c>
      <c r="F2967" t="inlineStr">
        <is>
          <t>Kommuner</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55839-2024</t>
        </is>
      </c>
      <c r="B2968" s="1" t="n">
        <v>45623</v>
      </c>
      <c r="C2968" s="1" t="n">
        <v>45822</v>
      </c>
      <c r="D2968" t="inlineStr">
        <is>
          <t>VÄRMLANDS LÄN</t>
        </is>
      </c>
      <c r="E2968" t="inlineStr">
        <is>
          <t>TORSBY</t>
        </is>
      </c>
      <c r="F2968" t="inlineStr">
        <is>
          <t>Kommuner</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55987-2024</t>
        </is>
      </c>
      <c r="B2969" s="1" t="n">
        <v>45623</v>
      </c>
      <c r="C2969" s="1" t="n">
        <v>45822</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56101-2024</t>
        </is>
      </c>
      <c r="B2970" s="1" t="n">
        <v>45624</v>
      </c>
      <c r="C2970" s="1" t="n">
        <v>45822</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56240-2024</t>
        </is>
      </c>
      <c r="B2971" s="1" t="n">
        <v>45624</v>
      </c>
      <c r="C2971" s="1" t="n">
        <v>45822</v>
      </c>
      <c r="D2971" t="inlineStr">
        <is>
          <t>VÄRMLANDS LÄN</t>
        </is>
      </c>
      <c r="E2971" t="inlineStr">
        <is>
          <t>TORSBY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56107-2024</t>
        </is>
      </c>
      <c r="B2972" s="1" t="n">
        <v>45624</v>
      </c>
      <c r="C2972" s="1" t="n">
        <v>45822</v>
      </c>
      <c r="D2972" t="inlineStr">
        <is>
          <t>VÄRMLANDS LÄN</t>
        </is>
      </c>
      <c r="E2972" t="inlineStr">
        <is>
          <t>TORSBY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56056-2024</t>
        </is>
      </c>
      <c r="B2973" s="1" t="n">
        <v>45624</v>
      </c>
      <c r="C2973" s="1" t="n">
        <v>45822</v>
      </c>
      <c r="D2973" t="inlineStr">
        <is>
          <t>VÄRMLANDS LÄN</t>
        </is>
      </c>
      <c r="E2973" t="inlineStr">
        <is>
          <t>TORSBY</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56098-2024</t>
        </is>
      </c>
      <c r="B2974" s="1" t="n">
        <v>45624</v>
      </c>
      <c r="C2974" s="1" t="n">
        <v>45822</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56430-2024</t>
        </is>
      </c>
      <c r="B2975" s="1" t="n">
        <v>45625</v>
      </c>
      <c r="C2975" s="1" t="n">
        <v>45822</v>
      </c>
      <c r="D2975" t="inlineStr">
        <is>
          <t>VÄRMLANDS LÄN</t>
        </is>
      </c>
      <c r="E2975" t="inlineStr">
        <is>
          <t>TORSBY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56509-2024</t>
        </is>
      </c>
      <c r="B2976" s="1" t="n">
        <v>45625</v>
      </c>
      <c r="C2976" s="1" t="n">
        <v>45822</v>
      </c>
      <c r="D2976" t="inlineStr">
        <is>
          <t>VÄRMLANDS LÄN</t>
        </is>
      </c>
      <c r="E2976" t="inlineStr">
        <is>
          <t>TORSBY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56534-2024</t>
        </is>
      </c>
      <c r="B2977" s="1" t="n">
        <v>45625</v>
      </c>
      <c r="C2977" s="1" t="n">
        <v>45822</v>
      </c>
      <c r="D2977" t="inlineStr">
        <is>
          <t>VÄRMLANDS LÄN</t>
        </is>
      </c>
      <c r="E2977" t="inlineStr">
        <is>
          <t>TORSBY</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56635-2024</t>
        </is>
      </c>
      <c r="B2978" s="1" t="n">
        <v>45625</v>
      </c>
      <c r="C2978" s="1" t="n">
        <v>45822</v>
      </c>
      <c r="D2978" t="inlineStr">
        <is>
          <t>VÄRMLANDS LÄN</t>
        </is>
      </c>
      <c r="E2978" t="inlineStr">
        <is>
          <t>TORSBY</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56571-2024</t>
        </is>
      </c>
      <c r="B2979" s="1" t="n">
        <v>45625</v>
      </c>
      <c r="C2979" s="1" t="n">
        <v>45822</v>
      </c>
      <c r="D2979" t="inlineStr">
        <is>
          <t>VÄRMLANDS LÄN</t>
        </is>
      </c>
      <c r="E2979" t="inlineStr">
        <is>
          <t>TORSBY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56611-2024</t>
        </is>
      </c>
      <c r="B2980" s="1" t="n">
        <v>45625</v>
      </c>
      <c r="C2980" s="1" t="n">
        <v>45822</v>
      </c>
      <c r="D2980" t="inlineStr">
        <is>
          <t>VÄRMLANDS LÄN</t>
        </is>
      </c>
      <c r="E2980" t="inlineStr">
        <is>
          <t>TORSBY</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56630-2024</t>
        </is>
      </c>
      <c r="B2981" s="1" t="n">
        <v>45625</v>
      </c>
      <c r="C2981" s="1" t="n">
        <v>45822</v>
      </c>
      <c r="D2981" t="inlineStr">
        <is>
          <t>VÄRMLANDS LÄN</t>
        </is>
      </c>
      <c r="E2981" t="inlineStr">
        <is>
          <t>TORSBY</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56634-2024</t>
        </is>
      </c>
      <c r="B2982" s="1" t="n">
        <v>45625</v>
      </c>
      <c r="C2982" s="1" t="n">
        <v>45822</v>
      </c>
      <c r="D2982" t="inlineStr">
        <is>
          <t>VÄRMLANDS LÄN</t>
        </is>
      </c>
      <c r="E2982" t="inlineStr">
        <is>
          <t>TORSBY</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56808-2024</t>
        </is>
      </c>
      <c r="B2983" s="1" t="n">
        <v>45628</v>
      </c>
      <c r="C2983" s="1" t="n">
        <v>45822</v>
      </c>
      <c r="D2983" t="inlineStr">
        <is>
          <t>VÄRMLANDS LÄN</t>
        </is>
      </c>
      <c r="E2983" t="inlineStr">
        <is>
          <t>TORSBY</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57329-2024</t>
        </is>
      </c>
      <c r="B2984" s="1" t="n">
        <v>45629</v>
      </c>
      <c r="C2984" s="1" t="n">
        <v>45822</v>
      </c>
      <c r="D2984" t="inlineStr">
        <is>
          <t>VÄRMLANDS LÄN</t>
        </is>
      </c>
      <c r="E2984" t="inlineStr">
        <is>
          <t>TORSBY</t>
        </is>
      </c>
      <c r="F2984" t="inlineStr">
        <is>
          <t>Kyrkan</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57469-2024</t>
        </is>
      </c>
      <c r="B2985" s="1" t="n">
        <v>45630</v>
      </c>
      <c r="C2985" s="1" t="n">
        <v>45822</v>
      </c>
      <c r="D2985" t="inlineStr">
        <is>
          <t>VÄRMLANDS LÄN</t>
        </is>
      </c>
      <c r="E2985" t="inlineStr">
        <is>
          <t>TORSBY</t>
        </is>
      </c>
      <c r="F2985" t="inlineStr">
        <is>
          <t>Bergvik skog väst AB</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57481-2024</t>
        </is>
      </c>
      <c r="B2986" s="1" t="n">
        <v>45630</v>
      </c>
      <c r="C2986" s="1" t="n">
        <v>45822</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57502-2024</t>
        </is>
      </c>
      <c r="B2987" s="1" t="n">
        <v>45630</v>
      </c>
      <c r="C2987" s="1" t="n">
        <v>45822</v>
      </c>
      <c r="D2987" t="inlineStr">
        <is>
          <t>VÄRMLANDS LÄN</t>
        </is>
      </c>
      <c r="E2987" t="inlineStr">
        <is>
          <t>TORSBY</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57532-2024</t>
        </is>
      </c>
      <c r="B2988" s="1" t="n">
        <v>45630</v>
      </c>
      <c r="C2988" s="1" t="n">
        <v>45822</v>
      </c>
      <c r="D2988" t="inlineStr">
        <is>
          <t>VÄRMLANDS LÄN</t>
        </is>
      </c>
      <c r="E2988" t="inlineStr">
        <is>
          <t>TORSBY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57536-2024</t>
        </is>
      </c>
      <c r="B2989" s="1" t="n">
        <v>45630</v>
      </c>
      <c r="C2989" s="1" t="n">
        <v>45822</v>
      </c>
      <c r="D2989" t="inlineStr">
        <is>
          <t>VÄRMLANDS LÄN</t>
        </is>
      </c>
      <c r="E2989" t="inlineStr">
        <is>
          <t>TORSBY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57722-2024</t>
        </is>
      </c>
      <c r="B2990" s="1" t="n">
        <v>45630</v>
      </c>
      <c r="C2990" s="1" t="n">
        <v>45822</v>
      </c>
      <c r="D2990" t="inlineStr">
        <is>
          <t>VÄRMLANDS LÄN</t>
        </is>
      </c>
      <c r="E2990" t="inlineStr">
        <is>
          <t>TORSBY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57662-2024</t>
        </is>
      </c>
      <c r="B2991" s="1" t="n">
        <v>45630</v>
      </c>
      <c r="C2991" s="1" t="n">
        <v>45822</v>
      </c>
      <c r="D2991" t="inlineStr">
        <is>
          <t>VÄRMLANDS LÄN</t>
        </is>
      </c>
      <c r="E2991" t="inlineStr">
        <is>
          <t>TORSBY</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57709-2024</t>
        </is>
      </c>
      <c r="B2992" s="1" t="n">
        <v>45630</v>
      </c>
      <c r="C2992" s="1" t="n">
        <v>45822</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57725-2024</t>
        </is>
      </c>
      <c r="B2993" s="1" t="n">
        <v>45630</v>
      </c>
      <c r="C2993" s="1" t="n">
        <v>45822</v>
      </c>
      <c r="D2993" t="inlineStr">
        <is>
          <t>VÄRMLANDS LÄN</t>
        </is>
      </c>
      <c r="E2993" t="inlineStr">
        <is>
          <t>TORSBY</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57545-2024</t>
        </is>
      </c>
      <c r="B2994" s="1" t="n">
        <v>45630</v>
      </c>
      <c r="C2994" s="1" t="n">
        <v>45822</v>
      </c>
      <c r="D2994" t="inlineStr">
        <is>
          <t>VÄRMLANDS LÄN</t>
        </is>
      </c>
      <c r="E2994" t="inlineStr">
        <is>
          <t>TORSBY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57723-2024</t>
        </is>
      </c>
      <c r="B2995" s="1" t="n">
        <v>45630</v>
      </c>
      <c r="C2995" s="1" t="n">
        <v>45822</v>
      </c>
      <c r="D2995" t="inlineStr">
        <is>
          <t>VÄRMLANDS LÄN</t>
        </is>
      </c>
      <c r="E2995" t="inlineStr">
        <is>
          <t>TORSBY</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57774-2024</t>
        </is>
      </c>
      <c r="B2996" s="1" t="n">
        <v>45630</v>
      </c>
      <c r="C2996" s="1" t="n">
        <v>45822</v>
      </c>
      <c r="D2996" t="inlineStr">
        <is>
          <t>VÄRMLANDS LÄN</t>
        </is>
      </c>
      <c r="E2996" t="inlineStr">
        <is>
          <t>TORSBY</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57785-2024</t>
        </is>
      </c>
      <c r="B2997" s="1" t="n">
        <v>45631</v>
      </c>
      <c r="C2997" s="1" t="n">
        <v>45822</v>
      </c>
      <c r="D2997" t="inlineStr">
        <is>
          <t>VÄRMLANDS LÄN</t>
        </is>
      </c>
      <c r="E2997" t="inlineStr">
        <is>
          <t>TORSBY</t>
        </is>
      </c>
      <c r="F2997" t="inlineStr">
        <is>
          <t>Bergvik skog väst AB</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57809-2024</t>
        </is>
      </c>
      <c r="B2998" s="1" t="n">
        <v>45631</v>
      </c>
      <c r="C2998" s="1" t="n">
        <v>45822</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58033-2024</t>
        </is>
      </c>
      <c r="B2999" s="1" t="n">
        <v>45631</v>
      </c>
      <c r="C2999" s="1" t="n">
        <v>45822</v>
      </c>
      <c r="D2999" t="inlineStr">
        <is>
          <t>VÄRMLANDS LÄN</t>
        </is>
      </c>
      <c r="E2999" t="inlineStr">
        <is>
          <t>TORSBY</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58023-2024</t>
        </is>
      </c>
      <c r="B3000" s="1" t="n">
        <v>45631</v>
      </c>
      <c r="C3000" s="1" t="n">
        <v>45822</v>
      </c>
      <c r="D3000" t="inlineStr">
        <is>
          <t>VÄRMLANDS LÄN</t>
        </is>
      </c>
      <c r="E3000" t="inlineStr">
        <is>
          <t>TORSBY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58051-2024</t>
        </is>
      </c>
      <c r="B3001" s="1" t="n">
        <v>45631</v>
      </c>
      <c r="C3001" s="1" t="n">
        <v>45822</v>
      </c>
      <c r="D3001" t="inlineStr">
        <is>
          <t>VÄRMLANDS LÄN</t>
        </is>
      </c>
      <c r="E3001" t="inlineStr">
        <is>
          <t>TORSBY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58134-2024</t>
        </is>
      </c>
      <c r="B3002" s="1" t="n">
        <v>45632</v>
      </c>
      <c r="C3002" s="1" t="n">
        <v>45822</v>
      </c>
      <c r="D3002" t="inlineStr">
        <is>
          <t>VÄRMLANDS LÄN</t>
        </is>
      </c>
      <c r="E3002" t="inlineStr">
        <is>
          <t>TORSBY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58304-2024</t>
        </is>
      </c>
      <c r="B3003" s="1" t="n">
        <v>45632</v>
      </c>
      <c r="C3003" s="1" t="n">
        <v>45822</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58255-2024</t>
        </is>
      </c>
      <c r="B3004" s="1" t="n">
        <v>45632</v>
      </c>
      <c r="C3004" s="1" t="n">
        <v>45822</v>
      </c>
      <c r="D3004" t="inlineStr">
        <is>
          <t>VÄRMLANDS LÄN</t>
        </is>
      </c>
      <c r="E3004" t="inlineStr">
        <is>
          <t>TORSBY</t>
        </is>
      </c>
      <c r="F3004" t="inlineStr">
        <is>
          <t>Bergvik skog väst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58259-2024</t>
        </is>
      </c>
      <c r="B3005" s="1" t="n">
        <v>45632</v>
      </c>
      <c r="C3005" s="1" t="n">
        <v>45822</v>
      </c>
      <c r="D3005" t="inlineStr">
        <is>
          <t>VÄRMLANDS LÄN</t>
        </is>
      </c>
      <c r="E3005" t="inlineStr">
        <is>
          <t>TORSBY</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58288-2024</t>
        </is>
      </c>
      <c r="B3006" s="1" t="n">
        <v>45632</v>
      </c>
      <c r="C3006" s="1" t="n">
        <v>45822</v>
      </c>
      <c r="D3006" t="inlineStr">
        <is>
          <t>VÄRMLANDS LÄN</t>
        </is>
      </c>
      <c r="E3006" t="inlineStr">
        <is>
          <t>TORSBY</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58707-2024</t>
        </is>
      </c>
      <c r="B3007" s="1" t="n">
        <v>45635</v>
      </c>
      <c r="C3007" s="1" t="n">
        <v>45822</v>
      </c>
      <c r="D3007" t="inlineStr">
        <is>
          <t>VÄRMLANDS LÄN</t>
        </is>
      </c>
      <c r="E3007" t="inlineStr">
        <is>
          <t>TORSBY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58786-2024</t>
        </is>
      </c>
      <c r="B3008" s="1" t="n">
        <v>45635</v>
      </c>
      <c r="C3008" s="1" t="n">
        <v>45822</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58976-2024</t>
        </is>
      </c>
      <c r="B3009" s="1" t="n">
        <v>45636</v>
      </c>
      <c r="C3009" s="1" t="n">
        <v>45822</v>
      </c>
      <c r="D3009" t="inlineStr">
        <is>
          <t>VÄRMLANDS LÄN</t>
        </is>
      </c>
      <c r="E3009" t="inlineStr">
        <is>
          <t>TORSBY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58948-2024</t>
        </is>
      </c>
      <c r="B3010" s="1" t="n">
        <v>45636</v>
      </c>
      <c r="C3010" s="1" t="n">
        <v>45822</v>
      </c>
      <c r="D3010" t="inlineStr">
        <is>
          <t>VÄRMLANDS LÄN</t>
        </is>
      </c>
      <c r="E3010" t="inlineStr">
        <is>
          <t>TORSBY</t>
        </is>
      </c>
      <c r="F3010" t="inlineStr">
        <is>
          <t>Bergvik skog väst AB</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59005-2024</t>
        </is>
      </c>
      <c r="B3011" s="1" t="n">
        <v>45636</v>
      </c>
      <c r="C3011" s="1" t="n">
        <v>45822</v>
      </c>
      <c r="D3011" t="inlineStr">
        <is>
          <t>VÄRMLANDS LÄN</t>
        </is>
      </c>
      <c r="E3011" t="inlineStr">
        <is>
          <t>TORSBY</t>
        </is>
      </c>
      <c r="G3011" t="n">
        <v>9.6</v>
      </c>
      <c r="H3011" t="n">
        <v>0</v>
      </c>
      <c r="I3011" t="n">
        <v>0</v>
      </c>
      <c r="J3011" t="n">
        <v>0</v>
      </c>
      <c r="K3011" t="n">
        <v>0</v>
      </c>
      <c r="L3011" t="n">
        <v>0</v>
      </c>
      <c r="M3011" t="n">
        <v>0</v>
      </c>
      <c r="N3011" t="n">
        <v>0</v>
      </c>
      <c r="O3011" t="n">
        <v>0</v>
      </c>
      <c r="P3011" t="n">
        <v>0</v>
      </c>
      <c r="Q3011" t="n">
        <v>0</v>
      </c>
      <c r="R3011" s="2" t="inlineStr"/>
    </row>
    <row r="3012" ht="15" customHeight="1">
      <c r="A3012" t="inlineStr">
        <is>
          <t>A 58945-2024</t>
        </is>
      </c>
      <c r="B3012" s="1" t="n">
        <v>45636</v>
      </c>
      <c r="C3012" s="1" t="n">
        <v>45822</v>
      </c>
      <c r="D3012" t="inlineStr">
        <is>
          <t>VÄRMLANDS LÄN</t>
        </is>
      </c>
      <c r="E3012" t="inlineStr">
        <is>
          <t>TORSBY</t>
        </is>
      </c>
      <c r="F3012" t="inlineStr">
        <is>
          <t>Bergvik skog väst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59080-2024</t>
        </is>
      </c>
      <c r="B3013" s="1" t="n">
        <v>45637</v>
      </c>
      <c r="C3013" s="1" t="n">
        <v>45822</v>
      </c>
      <c r="D3013" t="inlineStr">
        <is>
          <t>VÄRMLANDS LÄN</t>
        </is>
      </c>
      <c r="E3013" t="inlineStr">
        <is>
          <t>TORSBY</t>
        </is>
      </c>
      <c r="F3013" t="inlineStr">
        <is>
          <t>Bergvik skog väst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59423-2024</t>
        </is>
      </c>
      <c r="B3014" s="1" t="n">
        <v>45638</v>
      </c>
      <c r="C3014" s="1" t="n">
        <v>45822</v>
      </c>
      <c r="D3014" t="inlineStr">
        <is>
          <t>VÄRMLANDS LÄN</t>
        </is>
      </c>
      <c r="E3014" t="inlineStr">
        <is>
          <t>TORSBY</t>
        </is>
      </c>
      <c r="G3014" t="n">
        <v>23.7</v>
      </c>
      <c r="H3014" t="n">
        <v>0</v>
      </c>
      <c r="I3014" t="n">
        <v>0</v>
      </c>
      <c r="J3014" t="n">
        <v>0</v>
      </c>
      <c r="K3014" t="n">
        <v>0</v>
      </c>
      <c r="L3014" t="n">
        <v>0</v>
      </c>
      <c r="M3014" t="n">
        <v>0</v>
      </c>
      <c r="N3014" t="n">
        <v>0</v>
      </c>
      <c r="O3014" t="n">
        <v>0</v>
      </c>
      <c r="P3014" t="n">
        <v>0</v>
      </c>
      <c r="Q3014" t="n">
        <v>0</v>
      </c>
      <c r="R3014" s="2" t="inlineStr"/>
    </row>
    <row r="3015" ht="15" customHeight="1">
      <c r="A3015" t="inlineStr">
        <is>
          <t>A 59613-2024</t>
        </is>
      </c>
      <c r="B3015" s="1" t="n">
        <v>45638</v>
      </c>
      <c r="C3015" s="1" t="n">
        <v>45822</v>
      </c>
      <c r="D3015" t="inlineStr">
        <is>
          <t>VÄRMLANDS LÄN</t>
        </is>
      </c>
      <c r="E3015" t="inlineStr">
        <is>
          <t>TORSBY</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59603-2024</t>
        </is>
      </c>
      <c r="B3016" s="1" t="n">
        <v>45638</v>
      </c>
      <c r="C3016" s="1" t="n">
        <v>45822</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59610-2024</t>
        </is>
      </c>
      <c r="B3017" s="1" t="n">
        <v>45638</v>
      </c>
      <c r="C3017" s="1" t="n">
        <v>45822</v>
      </c>
      <c r="D3017" t="inlineStr">
        <is>
          <t>VÄRMLANDS LÄN</t>
        </is>
      </c>
      <c r="E3017" t="inlineStr">
        <is>
          <t>TORSBY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59428-2024</t>
        </is>
      </c>
      <c r="B3018" s="1" t="n">
        <v>45638</v>
      </c>
      <c r="C3018" s="1" t="n">
        <v>45822</v>
      </c>
      <c r="D3018" t="inlineStr">
        <is>
          <t>VÄRMLANDS LÄN</t>
        </is>
      </c>
      <c r="E3018" t="inlineStr">
        <is>
          <t>TORSBY</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59780-2024</t>
        </is>
      </c>
      <c r="B3019" s="1" t="n">
        <v>45639</v>
      </c>
      <c r="C3019" s="1" t="n">
        <v>45822</v>
      </c>
      <c r="D3019" t="inlineStr">
        <is>
          <t>VÄRMLANDS LÄN</t>
        </is>
      </c>
      <c r="E3019" t="inlineStr">
        <is>
          <t>TORSBY</t>
        </is>
      </c>
      <c r="G3019" t="n">
        <v>13.1</v>
      </c>
      <c r="H3019" t="n">
        <v>0</v>
      </c>
      <c r="I3019" t="n">
        <v>0</v>
      </c>
      <c r="J3019" t="n">
        <v>0</v>
      </c>
      <c r="K3019" t="n">
        <v>0</v>
      </c>
      <c r="L3019" t="n">
        <v>0</v>
      </c>
      <c r="M3019" t="n">
        <v>0</v>
      </c>
      <c r="N3019" t="n">
        <v>0</v>
      </c>
      <c r="O3019" t="n">
        <v>0</v>
      </c>
      <c r="P3019" t="n">
        <v>0</v>
      </c>
      <c r="Q3019" t="n">
        <v>0</v>
      </c>
      <c r="R3019" s="2" t="inlineStr"/>
    </row>
    <row r="3020" ht="15" customHeight="1">
      <c r="A3020" t="inlineStr">
        <is>
          <t>A 60207-2024</t>
        </is>
      </c>
      <c r="B3020" s="1" t="n">
        <v>45642</v>
      </c>
      <c r="C3020" s="1" t="n">
        <v>45822</v>
      </c>
      <c r="D3020" t="inlineStr">
        <is>
          <t>VÄRMLANDS LÄN</t>
        </is>
      </c>
      <c r="E3020" t="inlineStr">
        <is>
          <t>TORSBY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60796-2024</t>
        </is>
      </c>
      <c r="B3021" s="1" t="n">
        <v>45642</v>
      </c>
      <c r="C3021" s="1" t="n">
        <v>45822</v>
      </c>
      <c r="D3021" t="inlineStr">
        <is>
          <t>VÄRMLANDS LÄN</t>
        </is>
      </c>
      <c r="E3021" t="inlineStr">
        <is>
          <t>TORSBY</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60622-2024</t>
        </is>
      </c>
      <c r="B3022" s="1" t="n">
        <v>45642</v>
      </c>
      <c r="C3022" s="1" t="n">
        <v>45822</v>
      </c>
      <c r="D3022" t="inlineStr">
        <is>
          <t>VÄRMLANDS LÄN</t>
        </is>
      </c>
      <c r="E3022" t="inlineStr">
        <is>
          <t>TORSBY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60272-2024</t>
        </is>
      </c>
      <c r="B3023" s="1" t="n">
        <v>45642</v>
      </c>
      <c r="C3023" s="1" t="n">
        <v>45822</v>
      </c>
      <c r="D3023" t="inlineStr">
        <is>
          <t>VÄRMLANDS LÄN</t>
        </is>
      </c>
      <c r="E3023" t="inlineStr">
        <is>
          <t>TORSBY</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60626-2024</t>
        </is>
      </c>
      <c r="B3024" s="1" t="n">
        <v>45642</v>
      </c>
      <c r="C3024" s="1" t="n">
        <v>45822</v>
      </c>
      <c r="D3024" t="inlineStr">
        <is>
          <t>VÄRMLANDS LÄN</t>
        </is>
      </c>
      <c r="E3024" t="inlineStr">
        <is>
          <t>TORSBY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60148-2024</t>
        </is>
      </c>
      <c r="B3025" s="1" t="n">
        <v>45642</v>
      </c>
      <c r="C3025" s="1" t="n">
        <v>45822</v>
      </c>
      <c r="D3025" t="inlineStr">
        <is>
          <t>VÄRMLANDS LÄN</t>
        </is>
      </c>
      <c r="E3025" t="inlineStr">
        <is>
          <t>TORSBY</t>
        </is>
      </c>
      <c r="G3025" t="n">
        <v>12.4</v>
      </c>
      <c r="H3025" t="n">
        <v>0</v>
      </c>
      <c r="I3025" t="n">
        <v>0</v>
      </c>
      <c r="J3025" t="n">
        <v>0</v>
      </c>
      <c r="K3025" t="n">
        <v>0</v>
      </c>
      <c r="L3025" t="n">
        <v>0</v>
      </c>
      <c r="M3025" t="n">
        <v>0</v>
      </c>
      <c r="N3025" t="n">
        <v>0</v>
      </c>
      <c r="O3025" t="n">
        <v>0</v>
      </c>
      <c r="P3025" t="n">
        <v>0</v>
      </c>
      <c r="Q3025" t="n">
        <v>0</v>
      </c>
      <c r="R3025" s="2" t="inlineStr"/>
    </row>
    <row r="3026" ht="15" customHeight="1">
      <c r="A3026" t="inlineStr">
        <is>
          <t>A 60039-2024</t>
        </is>
      </c>
      <c r="B3026" s="1" t="n">
        <v>45642</v>
      </c>
      <c r="C3026" s="1" t="n">
        <v>45822</v>
      </c>
      <c r="D3026" t="inlineStr">
        <is>
          <t>VÄRMLANDS LÄN</t>
        </is>
      </c>
      <c r="E3026" t="inlineStr">
        <is>
          <t>TORSBY</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59928-2024</t>
        </is>
      </c>
      <c r="B3027" s="1" t="n">
        <v>45642</v>
      </c>
      <c r="C3027" s="1" t="n">
        <v>45822</v>
      </c>
      <c r="D3027" t="inlineStr">
        <is>
          <t>VÄRMLANDS LÄN</t>
        </is>
      </c>
      <c r="E3027" t="inlineStr">
        <is>
          <t>TORSBY</t>
        </is>
      </c>
      <c r="F3027" t="inlineStr">
        <is>
          <t>Bergvik skog väst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60781-2024</t>
        </is>
      </c>
      <c r="B3028" s="1" t="n">
        <v>45642</v>
      </c>
      <c r="C3028" s="1" t="n">
        <v>45822</v>
      </c>
      <c r="D3028" t="inlineStr">
        <is>
          <t>VÄRMLANDS LÄN</t>
        </is>
      </c>
      <c r="E3028" t="inlineStr">
        <is>
          <t>TORSBY</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59927-2024</t>
        </is>
      </c>
      <c r="B3029" s="1" t="n">
        <v>45642</v>
      </c>
      <c r="C3029" s="1" t="n">
        <v>45822</v>
      </c>
      <c r="D3029" t="inlineStr">
        <is>
          <t>VÄRMLANDS LÄN</t>
        </is>
      </c>
      <c r="E3029" t="inlineStr">
        <is>
          <t>TORSBY</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60385-2024</t>
        </is>
      </c>
      <c r="B3030" s="1" t="n">
        <v>45643</v>
      </c>
      <c r="C3030" s="1" t="n">
        <v>45822</v>
      </c>
      <c r="D3030" t="inlineStr">
        <is>
          <t>VÄRMLANDS LÄN</t>
        </is>
      </c>
      <c r="E3030" t="inlineStr">
        <is>
          <t>TORSBY</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60383-2024</t>
        </is>
      </c>
      <c r="B3031" s="1" t="n">
        <v>45643</v>
      </c>
      <c r="C3031" s="1" t="n">
        <v>45822</v>
      </c>
      <c r="D3031" t="inlineStr">
        <is>
          <t>VÄRMLANDS LÄN</t>
        </is>
      </c>
      <c r="E3031" t="inlineStr">
        <is>
          <t>TORSBY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60454-2024</t>
        </is>
      </c>
      <c r="B3032" s="1" t="n">
        <v>45643</v>
      </c>
      <c r="C3032" s="1" t="n">
        <v>45822</v>
      </c>
      <c r="D3032" t="inlineStr">
        <is>
          <t>VÄRMLANDS LÄN</t>
        </is>
      </c>
      <c r="E3032" t="inlineStr">
        <is>
          <t>TORSBY</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60458-2024</t>
        </is>
      </c>
      <c r="B3033" s="1" t="n">
        <v>45643</v>
      </c>
      <c r="C3033" s="1" t="n">
        <v>45822</v>
      </c>
      <c r="D3033" t="inlineStr">
        <is>
          <t>VÄRMLANDS LÄN</t>
        </is>
      </c>
      <c r="E3033" t="inlineStr">
        <is>
          <t>TORSBY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60710-2024</t>
        </is>
      </c>
      <c r="B3034" s="1" t="n">
        <v>45643</v>
      </c>
      <c r="C3034" s="1" t="n">
        <v>45822</v>
      </c>
      <c r="D3034" t="inlineStr">
        <is>
          <t>VÄRMLANDS LÄN</t>
        </is>
      </c>
      <c r="E3034" t="inlineStr">
        <is>
          <t>TORSBY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60477-2024</t>
        </is>
      </c>
      <c r="B3035" s="1" t="n">
        <v>45643</v>
      </c>
      <c r="C3035" s="1" t="n">
        <v>45822</v>
      </c>
      <c r="D3035" t="inlineStr">
        <is>
          <t>VÄRMLANDS LÄN</t>
        </is>
      </c>
      <c r="E3035" t="inlineStr">
        <is>
          <t>TORSBY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60386-2024</t>
        </is>
      </c>
      <c r="B3036" s="1" t="n">
        <v>45643</v>
      </c>
      <c r="C3036" s="1" t="n">
        <v>45822</v>
      </c>
      <c r="D3036" t="inlineStr">
        <is>
          <t>VÄRMLANDS LÄN</t>
        </is>
      </c>
      <c r="E3036" t="inlineStr">
        <is>
          <t>TORSBY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60537-2024</t>
        </is>
      </c>
      <c r="B3037" s="1" t="n">
        <v>45643</v>
      </c>
      <c r="C3037" s="1" t="n">
        <v>45822</v>
      </c>
      <c r="D3037" t="inlineStr">
        <is>
          <t>VÄRMLANDS LÄN</t>
        </is>
      </c>
      <c r="E3037" t="inlineStr">
        <is>
          <t>TORSBY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60854-2024</t>
        </is>
      </c>
      <c r="B3038" s="1" t="n">
        <v>45644</v>
      </c>
      <c r="C3038" s="1" t="n">
        <v>45822</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61253-2024</t>
        </is>
      </c>
      <c r="B3039" s="1" t="n">
        <v>45645</v>
      </c>
      <c r="C3039" s="1" t="n">
        <v>45822</v>
      </c>
      <c r="D3039" t="inlineStr">
        <is>
          <t>VÄRMLANDS LÄN</t>
        </is>
      </c>
      <c r="E3039" t="inlineStr">
        <is>
          <t>TORSBY</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61069-2024</t>
        </is>
      </c>
      <c r="B3040" s="1" t="n">
        <v>45645</v>
      </c>
      <c r="C3040" s="1" t="n">
        <v>45822</v>
      </c>
      <c r="D3040" t="inlineStr">
        <is>
          <t>VÄRMLANDS LÄN</t>
        </is>
      </c>
      <c r="E3040" t="inlineStr">
        <is>
          <t>TORSBY</t>
        </is>
      </c>
      <c r="F3040" t="inlineStr">
        <is>
          <t>Bergvik skog väst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61073-2024</t>
        </is>
      </c>
      <c r="B3041" s="1" t="n">
        <v>45645</v>
      </c>
      <c r="C3041" s="1" t="n">
        <v>45822</v>
      </c>
      <c r="D3041" t="inlineStr">
        <is>
          <t>VÄRMLANDS LÄN</t>
        </is>
      </c>
      <c r="E3041" t="inlineStr">
        <is>
          <t>TORSBY</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61206-2024</t>
        </is>
      </c>
      <c r="B3042" s="1" t="n">
        <v>45645</v>
      </c>
      <c r="C3042" s="1" t="n">
        <v>45822</v>
      </c>
      <c r="D3042" t="inlineStr">
        <is>
          <t>VÄRMLANDS LÄN</t>
        </is>
      </c>
      <c r="E3042" t="inlineStr">
        <is>
          <t>TORSBY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61546-2024</t>
        </is>
      </c>
      <c r="B3043" s="1" t="n">
        <v>45645</v>
      </c>
      <c r="C3043" s="1" t="n">
        <v>45822</v>
      </c>
      <c r="D3043" t="inlineStr">
        <is>
          <t>VÄRMLANDS LÄN</t>
        </is>
      </c>
      <c r="E3043" t="inlineStr">
        <is>
          <t>TORSBY</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61251-2024</t>
        </is>
      </c>
      <c r="B3044" s="1" t="n">
        <v>45645</v>
      </c>
      <c r="C3044" s="1" t="n">
        <v>45822</v>
      </c>
      <c r="D3044" t="inlineStr">
        <is>
          <t>VÄRMLANDS LÄN</t>
        </is>
      </c>
      <c r="E3044" t="inlineStr">
        <is>
          <t>TORSBY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61259-2024</t>
        </is>
      </c>
      <c r="B3045" s="1" t="n">
        <v>45645</v>
      </c>
      <c r="C3045" s="1" t="n">
        <v>45822</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61478-2024</t>
        </is>
      </c>
      <c r="B3046" s="1" t="n">
        <v>45646</v>
      </c>
      <c r="C3046" s="1" t="n">
        <v>45822</v>
      </c>
      <c r="D3046" t="inlineStr">
        <is>
          <t>VÄRMLANDS LÄN</t>
        </is>
      </c>
      <c r="E3046" t="inlineStr">
        <is>
          <t>TORSBY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61565-2024</t>
        </is>
      </c>
      <c r="B3047" s="1" t="n">
        <v>45646</v>
      </c>
      <c r="C3047" s="1" t="n">
        <v>45822</v>
      </c>
      <c r="D3047" t="inlineStr">
        <is>
          <t>VÄRMLANDS LÄN</t>
        </is>
      </c>
      <c r="E3047" t="inlineStr">
        <is>
          <t>TORSBY</t>
        </is>
      </c>
      <c r="F3047" t="inlineStr">
        <is>
          <t>Bergvik skog väst AB</t>
        </is>
      </c>
      <c r="G3047" t="n">
        <v>14.1</v>
      </c>
      <c r="H3047" t="n">
        <v>0</v>
      </c>
      <c r="I3047" t="n">
        <v>0</v>
      </c>
      <c r="J3047" t="n">
        <v>0</v>
      </c>
      <c r="K3047" t="n">
        <v>0</v>
      </c>
      <c r="L3047" t="n">
        <v>0</v>
      </c>
      <c r="M3047" t="n">
        <v>0</v>
      </c>
      <c r="N3047" t="n">
        <v>0</v>
      </c>
      <c r="O3047" t="n">
        <v>0</v>
      </c>
      <c r="P3047" t="n">
        <v>0</v>
      </c>
      <c r="Q3047" t="n">
        <v>0</v>
      </c>
      <c r="R3047" s="2" t="inlineStr"/>
    </row>
    <row r="3048" ht="15" customHeight="1">
      <c r="A3048" t="inlineStr">
        <is>
          <t>A 61672-2024</t>
        </is>
      </c>
      <c r="B3048" s="1" t="n">
        <v>45647</v>
      </c>
      <c r="C3048" s="1" t="n">
        <v>45822</v>
      </c>
      <c r="D3048" t="inlineStr">
        <is>
          <t>VÄRMLANDS LÄN</t>
        </is>
      </c>
      <c r="E3048" t="inlineStr">
        <is>
          <t>TORSBY</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61712-2024</t>
        </is>
      </c>
      <c r="B3049" s="1" t="n">
        <v>45648</v>
      </c>
      <c r="C3049" s="1" t="n">
        <v>45822</v>
      </c>
      <c r="D3049" t="inlineStr">
        <is>
          <t>VÄRMLANDS LÄN</t>
        </is>
      </c>
      <c r="E3049" t="inlineStr">
        <is>
          <t>TORSBY</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61713-2024</t>
        </is>
      </c>
      <c r="B3050" s="1" t="n">
        <v>45648</v>
      </c>
      <c r="C3050" s="1" t="n">
        <v>45822</v>
      </c>
      <c r="D3050" t="inlineStr">
        <is>
          <t>VÄRMLANDS LÄN</t>
        </is>
      </c>
      <c r="E3050" t="inlineStr">
        <is>
          <t>TORSBY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61855-2024</t>
        </is>
      </c>
      <c r="B3051" s="1" t="n">
        <v>45649</v>
      </c>
      <c r="C3051" s="1" t="n">
        <v>45822</v>
      </c>
      <c r="D3051" t="inlineStr">
        <is>
          <t>VÄRMLANDS LÄN</t>
        </is>
      </c>
      <c r="E3051" t="inlineStr">
        <is>
          <t>TORSBY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61851-2024</t>
        </is>
      </c>
      <c r="B3052" s="1" t="n">
        <v>45649</v>
      </c>
      <c r="C3052" s="1" t="n">
        <v>45822</v>
      </c>
      <c r="D3052" t="inlineStr">
        <is>
          <t>VÄRMLANDS LÄN</t>
        </is>
      </c>
      <c r="E3052" t="inlineStr">
        <is>
          <t>TORSBY</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61856-2024</t>
        </is>
      </c>
      <c r="B3053" s="1" t="n">
        <v>45649</v>
      </c>
      <c r="C3053" s="1" t="n">
        <v>45822</v>
      </c>
      <c r="D3053" t="inlineStr">
        <is>
          <t>VÄRMLANDS LÄN</t>
        </is>
      </c>
      <c r="E3053" t="inlineStr">
        <is>
          <t>TORSBY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62092-2024</t>
        </is>
      </c>
      <c r="B3054" s="1" t="n">
        <v>45656</v>
      </c>
      <c r="C3054" s="1" t="n">
        <v>45822</v>
      </c>
      <c r="D3054" t="inlineStr">
        <is>
          <t>VÄRMLANDS LÄN</t>
        </is>
      </c>
      <c r="E3054" t="inlineStr">
        <is>
          <t>TORSBY</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62090-2024</t>
        </is>
      </c>
      <c r="B3055" s="1" t="n">
        <v>45656</v>
      </c>
      <c r="C3055" s="1" t="n">
        <v>45822</v>
      </c>
      <c r="D3055" t="inlineStr">
        <is>
          <t>VÄRMLANDS LÄN</t>
        </is>
      </c>
      <c r="E3055" t="inlineStr">
        <is>
          <t>TORSBY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61-2025</t>
        </is>
      </c>
      <c r="B3056" s="1" t="n">
        <v>45659</v>
      </c>
      <c r="C3056" s="1" t="n">
        <v>45822</v>
      </c>
      <c r="D3056" t="inlineStr">
        <is>
          <t>VÄRMLANDS LÄN</t>
        </is>
      </c>
      <c r="E3056" t="inlineStr">
        <is>
          <t>TORSBY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200-2025</t>
        </is>
      </c>
      <c r="B3057" s="1" t="n">
        <v>45659</v>
      </c>
      <c r="C3057" s="1" t="n">
        <v>45822</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311-2025</t>
        </is>
      </c>
      <c r="B3058" s="1" t="n">
        <v>45660</v>
      </c>
      <c r="C3058" s="1" t="n">
        <v>45822</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202-2025</t>
        </is>
      </c>
      <c r="B3059" s="1" t="n">
        <v>45660</v>
      </c>
      <c r="C3059" s="1" t="n">
        <v>45822</v>
      </c>
      <c r="D3059" t="inlineStr">
        <is>
          <t>VÄRMLANDS LÄN</t>
        </is>
      </c>
      <c r="E3059" t="inlineStr">
        <is>
          <t>TORSBY</t>
        </is>
      </c>
      <c r="F3059" t="inlineStr">
        <is>
          <t>Bergvik skog väst AB</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364-2025</t>
        </is>
      </c>
      <c r="B3060" s="1" t="n">
        <v>45661</v>
      </c>
      <c r="C3060" s="1" t="n">
        <v>45822</v>
      </c>
      <c r="D3060" t="inlineStr">
        <is>
          <t>VÄRMLANDS LÄN</t>
        </is>
      </c>
      <c r="E3060" t="inlineStr">
        <is>
          <t>TORSBY</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375-2025</t>
        </is>
      </c>
      <c r="B3061" s="1" t="n">
        <v>45661</v>
      </c>
      <c r="C3061" s="1" t="n">
        <v>45822</v>
      </c>
      <c r="D3061" t="inlineStr">
        <is>
          <t>VÄRMLANDS LÄN</t>
        </is>
      </c>
      <c r="E3061" t="inlineStr">
        <is>
          <t>TORSBY</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383-2025</t>
        </is>
      </c>
      <c r="B3062" s="1" t="n">
        <v>45662</v>
      </c>
      <c r="C3062" s="1" t="n">
        <v>45822</v>
      </c>
      <c r="D3062" t="inlineStr">
        <is>
          <t>VÄRMLANDS LÄN</t>
        </is>
      </c>
      <c r="E3062" t="inlineStr">
        <is>
          <t>TORSBY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391-2025</t>
        </is>
      </c>
      <c r="B3063" s="1" t="n">
        <v>45663</v>
      </c>
      <c r="C3063" s="1" t="n">
        <v>45822</v>
      </c>
      <c r="D3063" t="inlineStr">
        <is>
          <t>VÄRMLANDS LÄN</t>
        </is>
      </c>
      <c r="E3063" t="inlineStr">
        <is>
          <t>TORSBY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392-2025</t>
        </is>
      </c>
      <c r="B3064" s="1" t="n">
        <v>45663</v>
      </c>
      <c r="C3064" s="1" t="n">
        <v>45822</v>
      </c>
      <c r="D3064" t="inlineStr">
        <is>
          <t>VÄRMLANDS LÄN</t>
        </is>
      </c>
      <c r="E3064" t="inlineStr">
        <is>
          <t>TORSBY</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492-2025</t>
        </is>
      </c>
      <c r="B3065" s="1" t="n">
        <v>45664</v>
      </c>
      <c r="C3065" s="1" t="n">
        <v>45822</v>
      </c>
      <c r="D3065" t="inlineStr">
        <is>
          <t>VÄRMLANDS LÄN</t>
        </is>
      </c>
      <c r="E3065" t="inlineStr">
        <is>
          <t>TORSBY</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485-2025</t>
        </is>
      </c>
      <c r="B3066" s="1" t="n">
        <v>45664</v>
      </c>
      <c r="C3066" s="1" t="n">
        <v>45822</v>
      </c>
      <c r="D3066" t="inlineStr">
        <is>
          <t>VÄRMLANDS LÄN</t>
        </is>
      </c>
      <c r="E3066" t="inlineStr">
        <is>
          <t>TORSBY</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644-2025</t>
        </is>
      </c>
      <c r="B3067" s="1" t="n">
        <v>45664</v>
      </c>
      <c r="C3067" s="1" t="n">
        <v>45822</v>
      </c>
      <c r="D3067" t="inlineStr">
        <is>
          <t>VÄRMLANDS LÄN</t>
        </is>
      </c>
      <c r="E3067" t="inlineStr">
        <is>
          <t>TORSBY</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654-2025</t>
        </is>
      </c>
      <c r="B3068" s="1" t="n">
        <v>45664</v>
      </c>
      <c r="C3068" s="1" t="n">
        <v>45822</v>
      </c>
      <c r="D3068" t="inlineStr">
        <is>
          <t>VÄRMLANDS LÄN</t>
        </is>
      </c>
      <c r="E3068" t="inlineStr">
        <is>
          <t>TORSBY</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906-2025</t>
        </is>
      </c>
      <c r="B3069" s="1" t="n">
        <v>45664</v>
      </c>
      <c r="C3069" s="1" t="n">
        <v>45822</v>
      </c>
      <c r="D3069" t="inlineStr">
        <is>
          <t>VÄRMLANDS LÄN</t>
        </is>
      </c>
      <c r="E3069" t="inlineStr">
        <is>
          <t>TORSBY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718-2025</t>
        </is>
      </c>
      <c r="B3070" s="1" t="n">
        <v>45665</v>
      </c>
      <c r="C3070" s="1" t="n">
        <v>45822</v>
      </c>
      <c r="D3070" t="inlineStr">
        <is>
          <t>VÄRMLANDS LÄN</t>
        </is>
      </c>
      <c r="E3070" t="inlineStr">
        <is>
          <t>TORSBY</t>
        </is>
      </c>
      <c r="F3070" t="inlineStr">
        <is>
          <t>Bergvik skog väst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707-2025</t>
        </is>
      </c>
      <c r="B3071" s="1" t="n">
        <v>45665</v>
      </c>
      <c r="C3071" s="1" t="n">
        <v>45822</v>
      </c>
      <c r="D3071" t="inlineStr">
        <is>
          <t>VÄRMLANDS LÄN</t>
        </is>
      </c>
      <c r="E3071" t="inlineStr">
        <is>
          <t>TORSBY</t>
        </is>
      </c>
      <c r="F3071" t="inlineStr">
        <is>
          <t>Bergvik skog väst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699-2025</t>
        </is>
      </c>
      <c r="B3072" s="1" t="n">
        <v>45665</v>
      </c>
      <c r="C3072" s="1" t="n">
        <v>45822</v>
      </c>
      <c r="D3072" t="inlineStr">
        <is>
          <t>VÄRMLANDS LÄN</t>
        </is>
      </c>
      <c r="E3072" t="inlineStr">
        <is>
          <t>TORSBY</t>
        </is>
      </c>
      <c r="F3072" t="inlineStr">
        <is>
          <t>Bergvik skog väst AB</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754-2025</t>
        </is>
      </c>
      <c r="B3073" s="1" t="n">
        <v>45665</v>
      </c>
      <c r="C3073" s="1" t="n">
        <v>45822</v>
      </c>
      <c r="D3073" t="inlineStr">
        <is>
          <t>VÄRMLANDS LÄN</t>
        </is>
      </c>
      <c r="E3073" t="inlineStr">
        <is>
          <t>TORSBY</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1162-2025</t>
        </is>
      </c>
      <c r="B3074" s="1" t="n">
        <v>45666</v>
      </c>
      <c r="C3074" s="1" t="n">
        <v>45822</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1104-2025</t>
        </is>
      </c>
      <c r="B3075" s="1" t="n">
        <v>45666</v>
      </c>
      <c r="C3075" s="1" t="n">
        <v>45822</v>
      </c>
      <c r="D3075" t="inlineStr">
        <is>
          <t>VÄRMLANDS LÄN</t>
        </is>
      </c>
      <c r="E3075" t="inlineStr">
        <is>
          <t>TORSBY</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1100-2025</t>
        </is>
      </c>
      <c r="B3076" s="1" t="n">
        <v>45666</v>
      </c>
      <c r="C3076" s="1" t="n">
        <v>45822</v>
      </c>
      <c r="D3076" t="inlineStr">
        <is>
          <t>VÄRMLANDS LÄN</t>
        </is>
      </c>
      <c r="E3076" t="inlineStr">
        <is>
          <t>TORSBY</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1092-2025</t>
        </is>
      </c>
      <c r="B3077" s="1" t="n">
        <v>45666</v>
      </c>
      <c r="C3077" s="1" t="n">
        <v>45822</v>
      </c>
      <c r="D3077" t="inlineStr">
        <is>
          <t>VÄRMLANDS LÄN</t>
        </is>
      </c>
      <c r="E3077" t="inlineStr">
        <is>
          <t>TORSBY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1161-2025</t>
        </is>
      </c>
      <c r="B3078" s="1" t="n">
        <v>45666</v>
      </c>
      <c r="C3078" s="1" t="n">
        <v>45822</v>
      </c>
      <c r="D3078" t="inlineStr">
        <is>
          <t>VÄRMLANDS LÄN</t>
        </is>
      </c>
      <c r="E3078" t="inlineStr">
        <is>
          <t>TORSBY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1095-2025</t>
        </is>
      </c>
      <c r="B3079" s="1" t="n">
        <v>45666</v>
      </c>
      <c r="C3079" s="1" t="n">
        <v>45822</v>
      </c>
      <c r="D3079" t="inlineStr">
        <is>
          <t>VÄRMLANDS LÄN</t>
        </is>
      </c>
      <c r="E3079" t="inlineStr">
        <is>
          <t>TORSBY</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1432-2025</t>
        </is>
      </c>
      <c r="B3080" s="1" t="n">
        <v>45669</v>
      </c>
      <c r="C3080" s="1" t="n">
        <v>45822</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1435-2025</t>
        </is>
      </c>
      <c r="B3081" s="1" t="n">
        <v>45669</v>
      </c>
      <c r="C3081" s="1" t="n">
        <v>45822</v>
      </c>
      <c r="D3081" t="inlineStr">
        <is>
          <t>VÄRMLANDS LÄN</t>
        </is>
      </c>
      <c r="E3081" t="inlineStr">
        <is>
          <t>TORSBY</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1512-2025</t>
        </is>
      </c>
      <c r="B3082" s="1" t="n">
        <v>45670</v>
      </c>
      <c r="C3082" s="1" t="n">
        <v>45822</v>
      </c>
      <c r="D3082" t="inlineStr">
        <is>
          <t>VÄRMLANDS LÄN</t>
        </is>
      </c>
      <c r="E3082" t="inlineStr">
        <is>
          <t>TORSBY</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1708-2025</t>
        </is>
      </c>
      <c r="B3083" s="1" t="n">
        <v>45670</v>
      </c>
      <c r="C3083" s="1" t="n">
        <v>45822</v>
      </c>
      <c r="D3083" t="inlineStr">
        <is>
          <t>VÄRMLANDS LÄN</t>
        </is>
      </c>
      <c r="E3083" t="inlineStr">
        <is>
          <t>TORSBY</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1528-2025</t>
        </is>
      </c>
      <c r="B3084" s="1" t="n">
        <v>45670</v>
      </c>
      <c r="C3084" s="1" t="n">
        <v>45822</v>
      </c>
      <c r="D3084" t="inlineStr">
        <is>
          <t>VÄRMLANDS LÄN</t>
        </is>
      </c>
      <c r="E3084" t="inlineStr">
        <is>
          <t>TORSBY</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1756-2025</t>
        </is>
      </c>
      <c r="B3085" s="1" t="n">
        <v>45671</v>
      </c>
      <c r="C3085" s="1" t="n">
        <v>45822</v>
      </c>
      <c r="D3085" t="inlineStr">
        <is>
          <t>VÄRMLANDS LÄN</t>
        </is>
      </c>
      <c r="E3085" t="inlineStr">
        <is>
          <t>TORSBY</t>
        </is>
      </c>
      <c r="F3085" t="inlineStr">
        <is>
          <t>Bergvik skog väst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1997-2025</t>
        </is>
      </c>
      <c r="B3086" s="1" t="n">
        <v>45672</v>
      </c>
      <c r="C3086" s="1" t="n">
        <v>45822</v>
      </c>
      <c r="D3086" t="inlineStr">
        <is>
          <t>VÄRMLANDS LÄN</t>
        </is>
      </c>
      <c r="E3086" t="inlineStr">
        <is>
          <t>TORSBY</t>
        </is>
      </c>
      <c r="G3086" t="n">
        <v>20.1</v>
      </c>
      <c r="H3086" t="n">
        <v>0</v>
      </c>
      <c r="I3086" t="n">
        <v>0</v>
      </c>
      <c r="J3086" t="n">
        <v>0</v>
      </c>
      <c r="K3086" t="n">
        <v>0</v>
      </c>
      <c r="L3086" t="n">
        <v>0</v>
      </c>
      <c r="M3086" t="n">
        <v>0</v>
      </c>
      <c r="N3086" t="n">
        <v>0</v>
      </c>
      <c r="O3086" t="n">
        <v>0</v>
      </c>
      <c r="P3086" t="n">
        <v>0</v>
      </c>
      <c r="Q3086" t="n">
        <v>0</v>
      </c>
      <c r="R3086" s="2" t="inlineStr"/>
    </row>
    <row r="3087" ht="15" customHeight="1">
      <c r="A3087" t="inlineStr">
        <is>
          <t>A 2009-2025</t>
        </is>
      </c>
      <c r="B3087" s="1" t="n">
        <v>45672</v>
      </c>
      <c r="C3087" s="1" t="n">
        <v>45822</v>
      </c>
      <c r="D3087" t="inlineStr">
        <is>
          <t>VÄRMLANDS LÄN</t>
        </is>
      </c>
      <c r="E3087" t="inlineStr">
        <is>
          <t>TORSBY</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2195-2025</t>
        </is>
      </c>
      <c r="B3088" s="1" t="n">
        <v>45673</v>
      </c>
      <c r="C3088" s="1" t="n">
        <v>45822</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2199-2025</t>
        </is>
      </c>
      <c r="B3089" s="1" t="n">
        <v>45673</v>
      </c>
      <c r="C3089" s="1" t="n">
        <v>45822</v>
      </c>
      <c r="D3089" t="inlineStr">
        <is>
          <t>VÄRMLANDS LÄN</t>
        </is>
      </c>
      <c r="E3089" t="inlineStr">
        <is>
          <t>TORSBY</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2390-2025</t>
        </is>
      </c>
      <c r="B3090" s="1" t="n">
        <v>45674</v>
      </c>
      <c r="C3090" s="1" t="n">
        <v>45822</v>
      </c>
      <c r="D3090" t="inlineStr">
        <is>
          <t>VÄRMLANDS LÄN</t>
        </is>
      </c>
      <c r="E3090" t="inlineStr">
        <is>
          <t>TORSBY</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2506-2025</t>
        </is>
      </c>
      <c r="B3091" s="1" t="n">
        <v>45674</v>
      </c>
      <c r="C3091" s="1" t="n">
        <v>45822</v>
      </c>
      <c r="D3091" t="inlineStr">
        <is>
          <t>VÄRMLANDS LÄN</t>
        </is>
      </c>
      <c r="E3091" t="inlineStr">
        <is>
          <t>TORSBY</t>
        </is>
      </c>
      <c r="F3091" t="inlineStr">
        <is>
          <t>Bergvik skog väst AB</t>
        </is>
      </c>
      <c r="G3091" t="n">
        <v>19.2</v>
      </c>
      <c r="H3091" t="n">
        <v>0</v>
      </c>
      <c r="I3091" t="n">
        <v>0</v>
      </c>
      <c r="J3091" t="n">
        <v>0</v>
      </c>
      <c r="K3091" t="n">
        <v>0</v>
      </c>
      <c r="L3091" t="n">
        <v>0</v>
      </c>
      <c r="M3091" t="n">
        <v>0</v>
      </c>
      <c r="N3091" t="n">
        <v>0</v>
      </c>
      <c r="O3091" t="n">
        <v>0</v>
      </c>
      <c r="P3091" t="n">
        <v>0</v>
      </c>
      <c r="Q3091" t="n">
        <v>0</v>
      </c>
      <c r="R3091" s="2" t="inlineStr"/>
    </row>
    <row r="3092" ht="15" customHeight="1">
      <c r="A3092" t="inlineStr">
        <is>
          <t>A 2504-2025</t>
        </is>
      </c>
      <c r="B3092" s="1" t="n">
        <v>45674</v>
      </c>
      <c r="C3092" s="1" t="n">
        <v>45822</v>
      </c>
      <c r="D3092" t="inlineStr">
        <is>
          <t>VÄRMLANDS LÄN</t>
        </is>
      </c>
      <c r="E3092" t="inlineStr">
        <is>
          <t>TORSBY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2387-2025</t>
        </is>
      </c>
      <c r="B3093" s="1" t="n">
        <v>45674</v>
      </c>
      <c r="C3093" s="1" t="n">
        <v>45822</v>
      </c>
      <c r="D3093" t="inlineStr">
        <is>
          <t>VÄRMLANDS LÄN</t>
        </is>
      </c>
      <c r="E3093" t="inlineStr">
        <is>
          <t>TORSBY</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2616-2025</t>
        </is>
      </c>
      <c r="B3094" s="1" t="n">
        <v>45675</v>
      </c>
      <c r="C3094" s="1" t="n">
        <v>45822</v>
      </c>
      <c r="D3094" t="inlineStr">
        <is>
          <t>VÄRMLANDS LÄN</t>
        </is>
      </c>
      <c r="E3094" t="inlineStr">
        <is>
          <t>TORSBY</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2788-2025</t>
        </is>
      </c>
      <c r="B3095" s="1" t="n">
        <v>45677</v>
      </c>
      <c r="C3095" s="1" t="n">
        <v>45822</v>
      </c>
      <c r="D3095" t="inlineStr">
        <is>
          <t>VÄRMLANDS LÄN</t>
        </is>
      </c>
      <c r="E3095" t="inlineStr">
        <is>
          <t>TORSBY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2803-2025</t>
        </is>
      </c>
      <c r="B3096" s="1" t="n">
        <v>45677</v>
      </c>
      <c r="C3096" s="1" t="n">
        <v>45822</v>
      </c>
      <c r="D3096" t="inlineStr">
        <is>
          <t>VÄRMLANDS LÄN</t>
        </is>
      </c>
      <c r="E3096" t="inlineStr">
        <is>
          <t>TORSBY</t>
        </is>
      </c>
      <c r="F3096" t="inlineStr">
        <is>
          <t>Bergvik skog väst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2807-2025</t>
        </is>
      </c>
      <c r="B3097" s="1" t="n">
        <v>45677</v>
      </c>
      <c r="C3097" s="1" t="n">
        <v>45822</v>
      </c>
      <c r="D3097" t="inlineStr">
        <is>
          <t>VÄRMLANDS LÄN</t>
        </is>
      </c>
      <c r="E3097" t="inlineStr">
        <is>
          <t>TORSBY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2797-2025</t>
        </is>
      </c>
      <c r="B3098" s="1" t="n">
        <v>45677</v>
      </c>
      <c r="C3098" s="1" t="n">
        <v>45822</v>
      </c>
      <c r="D3098" t="inlineStr">
        <is>
          <t>VÄRMLANDS LÄN</t>
        </is>
      </c>
      <c r="E3098" t="inlineStr">
        <is>
          <t>TORSBY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3036-2025</t>
        </is>
      </c>
      <c r="B3099" s="1" t="n">
        <v>45678</v>
      </c>
      <c r="C3099" s="1" t="n">
        <v>45822</v>
      </c>
      <c r="D3099" t="inlineStr">
        <is>
          <t>VÄRMLANDS LÄN</t>
        </is>
      </c>
      <c r="E3099" t="inlineStr">
        <is>
          <t>TORSBY</t>
        </is>
      </c>
      <c r="G3099" t="n">
        <v>15.4</v>
      </c>
      <c r="H3099" t="n">
        <v>0</v>
      </c>
      <c r="I3099" t="n">
        <v>0</v>
      </c>
      <c r="J3099" t="n">
        <v>0</v>
      </c>
      <c r="K3099" t="n">
        <v>0</v>
      </c>
      <c r="L3099" t="n">
        <v>0</v>
      </c>
      <c r="M3099" t="n">
        <v>0</v>
      </c>
      <c r="N3099" t="n">
        <v>0</v>
      </c>
      <c r="O3099" t="n">
        <v>0</v>
      </c>
      <c r="P3099" t="n">
        <v>0</v>
      </c>
      <c r="Q3099" t="n">
        <v>0</v>
      </c>
      <c r="R3099" s="2" t="inlineStr"/>
    </row>
    <row r="3100" ht="15" customHeight="1">
      <c r="A3100" t="inlineStr">
        <is>
          <t>A 2981-2025</t>
        </is>
      </c>
      <c r="B3100" s="1" t="n">
        <v>45678</v>
      </c>
      <c r="C3100" s="1" t="n">
        <v>45822</v>
      </c>
      <c r="D3100" t="inlineStr">
        <is>
          <t>VÄRMLANDS LÄN</t>
        </is>
      </c>
      <c r="E3100" t="inlineStr">
        <is>
          <t>TORSBY</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3269-2025</t>
        </is>
      </c>
      <c r="B3101" s="1" t="n">
        <v>45679</v>
      </c>
      <c r="C3101" s="1" t="n">
        <v>45822</v>
      </c>
      <c r="D3101" t="inlineStr">
        <is>
          <t>VÄRMLANDS LÄN</t>
        </is>
      </c>
      <c r="E3101" t="inlineStr">
        <is>
          <t>TORSBY</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3350-2025</t>
        </is>
      </c>
      <c r="B3102" s="1" t="n">
        <v>45679</v>
      </c>
      <c r="C3102" s="1" t="n">
        <v>45822</v>
      </c>
      <c r="D3102" t="inlineStr">
        <is>
          <t>VÄRMLANDS LÄN</t>
        </is>
      </c>
      <c r="E3102" t="inlineStr">
        <is>
          <t>TORSBY</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3226-2025</t>
        </is>
      </c>
      <c r="B3103" s="1" t="n">
        <v>45679</v>
      </c>
      <c r="C3103" s="1" t="n">
        <v>45822</v>
      </c>
      <c r="D3103" t="inlineStr">
        <is>
          <t>VÄRMLANDS LÄN</t>
        </is>
      </c>
      <c r="E3103" t="inlineStr">
        <is>
          <t>TORSBY</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3223-2025</t>
        </is>
      </c>
      <c r="B3104" s="1" t="n">
        <v>45679</v>
      </c>
      <c r="C3104" s="1" t="n">
        <v>45822</v>
      </c>
      <c r="D3104" t="inlineStr">
        <is>
          <t>VÄRMLANDS LÄN</t>
        </is>
      </c>
      <c r="E3104" t="inlineStr">
        <is>
          <t>TORSBY</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3507-2025</t>
        </is>
      </c>
      <c r="B3105" s="1" t="n">
        <v>45680</v>
      </c>
      <c r="C3105" s="1" t="n">
        <v>45822</v>
      </c>
      <c r="D3105" t="inlineStr">
        <is>
          <t>VÄRMLANDS LÄN</t>
        </is>
      </c>
      <c r="E3105" t="inlineStr">
        <is>
          <t>TORSBY</t>
        </is>
      </c>
      <c r="F3105" t="inlineStr">
        <is>
          <t>Bergvik skog väst AB</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3511-2025</t>
        </is>
      </c>
      <c r="B3106" s="1" t="n">
        <v>45680</v>
      </c>
      <c r="C3106" s="1" t="n">
        <v>45822</v>
      </c>
      <c r="D3106" t="inlineStr">
        <is>
          <t>VÄRMLANDS LÄN</t>
        </is>
      </c>
      <c r="E3106" t="inlineStr">
        <is>
          <t>TORSBY</t>
        </is>
      </c>
      <c r="F3106" t="inlineStr">
        <is>
          <t>Bergvik skog väst AB</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3541-2025</t>
        </is>
      </c>
      <c r="B3107" s="1" t="n">
        <v>45680</v>
      </c>
      <c r="C3107" s="1" t="n">
        <v>45822</v>
      </c>
      <c r="D3107" t="inlineStr">
        <is>
          <t>VÄRMLANDS LÄN</t>
        </is>
      </c>
      <c r="E3107" t="inlineStr">
        <is>
          <t>TORSBY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3441-2025</t>
        </is>
      </c>
      <c r="B3108" s="1" t="n">
        <v>45680</v>
      </c>
      <c r="C3108" s="1" t="n">
        <v>45822</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3387-2025</t>
        </is>
      </c>
      <c r="B3109" s="1" t="n">
        <v>45680</v>
      </c>
      <c r="C3109" s="1" t="n">
        <v>45822</v>
      </c>
      <c r="D3109" t="inlineStr">
        <is>
          <t>VÄRMLANDS LÄN</t>
        </is>
      </c>
      <c r="E3109" t="inlineStr">
        <is>
          <t>TORSBY</t>
        </is>
      </c>
      <c r="F3109" t="inlineStr">
        <is>
          <t>Kommuner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3442-2025</t>
        </is>
      </c>
      <c r="B3110" s="1" t="n">
        <v>45680</v>
      </c>
      <c r="C3110" s="1" t="n">
        <v>45822</v>
      </c>
      <c r="D3110" t="inlineStr">
        <is>
          <t>VÄRMLANDS LÄN</t>
        </is>
      </c>
      <c r="E3110" t="inlineStr">
        <is>
          <t>TORSBY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3409-2025</t>
        </is>
      </c>
      <c r="B3111" s="1" t="n">
        <v>45680</v>
      </c>
      <c r="C3111" s="1" t="n">
        <v>45822</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3951-2025</t>
        </is>
      </c>
      <c r="B3112" s="1" t="n">
        <v>45684</v>
      </c>
      <c r="C3112" s="1" t="n">
        <v>45822</v>
      </c>
      <c r="D3112" t="inlineStr">
        <is>
          <t>VÄRMLANDS LÄN</t>
        </is>
      </c>
      <c r="E3112" t="inlineStr">
        <is>
          <t>TORSBY</t>
        </is>
      </c>
      <c r="F3112" t="inlineStr">
        <is>
          <t>Bergvik skog väst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3864-2025</t>
        </is>
      </c>
      <c r="B3113" s="1" t="n">
        <v>45684</v>
      </c>
      <c r="C3113" s="1" t="n">
        <v>45822</v>
      </c>
      <c r="D3113" t="inlineStr">
        <is>
          <t>VÄRMLANDS LÄN</t>
        </is>
      </c>
      <c r="E3113" t="inlineStr">
        <is>
          <t>TORSBY</t>
        </is>
      </c>
      <c r="F3113" t="inlineStr">
        <is>
          <t>Bergvik skog väst AB</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3904-2025</t>
        </is>
      </c>
      <c r="B3114" s="1" t="n">
        <v>45684</v>
      </c>
      <c r="C3114" s="1" t="n">
        <v>45822</v>
      </c>
      <c r="D3114" t="inlineStr">
        <is>
          <t>VÄRMLANDS LÄN</t>
        </is>
      </c>
      <c r="E3114" t="inlineStr">
        <is>
          <t>TORSBY</t>
        </is>
      </c>
      <c r="F3114" t="inlineStr">
        <is>
          <t>Övriga statliga verk och myndigheter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4302-2025</t>
        </is>
      </c>
      <c r="B3115" s="1" t="n">
        <v>45685</v>
      </c>
      <c r="C3115" s="1" t="n">
        <v>45822</v>
      </c>
      <c r="D3115" t="inlineStr">
        <is>
          <t>VÄRMLANDS LÄN</t>
        </is>
      </c>
      <c r="E3115" t="inlineStr">
        <is>
          <t>TORSBY</t>
        </is>
      </c>
      <c r="F3115" t="inlineStr">
        <is>
          <t>Kommuner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4342-2025</t>
        </is>
      </c>
      <c r="B3116" s="1" t="n">
        <v>45685</v>
      </c>
      <c r="C3116" s="1" t="n">
        <v>45822</v>
      </c>
      <c r="D3116" t="inlineStr">
        <is>
          <t>VÄRMLANDS LÄN</t>
        </is>
      </c>
      <c r="E3116" t="inlineStr">
        <is>
          <t>TORSBY</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4516-2025</t>
        </is>
      </c>
      <c r="B3117" s="1" t="n">
        <v>45686</v>
      </c>
      <c r="C3117" s="1" t="n">
        <v>45822</v>
      </c>
      <c r="D3117" t="inlineStr">
        <is>
          <t>VÄRMLANDS LÄN</t>
        </is>
      </c>
      <c r="E3117" t="inlineStr">
        <is>
          <t>TORSBY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4470-2025</t>
        </is>
      </c>
      <c r="B3118" s="1" t="n">
        <v>45686</v>
      </c>
      <c r="C3118" s="1" t="n">
        <v>45822</v>
      </c>
      <c r="D3118" t="inlineStr">
        <is>
          <t>VÄRMLANDS LÄN</t>
        </is>
      </c>
      <c r="E3118" t="inlineStr">
        <is>
          <t>TORSBY</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4517-2025</t>
        </is>
      </c>
      <c r="B3119" s="1" t="n">
        <v>45686</v>
      </c>
      <c r="C3119" s="1" t="n">
        <v>45822</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4578-2025</t>
        </is>
      </c>
      <c r="B3120" s="1" t="n">
        <v>45687</v>
      </c>
      <c r="C3120" s="1" t="n">
        <v>45822</v>
      </c>
      <c r="D3120" t="inlineStr">
        <is>
          <t>VÄRMLANDS LÄN</t>
        </is>
      </c>
      <c r="E3120" t="inlineStr">
        <is>
          <t>TORSBY</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4537-2025</t>
        </is>
      </c>
      <c r="B3121" s="1" t="n">
        <v>45687</v>
      </c>
      <c r="C3121" s="1" t="n">
        <v>45822</v>
      </c>
      <c r="D3121" t="inlineStr">
        <is>
          <t>VÄRMLANDS LÄN</t>
        </is>
      </c>
      <c r="E3121" t="inlineStr">
        <is>
          <t>TORSBY</t>
        </is>
      </c>
      <c r="F3121" t="inlineStr">
        <is>
          <t>Kommuner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4832-2025</t>
        </is>
      </c>
      <c r="B3122" s="1" t="n">
        <v>45688</v>
      </c>
      <c r="C3122" s="1" t="n">
        <v>45822</v>
      </c>
      <c r="D3122" t="inlineStr">
        <is>
          <t>VÄRMLANDS LÄN</t>
        </is>
      </c>
      <c r="E3122" t="inlineStr">
        <is>
          <t>TORSBY</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5052-2025</t>
        </is>
      </c>
      <c r="B3123" s="1" t="n">
        <v>45691</v>
      </c>
      <c r="C3123" s="1" t="n">
        <v>45822</v>
      </c>
      <c r="D3123" t="inlineStr">
        <is>
          <t>VÄRMLANDS LÄN</t>
        </is>
      </c>
      <c r="E3123" t="inlineStr">
        <is>
          <t>TORSBY</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5799-2025</t>
        </is>
      </c>
      <c r="B3124" s="1" t="n">
        <v>45694</v>
      </c>
      <c r="C3124" s="1" t="n">
        <v>45822</v>
      </c>
      <c r="D3124" t="inlineStr">
        <is>
          <t>VÄRMLANDS LÄN</t>
        </is>
      </c>
      <c r="E3124" t="inlineStr">
        <is>
          <t>TORSBY</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5748-2025</t>
        </is>
      </c>
      <c r="B3125" s="1" t="n">
        <v>45694</v>
      </c>
      <c r="C3125" s="1" t="n">
        <v>45822</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6317-2025</t>
        </is>
      </c>
      <c r="B3126" s="1" t="n">
        <v>45698</v>
      </c>
      <c r="C3126" s="1" t="n">
        <v>45822</v>
      </c>
      <c r="D3126" t="inlineStr">
        <is>
          <t>VÄRMLANDS LÄN</t>
        </is>
      </c>
      <c r="E3126" t="inlineStr">
        <is>
          <t>TORSBY</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6529-2025</t>
        </is>
      </c>
      <c r="B3127" s="1" t="n">
        <v>45699</v>
      </c>
      <c r="C3127" s="1" t="n">
        <v>45822</v>
      </c>
      <c r="D3127" t="inlineStr">
        <is>
          <t>VÄRMLANDS LÄN</t>
        </is>
      </c>
      <c r="E3127" t="inlineStr">
        <is>
          <t>TORSBY</t>
        </is>
      </c>
      <c r="F3127" t="inlineStr">
        <is>
          <t>Kommuner</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6532-2025</t>
        </is>
      </c>
      <c r="B3128" s="1" t="n">
        <v>45699</v>
      </c>
      <c r="C3128" s="1" t="n">
        <v>45822</v>
      </c>
      <c r="D3128" t="inlineStr">
        <is>
          <t>VÄRMLANDS LÄN</t>
        </is>
      </c>
      <c r="E3128" t="inlineStr">
        <is>
          <t>TORSBY</t>
        </is>
      </c>
      <c r="F3128" t="inlineStr">
        <is>
          <t>Kommuner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6464-2025</t>
        </is>
      </c>
      <c r="B3129" s="1" t="n">
        <v>45699</v>
      </c>
      <c r="C3129" s="1" t="n">
        <v>45822</v>
      </c>
      <c r="D3129" t="inlineStr">
        <is>
          <t>VÄRMLANDS LÄN</t>
        </is>
      </c>
      <c r="E3129" t="inlineStr">
        <is>
          <t>TORSBY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6460-2025</t>
        </is>
      </c>
      <c r="B3130" s="1" t="n">
        <v>45699</v>
      </c>
      <c r="C3130" s="1" t="n">
        <v>45822</v>
      </c>
      <c r="D3130" t="inlineStr">
        <is>
          <t>VÄRMLANDS LÄN</t>
        </is>
      </c>
      <c r="E3130" t="inlineStr">
        <is>
          <t>TORSBY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6448-2025</t>
        </is>
      </c>
      <c r="B3131" s="1" t="n">
        <v>45699</v>
      </c>
      <c r="C3131" s="1" t="n">
        <v>45822</v>
      </c>
      <c r="D3131" t="inlineStr">
        <is>
          <t>VÄRMLANDS LÄN</t>
        </is>
      </c>
      <c r="E3131" t="inlineStr">
        <is>
          <t>TORSBY</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6534-2025</t>
        </is>
      </c>
      <c r="B3132" s="1" t="n">
        <v>45699</v>
      </c>
      <c r="C3132" s="1" t="n">
        <v>45822</v>
      </c>
      <c r="D3132" t="inlineStr">
        <is>
          <t>VÄRMLANDS LÄN</t>
        </is>
      </c>
      <c r="E3132" t="inlineStr">
        <is>
          <t>TORSBY</t>
        </is>
      </c>
      <c r="F3132" t="inlineStr">
        <is>
          <t>Kommuner</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6653-2025</t>
        </is>
      </c>
      <c r="B3133" s="1" t="n">
        <v>45700</v>
      </c>
      <c r="C3133" s="1" t="n">
        <v>45822</v>
      </c>
      <c r="D3133" t="inlineStr">
        <is>
          <t>VÄRMLANDS LÄN</t>
        </is>
      </c>
      <c r="E3133" t="inlineStr">
        <is>
          <t>TORSBY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6862-2025</t>
        </is>
      </c>
      <c r="B3134" s="1" t="n">
        <v>45700</v>
      </c>
      <c r="C3134" s="1" t="n">
        <v>45822</v>
      </c>
      <c r="D3134" t="inlineStr">
        <is>
          <t>VÄRMLANDS LÄN</t>
        </is>
      </c>
      <c r="E3134" t="inlineStr">
        <is>
          <t>TORSBY</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6965-2025</t>
        </is>
      </c>
      <c r="B3135" s="1" t="n">
        <v>45701</v>
      </c>
      <c r="C3135" s="1" t="n">
        <v>45822</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7068-2025</t>
        </is>
      </c>
      <c r="B3136" s="1" t="n">
        <v>45701</v>
      </c>
      <c r="C3136" s="1" t="n">
        <v>45822</v>
      </c>
      <c r="D3136" t="inlineStr">
        <is>
          <t>VÄRMLANDS LÄN</t>
        </is>
      </c>
      <c r="E3136" t="inlineStr">
        <is>
          <t>TORSBY</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6968-2025</t>
        </is>
      </c>
      <c r="B3137" s="1" t="n">
        <v>45701</v>
      </c>
      <c r="C3137" s="1" t="n">
        <v>45822</v>
      </c>
      <c r="D3137" t="inlineStr">
        <is>
          <t>VÄRMLANDS LÄN</t>
        </is>
      </c>
      <c r="E3137" t="inlineStr">
        <is>
          <t>TORSBY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7101-2025</t>
        </is>
      </c>
      <c r="B3138" s="1" t="n">
        <v>45701</v>
      </c>
      <c r="C3138" s="1" t="n">
        <v>45822</v>
      </c>
      <c r="D3138" t="inlineStr">
        <is>
          <t>VÄRMLANDS LÄN</t>
        </is>
      </c>
      <c r="E3138" t="inlineStr">
        <is>
          <t>TORSBY</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7065-2025</t>
        </is>
      </c>
      <c r="B3139" s="1" t="n">
        <v>45701</v>
      </c>
      <c r="C3139" s="1" t="n">
        <v>45822</v>
      </c>
      <c r="D3139" t="inlineStr">
        <is>
          <t>VÄRMLANDS LÄN</t>
        </is>
      </c>
      <c r="E3139" t="inlineStr">
        <is>
          <t>TORSBY</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7214-2025</t>
        </is>
      </c>
      <c r="B3140" s="1" t="n">
        <v>45702</v>
      </c>
      <c r="C3140" s="1" t="n">
        <v>45822</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7215-2025</t>
        </is>
      </c>
      <c r="B3141" s="1" t="n">
        <v>45702</v>
      </c>
      <c r="C3141" s="1" t="n">
        <v>45822</v>
      </c>
      <c r="D3141" t="inlineStr">
        <is>
          <t>VÄRMLANDS LÄN</t>
        </is>
      </c>
      <c r="E3141" t="inlineStr">
        <is>
          <t>TORSBY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7178-2025</t>
        </is>
      </c>
      <c r="B3142" s="1" t="n">
        <v>45702</v>
      </c>
      <c r="C3142" s="1" t="n">
        <v>45822</v>
      </c>
      <c r="D3142" t="inlineStr">
        <is>
          <t>VÄRMLANDS LÄN</t>
        </is>
      </c>
      <c r="E3142" t="inlineStr">
        <is>
          <t>TORSBY</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7643-2025</t>
        </is>
      </c>
      <c r="B3143" s="1" t="n">
        <v>45705</v>
      </c>
      <c r="C3143" s="1" t="n">
        <v>45822</v>
      </c>
      <c r="D3143" t="inlineStr">
        <is>
          <t>VÄRMLANDS LÄN</t>
        </is>
      </c>
      <c r="E3143" t="inlineStr">
        <is>
          <t>TORSBY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7378-2025</t>
        </is>
      </c>
      <c r="B3144" s="1" t="n">
        <v>45705</v>
      </c>
      <c r="C3144" s="1" t="n">
        <v>45822</v>
      </c>
      <c r="D3144" t="inlineStr">
        <is>
          <t>VÄRMLANDS LÄN</t>
        </is>
      </c>
      <c r="E3144" t="inlineStr">
        <is>
          <t>TORSBY</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7420-2025</t>
        </is>
      </c>
      <c r="B3145" s="1" t="n">
        <v>45705</v>
      </c>
      <c r="C3145" s="1" t="n">
        <v>45822</v>
      </c>
      <c r="D3145" t="inlineStr">
        <is>
          <t>VÄRMLANDS LÄN</t>
        </is>
      </c>
      <c r="E3145" t="inlineStr">
        <is>
          <t>TORSBY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7829-2025</t>
        </is>
      </c>
      <c r="B3146" s="1" t="n">
        <v>45706</v>
      </c>
      <c r="C3146" s="1" t="n">
        <v>45822</v>
      </c>
      <c r="D3146" t="inlineStr">
        <is>
          <t>VÄRMLANDS LÄN</t>
        </is>
      </c>
      <c r="E3146" t="inlineStr">
        <is>
          <t>TORSBY</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8070-2025</t>
        </is>
      </c>
      <c r="B3147" s="1" t="n">
        <v>45707</v>
      </c>
      <c r="C3147" s="1" t="n">
        <v>45822</v>
      </c>
      <c r="D3147" t="inlineStr">
        <is>
          <t>VÄRMLANDS LÄN</t>
        </is>
      </c>
      <c r="E3147" t="inlineStr">
        <is>
          <t>TORSBY</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8018-2025</t>
        </is>
      </c>
      <c r="B3148" s="1" t="n">
        <v>45707</v>
      </c>
      <c r="C3148" s="1" t="n">
        <v>45822</v>
      </c>
      <c r="D3148" t="inlineStr">
        <is>
          <t>VÄRMLANDS LÄN</t>
        </is>
      </c>
      <c r="E3148" t="inlineStr">
        <is>
          <t>TORSBY</t>
        </is>
      </c>
      <c r="G3148" t="n">
        <v>22.6</v>
      </c>
      <c r="H3148" t="n">
        <v>0</v>
      </c>
      <c r="I3148" t="n">
        <v>0</v>
      </c>
      <c r="J3148" t="n">
        <v>0</v>
      </c>
      <c r="K3148" t="n">
        <v>0</v>
      </c>
      <c r="L3148" t="n">
        <v>0</v>
      </c>
      <c r="M3148" t="n">
        <v>0</v>
      </c>
      <c r="N3148" t="n">
        <v>0</v>
      </c>
      <c r="O3148" t="n">
        <v>0</v>
      </c>
      <c r="P3148" t="n">
        <v>0</v>
      </c>
      <c r="Q3148" t="n">
        <v>0</v>
      </c>
      <c r="R3148" s="2" t="inlineStr"/>
    </row>
    <row r="3149" ht="15" customHeight="1">
      <c r="A3149" t="inlineStr">
        <is>
          <t>A 8022-2025</t>
        </is>
      </c>
      <c r="B3149" s="1" t="n">
        <v>45707</v>
      </c>
      <c r="C3149" s="1" t="n">
        <v>45822</v>
      </c>
      <c r="D3149" t="inlineStr">
        <is>
          <t>VÄRMLANDS LÄN</t>
        </is>
      </c>
      <c r="E3149" t="inlineStr">
        <is>
          <t>TORSBY</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8025-2025</t>
        </is>
      </c>
      <c r="B3150" s="1" t="n">
        <v>45707</v>
      </c>
      <c r="C3150" s="1" t="n">
        <v>45822</v>
      </c>
      <c r="D3150" t="inlineStr">
        <is>
          <t>VÄRMLANDS LÄN</t>
        </is>
      </c>
      <c r="E3150" t="inlineStr">
        <is>
          <t>TORSBY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7907-2025</t>
        </is>
      </c>
      <c r="B3151" s="1" t="n">
        <v>45707</v>
      </c>
      <c r="C3151" s="1" t="n">
        <v>45822</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8197-2025</t>
        </is>
      </c>
      <c r="B3152" s="1" t="n">
        <v>45708</v>
      </c>
      <c r="C3152" s="1" t="n">
        <v>45822</v>
      </c>
      <c r="D3152" t="inlineStr">
        <is>
          <t>VÄRMLANDS LÄN</t>
        </is>
      </c>
      <c r="E3152" t="inlineStr">
        <is>
          <t>TORSBY</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8188-2025</t>
        </is>
      </c>
      <c r="B3153" s="1" t="n">
        <v>45708</v>
      </c>
      <c r="C3153" s="1" t="n">
        <v>45822</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8428-2025</t>
        </is>
      </c>
      <c r="B3154" s="1" t="n">
        <v>45709</v>
      </c>
      <c r="C3154" s="1" t="n">
        <v>45822</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8398-2025</t>
        </is>
      </c>
      <c r="B3155" s="1" t="n">
        <v>45709</v>
      </c>
      <c r="C3155" s="1" t="n">
        <v>45822</v>
      </c>
      <c r="D3155" t="inlineStr">
        <is>
          <t>VÄRMLANDS LÄN</t>
        </is>
      </c>
      <c r="E3155" t="inlineStr">
        <is>
          <t>TORSBY</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8685-2025</t>
        </is>
      </c>
      <c r="B3156" s="1" t="n">
        <v>45712</v>
      </c>
      <c r="C3156" s="1" t="n">
        <v>45822</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8979-2025</t>
        </is>
      </c>
      <c r="B3157" s="1" t="n">
        <v>45713</v>
      </c>
      <c r="C3157" s="1" t="n">
        <v>45822</v>
      </c>
      <c r="D3157" t="inlineStr">
        <is>
          <t>VÄRMLANDS LÄN</t>
        </is>
      </c>
      <c r="E3157" t="inlineStr">
        <is>
          <t>TORSBY</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9171-2025</t>
        </is>
      </c>
      <c r="B3158" s="1" t="n">
        <v>45713</v>
      </c>
      <c r="C3158" s="1" t="n">
        <v>45822</v>
      </c>
      <c r="D3158" t="inlineStr">
        <is>
          <t>VÄRMLANDS LÄN</t>
        </is>
      </c>
      <c r="E3158" t="inlineStr">
        <is>
          <t>TORSBY</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9226-2025</t>
        </is>
      </c>
      <c r="B3159" s="1" t="n">
        <v>45714</v>
      </c>
      <c r="C3159" s="1" t="n">
        <v>45822</v>
      </c>
      <c r="D3159" t="inlineStr">
        <is>
          <t>VÄRMLANDS LÄN</t>
        </is>
      </c>
      <c r="E3159" t="inlineStr">
        <is>
          <t>TORSBY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9286-2025</t>
        </is>
      </c>
      <c r="B3160" s="1" t="n">
        <v>45714</v>
      </c>
      <c r="C3160" s="1" t="n">
        <v>45822</v>
      </c>
      <c r="D3160" t="inlineStr">
        <is>
          <t>VÄRMLANDS LÄN</t>
        </is>
      </c>
      <c r="E3160" t="inlineStr">
        <is>
          <t>TORSBY</t>
        </is>
      </c>
      <c r="F3160" t="inlineStr">
        <is>
          <t>Kommuner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9628-2025</t>
        </is>
      </c>
      <c r="B3161" s="1" t="n">
        <v>45714</v>
      </c>
      <c r="C3161" s="1" t="n">
        <v>45822</v>
      </c>
      <c r="D3161" t="inlineStr">
        <is>
          <t>VÄRMLANDS LÄN</t>
        </is>
      </c>
      <c r="E3161" t="inlineStr">
        <is>
          <t>TORSBY</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9729-2025</t>
        </is>
      </c>
      <c r="B3162" s="1" t="n">
        <v>45715</v>
      </c>
      <c r="C3162" s="1" t="n">
        <v>45822</v>
      </c>
      <c r="D3162" t="inlineStr">
        <is>
          <t>VÄRMLANDS LÄN</t>
        </is>
      </c>
      <c r="E3162" t="inlineStr">
        <is>
          <t>TORSBY</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9723-2025</t>
        </is>
      </c>
      <c r="B3163" s="1" t="n">
        <v>45715</v>
      </c>
      <c r="C3163" s="1" t="n">
        <v>45822</v>
      </c>
      <c r="D3163" t="inlineStr">
        <is>
          <t>VÄRMLANDS LÄN</t>
        </is>
      </c>
      <c r="E3163" t="inlineStr">
        <is>
          <t>TORSBY</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9704-2025</t>
        </is>
      </c>
      <c r="B3164" s="1" t="n">
        <v>45716</v>
      </c>
      <c r="C3164" s="1" t="n">
        <v>45822</v>
      </c>
      <c r="D3164" t="inlineStr">
        <is>
          <t>VÄRMLANDS LÄN</t>
        </is>
      </c>
      <c r="E3164" t="inlineStr">
        <is>
          <t>TORSBY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9942-2025</t>
        </is>
      </c>
      <c r="B3165" s="1" t="n">
        <v>45719</v>
      </c>
      <c r="C3165" s="1" t="n">
        <v>45822</v>
      </c>
      <c r="D3165" t="inlineStr">
        <is>
          <t>VÄRMLANDS LÄN</t>
        </is>
      </c>
      <c r="E3165" t="inlineStr">
        <is>
          <t>TORSBY</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10006-2025</t>
        </is>
      </c>
      <c r="B3166" s="1" t="n">
        <v>45719</v>
      </c>
      <c r="C3166" s="1" t="n">
        <v>45822</v>
      </c>
      <c r="D3166" t="inlineStr">
        <is>
          <t>VÄRMLANDS LÄN</t>
        </is>
      </c>
      <c r="E3166" t="inlineStr">
        <is>
          <t>TORSBY</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10023-2025</t>
        </is>
      </c>
      <c r="B3167" s="1" t="n">
        <v>45719</v>
      </c>
      <c r="C3167" s="1" t="n">
        <v>45822</v>
      </c>
      <c r="D3167" t="inlineStr">
        <is>
          <t>VÄRMLANDS LÄN</t>
        </is>
      </c>
      <c r="E3167" t="inlineStr">
        <is>
          <t>TORSBY</t>
        </is>
      </c>
      <c r="F3167" t="inlineStr">
        <is>
          <t>Bergvik skog väst AB</t>
        </is>
      </c>
      <c r="G3167" t="n">
        <v>14.3</v>
      </c>
      <c r="H3167" t="n">
        <v>0</v>
      </c>
      <c r="I3167" t="n">
        <v>0</v>
      </c>
      <c r="J3167" t="n">
        <v>0</v>
      </c>
      <c r="K3167" t="n">
        <v>0</v>
      </c>
      <c r="L3167" t="n">
        <v>0</v>
      </c>
      <c r="M3167" t="n">
        <v>0</v>
      </c>
      <c r="N3167" t="n">
        <v>0</v>
      </c>
      <c r="O3167" t="n">
        <v>0</v>
      </c>
      <c r="P3167" t="n">
        <v>0</v>
      </c>
      <c r="Q3167" t="n">
        <v>0</v>
      </c>
      <c r="R3167" s="2" t="inlineStr"/>
    </row>
    <row r="3168" ht="15" customHeight="1">
      <c r="A3168" t="inlineStr">
        <is>
          <t>A 10108-2025</t>
        </is>
      </c>
      <c r="B3168" s="1" t="n">
        <v>45719</v>
      </c>
      <c r="C3168" s="1" t="n">
        <v>45822</v>
      </c>
      <c r="D3168" t="inlineStr">
        <is>
          <t>VÄRMLANDS LÄN</t>
        </is>
      </c>
      <c r="E3168" t="inlineStr">
        <is>
          <t>TORSBY</t>
        </is>
      </c>
      <c r="F3168" t="inlineStr">
        <is>
          <t>Bergvik skog väst AB</t>
        </is>
      </c>
      <c r="G3168" t="n">
        <v>17.9</v>
      </c>
      <c r="H3168" t="n">
        <v>0</v>
      </c>
      <c r="I3168" t="n">
        <v>0</v>
      </c>
      <c r="J3168" t="n">
        <v>0</v>
      </c>
      <c r="K3168" t="n">
        <v>0</v>
      </c>
      <c r="L3168" t="n">
        <v>0</v>
      </c>
      <c r="M3168" t="n">
        <v>0</v>
      </c>
      <c r="N3168" t="n">
        <v>0</v>
      </c>
      <c r="O3168" t="n">
        <v>0</v>
      </c>
      <c r="P3168" t="n">
        <v>0</v>
      </c>
      <c r="Q3168" t="n">
        <v>0</v>
      </c>
      <c r="R3168" s="2" t="inlineStr"/>
    </row>
    <row r="3169" ht="15" customHeight="1">
      <c r="A3169" t="inlineStr">
        <is>
          <t>A 10292-2025</t>
        </is>
      </c>
      <c r="B3169" s="1" t="n">
        <v>45720</v>
      </c>
      <c r="C3169" s="1" t="n">
        <v>45822</v>
      </c>
      <c r="D3169" t="inlineStr">
        <is>
          <t>VÄRMLANDS LÄN</t>
        </is>
      </c>
      <c r="E3169" t="inlineStr">
        <is>
          <t>TORSBY</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10342-2025</t>
        </is>
      </c>
      <c r="B3170" s="1" t="n">
        <v>45720</v>
      </c>
      <c r="C3170" s="1" t="n">
        <v>45822</v>
      </c>
      <c r="D3170" t="inlineStr">
        <is>
          <t>VÄRMLANDS LÄN</t>
        </is>
      </c>
      <c r="E3170" t="inlineStr">
        <is>
          <t>TORSBY</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10329-2025</t>
        </is>
      </c>
      <c r="B3171" s="1" t="n">
        <v>45720</v>
      </c>
      <c r="C3171" s="1" t="n">
        <v>45822</v>
      </c>
      <c r="D3171" t="inlineStr">
        <is>
          <t>VÄRMLANDS LÄN</t>
        </is>
      </c>
      <c r="E3171" t="inlineStr">
        <is>
          <t>TORSBY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10288-2025</t>
        </is>
      </c>
      <c r="B3172" s="1" t="n">
        <v>45720</v>
      </c>
      <c r="C3172" s="1" t="n">
        <v>45822</v>
      </c>
      <c r="D3172" t="inlineStr">
        <is>
          <t>VÄRMLANDS LÄN</t>
        </is>
      </c>
      <c r="E3172" t="inlineStr">
        <is>
          <t>TORSBY</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10456-2025</t>
        </is>
      </c>
      <c r="B3173" s="1" t="n">
        <v>45720</v>
      </c>
      <c r="C3173" s="1" t="n">
        <v>45822</v>
      </c>
      <c r="D3173" t="inlineStr">
        <is>
          <t>VÄRMLANDS LÄN</t>
        </is>
      </c>
      <c r="E3173" t="inlineStr">
        <is>
          <t>TORSBY</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10343-2025</t>
        </is>
      </c>
      <c r="B3174" s="1" t="n">
        <v>45720</v>
      </c>
      <c r="C3174" s="1" t="n">
        <v>45822</v>
      </c>
      <c r="D3174" t="inlineStr">
        <is>
          <t>VÄRMLANDS LÄN</t>
        </is>
      </c>
      <c r="E3174" t="inlineStr">
        <is>
          <t>TORSBY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10816-2025</t>
        </is>
      </c>
      <c r="B3175" s="1" t="n">
        <v>45722</v>
      </c>
      <c r="C3175" s="1" t="n">
        <v>45822</v>
      </c>
      <c r="D3175" t="inlineStr">
        <is>
          <t>VÄRMLANDS LÄN</t>
        </is>
      </c>
      <c r="E3175" t="inlineStr">
        <is>
          <t>TORSBY</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10917-2025</t>
        </is>
      </c>
      <c r="B3176" s="1" t="n">
        <v>45722</v>
      </c>
      <c r="C3176" s="1" t="n">
        <v>45822</v>
      </c>
      <c r="D3176" t="inlineStr">
        <is>
          <t>VÄRMLANDS LÄN</t>
        </is>
      </c>
      <c r="E3176" t="inlineStr">
        <is>
          <t>TORSBY</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10979-2025</t>
        </is>
      </c>
      <c r="B3177" s="1" t="n">
        <v>45723</v>
      </c>
      <c r="C3177" s="1" t="n">
        <v>45822</v>
      </c>
      <c r="D3177" t="inlineStr">
        <is>
          <t>VÄRMLANDS LÄN</t>
        </is>
      </c>
      <c r="E3177" t="inlineStr">
        <is>
          <t>TORSBY</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11195-2025</t>
        </is>
      </c>
      <c r="B3178" s="1" t="n">
        <v>45725</v>
      </c>
      <c r="C3178" s="1" t="n">
        <v>45822</v>
      </c>
      <c r="D3178" t="inlineStr">
        <is>
          <t>VÄRMLANDS LÄN</t>
        </is>
      </c>
      <c r="E3178" t="inlineStr">
        <is>
          <t>TORSBY</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11395-2025</t>
        </is>
      </c>
      <c r="B3179" s="1" t="n">
        <v>45726</v>
      </c>
      <c r="C3179" s="1" t="n">
        <v>45822</v>
      </c>
      <c r="D3179" t="inlineStr">
        <is>
          <t>VÄRMLANDS LÄN</t>
        </is>
      </c>
      <c r="E3179" t="inlineStr">
        <is>
          <t>TORSBY</t>
        </is>
      </c>
      <c r="G3179" t="n">
        <v>25.3</v>
      </c>
      <c r="H3179" t="n">
        <v>0</v>
      </c>
      <c r="I3179" t="n">
        <v>0</v>
      </c>
      <c r="J3179" t="n">
        <v>0</v>
      </c>
      <c r="K3179" t="n">
        <v>0</v>
      </c>
      <c r="L3179" t="n">
        <v>0</v>
      </c>
      <c r="M3179" t="n">
        <v>0</v>
      </c>
      <c r="N3179" t="n">
        <v>0</v>
      </c>
      <c r="O3179" t="n">
        <v>0</v>
      </c>
      <c r="P3179" t="n">
        <v>0</v>
      </c>
      <c r="Q3179" t="n">
        <v>0</v>
      </c>
      <c r="R3179" s="2" t="inlineStr"/>
    </row>
    <row r="3180" ht="15" customHeight="1">
      <c r="A3180" t="inlineStr">
        <is>
          <t>A 11406-2025</t>
        </is>
      </c>
      <c r="B3180" s="1" t="n">
        <v>45726</v>
      </c>
      <c r="C3180" s="1" t="n">
        <v>45822</v>
      </c>
      <c r="D3180" t="inlineStr">
        <is>
          <t>VÄRMLANDS LÄN</t>
        </is>
      </c>
      <c r="E3180" t="inlineStr">
        <is>
          <t>TORSBY</t>
        </is>
      </c>
      <c r="G3180" t="n">
        <v>29.3</v>
      </c>
      <c r="H3180" t="n">
        <v>0</v>
      </c>
      <c r="I3180" t="n">
        <v>0</v>
      </c>
      <c r="J3180" t="n">
        <v>0</v>
      </c>
      <c r="K3180" t="n">
        <v>0</v>
      </c>
      <c r="L3180" t="n">
        <v>0</v>
      </c>
      <c r="M3180" t="n">
        <v>0</v>
      </c>
      <c r="N3180" t="n">
        <v>0</v>
      </c>
      <c r="O3180" t="n">
        <v>0</v>
      </c>
      <c r="P3180" t="n">
        <v>0</v>
      </c>
      <c r="Q3180" t="n">
        <v>0</v>
      </c>
      <c r="R3180" s="2" t="inlineStr"/>
    </row>
    <row r="3181" ht="15" customHeight="1">
      <c r="A3181" t="inlineStr">
        <is>
          <t>A 11427-2025</t>
        </is>
      </c>
      <c r="B3181" s="1" t="n">
        <v>45726</v>
      </c>
      <c r="C3181" s="1" t="n">
        <v>45822</v>
      </c>
      <c r="D3181" t="inlineStr">
        <is>
          <t>VÄRMLANDS LÄN</t>
        </is>
      </c>
      <c r="E3181" t="inlineStr">
        <is>
          <t>TORSBY</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11431-2025</t>
        </is>
      </c>
      <c r="B3182" s="1" t="n">
        <v>45726</v>
      </c>
      <c r="C3182" s="1" t="n">
        <v>45822</v>
      </c>
      <c r="D3182" t="inlineStr">
        <is>
          <t>VÄRMLANDS LÄN</t>
        </is>
      </c>
      <c r="E3182" t="inlineStr">
        <is>
          <t>TORSBY</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11670-2025</t>
        </is>
      </c>
      <c r="B3183" s="1" t="n">
        <v>45727</v>
      </c>
      <c r="C3183" s="1" t="n">
        <v>45822</v>
      </c>
      <c r="D3183" t="inlineStr">
        <is>
          <t>VÄRMLANDS LÄN</t>
        </is>
      </c>
      <c r="E3183" t="inlineStr">
        <is>
          <t>TORSBY</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11569-2025</t>
        </is>
      </c>
      <c r="B3184" s="1" t="n">
        <v>45727</v>
      </c>
      <c r="C3184" s="1" t="n">
        <v>45822</v>
      </c>
      <c r="D3184" t="inlineStr">
        <is>
          <t>VÄRMLANDS LÄN</t>
        </is>
      </c>
      <c r="E3184" t="inlineStr">
        <is>
          <t>TORSBY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11581-2025</t>
        </is>
      </c>
      <c r="B3185" s="1" t="n">
        <v>45727</v>
      </c>
      <c r="C3185" s="1" t="n">
        <v>45822</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11672-2025</t>
        </is>
      </c>
      <c r="B3186" s="1" t="n">
        <v>45727</v>
      </c>
      <c r="C3186" s="1" t="n">
        <v>45822</v>
      </c>
      <c r="D3186" t="inlineStr">
        <is>
          <t>VÄRMLANDS LÄN</t>
        </is>
      </c>
      <c r="E3186" t="inlineStr">
        <is>
          <t>TORSBY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11677-2025</t>
        </is>
      </c>
      <c r="B3187" s="1" t="n">
        <v>45727</v>
      </c>
      <c r="C3187" s="1" t="n">
        <v>45822</v>
      </c>
      <c r="D3187" t="inlineStr">
        <is>
          <t>VÄRMLANDS LÄN</t>
        </is>
      </c>
      <c r="E3187" t="inlineStr">
        <is>
          <t>TORSBY</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11842-2025</t>
        </is>
      </c>
      <c r="B3188" s="1" t="n">
        <v>45728</v>
      </c>
      <c r="C3188" s="1" t="n">
        <v>45822</v>
      </c>
      <c r="D3188" t="inlineStr">
        <is>
          <t>VÄRMLANDS LÄN</t>
        </is>
      </c>
      <c r="E3188" t="inlineStr">
        <is>
          <t>TORSBY</t>
        </is>
      </c>
      <c r="F3188" t="inlineStr">
        <is>
          <t>Bergvik skog väst AB</t>
        </is>
      </c>
      <c r="G3188" t="n">
        <v>32.1</v>
      </c>
      <c r="H3188" t="n">
        <v>0</v>
      </c>
      <c r="I3188" t="n">
        <v>0</v>
      </c>
      <c r="J3188" t="n">
        <v>0</v>
      </c>
      <c r="K3188" t="n">
        <v>0</v>
      </c>
      <c r="L3188" t="n">
        <v>0</v>
      </c>
      <c r="M3188" t="n">
        <v>0</v>
      </c>
      <c r="N3188" t="n">
        <v>0</v>
      </c>
      <c r="O3188" t="n">
        <v>0</v>
      </c>
      <c r="P3188" t="n">
        <v>0</v>
      </c>
      <c r="Q3188" t="n">
        <v>0</v>
      </c>
      <c r="R3188" s="2" t="inlineStr"/>
    </row>
    <row r="3189" ht="15" customHeight="1">
      <c r="A3189" t="inlineStr">
        <is>
          <t>A 11872-2025</t>
        </is>
      </c>
      <c r="B3189" s="1" t="n">
        <v>45728</v>
      </c>
      <c r="C3189" s="1" t="n">
        <v>45822</v>
      </c>
      <c r="D3189" t="inlineStr">
        <is>
          <t>VÄRMLANDS LÄN</t>
        </is>
      </c>
      <c r="E3189" t="inlineStr">
        <is>
          <t>TORSBY</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11868-2025</t>
        </is>
      </c>
      <c r="B3190" s="1" t="n">
        <v>45728</v>
      </c>
      <c r="C3190" s="1" t="n">
        <v>45822</v>
      </c>
      <c r="D3190" t="inlineStr">
        <is>
          <t>VÄRMLANDS LÄN</t>
        </is>
      </c>
      <c r="E3190" t="inlineStr">
        <is>
          <t>TORSBY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11963-2025</t>
        </is>
      </c>
      <c r="B3191" s="1" t="n">
        <v>45728</v>
      </c>
      <c r="C3191" s="1" t="n">
        <v>45822</v>
      </c>
      <c r="D3191" t="inlineStr">
        <is>
          <t>VÄRMLANDS LÄN</t>
        </is>
      </c>
      <c r="E3191" t="inlineStr">
        <is>
          <t>TORSBY</t>
        </is>
      </c>
      <c r="G3191" t="n">
        <v>23.4</v>
      </c>
      <c r="H3191" t="n">
        <v>0</v>
      </c>
      <c r="I3191" t="n">
        <v>0</v>
      </c>
      <c r="J3191" t="n">
        <v>0</v>
      </c>
      <c r="K3191" t="n">
        <v>0</v>
      </c>
      <c r="L3191" t="n">
        <v>0</v>
      </c>
      <c r="M3191" t="n">
        <v>0</v>
      </c>
      <c r="N3191" t="n">
        <v>0</v>
      </c>
      <c r="O3191" t="n">
        <v>0</v>
      </c>
      <c r="P3191" t="n">
        <v>0</v>
      </c>
      <c r="Q3191" t="n">
        <v>0</v>
      </c>
      <c r="R3191" s="2" t="inlineStr"/>
    </row>
    <row r="3192" ht="15" customHeight="1">
      <c r="A3192" t="inlineStr">
        <is>
          <t>A 12158-2025</t>
        </is>
      </c>
      <c r="B3192" s="1" t="n">
        <v>45729</v>
      </c>
      <c r="C3192" s="1" t="n">
        <v>45822</v>
      </c>
      <c r="D3192" t="inlineStr">
        <is>
          <t>VÄRMLANDS LÄN</t>
        </is>
      </c>
      <c r="E3192" t="inlineStr">
        <is>
          <t>TORSBY</t>
        </is>
      </c>
      <c r="F3192" t="inlineStr">
        <is>
          <t>Övriga statliga verk och myndigheter</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12163-2025</t>
        </is>
      </c>
      <c r="B3193" s="1" t="n">
        <v>45729</v>
      </c>
      <c r="C3193" s="1" t="n">
        <v>45822</v>
      </c>
      <c r="D3193" t="inlineStr">
        <is>
          <t>VÄRMLANDS LÄN</t>
        </is>
      </c>
      <c r="E3193" t="inlineStr">
        <is>
          <t>TORSBY</t>
        </is>
      </c>
      <c r="F3193" t="inlineStr">
        <is>
          <t>Övriga statliga verk och myndigheter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12528-2025</t>
        </is>
      </c>
      <c r="B3194" s="1" t="n">
        <v>45730</v>
      </c>
      <c r="C3194" s="1" t="n">
        <v>45822</v>
      </c>
      <c r="D3194" t="inlineStr">
        <is>
          <t>VÄRMLANDS LÄN</t>
        </is>
      </c>
      <c r="E3194" t="inlineStr">
        <is>
          <t>TORSBY</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12440-2025</t>
        </is>
      </c>
      <c r="B3195" s="1" t="n">
        <v>45730</v>
      </c>
      <c r="C3195" s="1" t="n">
        <v>45822</v>
      </c>
      <c r="D3195" t="inlineStr">
        <is>
          <t>VÄRMLANDS LÄN</t>
        </is>
      </c>
      <c r="E3195" t="inlineStr">
        <is>
          <t>TORSBY</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12402-2025</t>
        </is>
      </c>
      <c r="B3196" s="1" t="n">
        <v>45730</v>
      </c>
      <c r="C3196" s="1" t="n">
        <v>45822</v>
      </c>
      <c r="D3196" t="inlineStr">
        <is>
          <t>VÄRMLANDS LÄN</t>
        </is>
      </c>
      <c r="E3196" t="inlineStr">
        <is>
          <t>TORSBY</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12554-2025</t>
        </is>
      </c>
      <c r="B3197" s="1" t="n">
        <v>45731</v>
      </c>
      <c r="C3197" s="1" t="n">
        <v>45822</v>
      </c>
      <c r="D3197" t="inlineStr">
        <is>
          <t>VÄRMLANDS LÄN</t>
        </is>
      </c>
      <c r="E3197" t="inlineStr">
        <is>
          <t>TORSBY</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12556-2025</t>
        </is>
      </c>
      <c r="B3198" s="1" t="n">
        <v>45731</v>
      </c>
      <c r="C3198" s="1" t="n">
        <v>45822</v>
      </c>
      <c r="D3198" t="inlineStr">
        <is>
          <t>VÄRMLANDS LÄN</t>
        </is>
      </c>
      <c r="E3198" t="inlineStr">
        <is>
          <t>TORSBY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12574-2025</t>
        </is>
      </c>
      <c r="B3199" s="1" t="n">
        <v>45732</v>
      </c>
      <c r="C3199" s="1" t="n">
        <v>45822</v>
      </c>
      <c r="D3199" t="inlineStr">
        <is>
          <t>VÄRMLANDS LÄN</t>
        </is>
      </c>
      <c r="E3199" t="inlineStr">
        <is>
          <t>TORSBY</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13006-2025</t>
        </is>
      </c>
      <c r="B3200" s="1" t="n">
        <v>45734</v>
      </c>
      <c r="C3200" s="1" t="n">
        <v>45822</v>
      </c>
      <c r="D3200" t="inlineStr">
        <is>
          <t>VÄRMLANDS LÄN</t>
        </is>
      </c>
      <c r="E3200" t="inlineStr">
        <is>
          <t>TORSBY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12959-2025</t>
        </is>
      </c>
      <c r="B3201" s="1" t="n">
        <v>45734</v>
      </c>
      <c r="C3201" s="1" t="n">
        <v>45822</v>
      </c>
      <c r="D3201" t="inlineStr">
        <is>
          <t>VÄRMLANDS LÄN</t>
        </is>
      </c>
      <c r="E3201" t="inlineStr">
        <is>
          <t>TORSBY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12948-2025</t>
        </is>
      </c>
      <c r="B3202" s="1" t="n">
        <v>45734</v>
      </c>
      <c r="C3202" s="1" t="n">
        <v>45822</v>
      </c>
      <c r="D3202" t="inlineStr">
        <is>
          <t>VÄRMLANDS LÄN</t>
        </is>
      </c>
      <c r="E3202" t="inlineStr">
        <is>
          <t>TORSBY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13166-2025</t>
        </is>
      </c>
      <c r="B3203" s="1" t="n">
        <v>45735</v>
      </c>
      <c r="C3203" s="1" t="n">
        <v>45822</v>
      </c>
      <c r="D3203" t="inlineStr">
        <is>
          <t>VÄRMLANDS LÄN</t>
        </is>
      </c>
      <c r="E3203" t="inlineStr">
        <is>
          <t>TORSBY</t>
        </is>
      </c>
      <c r="F3203" t="inlineStr">
        <is>
          <t>Bergvik skog väst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13189-2025</t>
        </is>
      </c>
      <c r="B3204" s="1" t="n">
        <v>45735</v>
      </c>
      <c r="C3204" s="1" t="n">
        <v>45822</v>
      </c>
      <c r="D3204" t="inlineStr">
        <is>
          <t>VÄRMLANDS LÄN</t>
        </is>
      </c>
      <c r="E3204" t="inlineStr">
        <is>
          <t>TORSBY</t>
        </is>
      </c>
      <c r="G3204" t="n">
        <v>15.4</v>
      </c>
      <c r="H3204" t="n">
        <v>0</v>
      </c>
      <c r="I3204" t="n">
        <v>0</v>
      </c>
      <c r="J3204" t="n">
        <v>0</v>
      </c>
      <c r="K3204" t="n">
        <v>0</v>
      </c>
      <c r="L3204" t="n">
        <v>0</v>
      </c>
      <c r="M3204" t="n">
        <v>0</v>
      </c>
      <c r="N3204" t="n">
        <v>0</v>
      </c>
      <c r="O3204" t="n">
        <v>0</v>
      </c>
      <c r="P3204" t="n">
        <v>0</v>
      </c>
      <c r="Q3204" t="n">
        <v>0</v>
      </c>
      <c r="R3204" s="2" t="inlineStr"/>
    </row>
    <row r="3205" ht="15" customHeight="1">
      <c r="A3205" t="inlineStr">
        <is>
          <t>A 13191-2025</t>
        </is>
      </c>
      <c r="B3205" s="1" t="n">
        <v>45735</v>
      </c>
      <c r="C3205" s="1" t="n">
        <v>45822</v>
      </c>
      <c r="D3205" t="inlineStr">
        <is>
          <t>VÄRMLANDS LÄN</t>
        </is>
      </c>
      <c r="E3205" t="inlineStr">
        <is>
          <t>TORSBY</t>
        </is>
      </c>
      <c r="G3205" t="n">
        <v>10.6</v>
      </c>
      <c r="H3205" t="n">
        <v>0</v>
      </c>
      <c r="I3205" t="n">
        <v>0</v>
      </c>
      <c r="J3205" t="n">
        <v>0</v>
      </c>
      <c r="K3205" t="n">
        <v>0</v>
      </c>
      <c r="L3205" t="n">
        <v>0</v>
      </c>
      <c r="M3205" t="n">
        <v>0</v>
      </c>
      <c r="N3205" t="n">
        <v>0</v>
      </c>
      <c r="O3205" t="n">
        <v>0</v>
      </c>
      <c r="P3205" t="n">
        <v>0</v>
      </c>
      <c r="Q3205" t="n">
        <v>0</v>
      </c>
      <c r="R3205" s="2" t="inlineStr"/>
    </row>
    <row r="3206" ht="15" customHeight="1">
      <c r="A3206" t="inlineStr">
        <is>
          <t>A 13285-2025</t>
        </is>
      </c>
      <c r="B3206" s="1" t="n">
        <v>45735</v>
      </c>
      <c r="C3206" s="1" t="n">
        <v>45822</v>
      </c>
      <c r="D3206" t="inlineStr">
        <is>
          <t>VÄRMLANDS LÄN</t>
        </is>
      </c>
      <c r="E3206" t="inlineStr">
        <is>
          <t>TORSBY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13924-2025</t>
        </is>
      </c>
      <c r="B3207" s="1" t="n">
        <v>45737</v>
      </c>
      <c r="C3207" s="1" t="n">
        <v>45822</v>
      </c>
      <c r="D3207" t="inlineStr">
        <is>
          <t>VÄRMLANDS LÄN</t>
        </is>
      </c>
      <c r="E3207" t="inlineStr">
        <is>
          <t>TORSBY</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13709-2025</t>
        </is>
      </c>
      <c r="B3208" s="1" t="n">
        <v>45737</v>
      </c>
      <c r="C3208" s="1" t="n">
        <v>45822</v>
      </c>
      <c r="D3208" t="inlineStr">
        <is>
          <t>VÄRMLANDS LÄN</t>
        </is>
      </c>
      <c r="E3208" t="inlineStr">
        <is>
          <t>TORSBY</t>
        </is>
      </c>
      <c r="F3208" t="inlineStr">
        <is>
          <t>Bergvik skog väst AB</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13771-2025</t>
        </is>
      </c>
      <c r="B3209" s="1" t="n">
        <v>45737</v>
      </c>
      <c r="C3209" s="1" t="n">
        <v>45822</v>
      </c>
      <c r="D3209" t="inlineStr">
        <is>
          <t>VÄRMLANDS LÄN</t>
        </is>
      </c>
      <c r="E3209" t="inlineStr">
        <is>
          <t>TORSBY</t>
        </is>
      </c>
      <c r="G3209" t="n">
        <v>19.7</v>
      </c>
      <c r="H3209" t="n">
        <v>0</v>
      </c>
      <c r="I3209" t="n">
        <v>0</v>
      </c>
      <c r="J3209" t="n">
        <v>0</v>
      </c>
      <c r="K3209" t="n">
        <v>0</v>
      </c>
      <c r="L3209" t="n">
        <v>0</v>
      </c>
      <c r="M3209" t="n">
        <v>0</v>
      </c>
      <c r="N3209" t="n">
        <v>0</v>
      </c>
      <c r="O3209" t="n">
        <v>0</v>
      </c>
      <c r="P3209" t="n">
        <v>0</v>
      </c>
      <c r="Q3209" t="n">
        <v>0</v>
      </c>
      <c r="R3209" s="2" t="inlineStr"/>
    </row>
    <row r="3210" ht="15" customHeight="1">
      <c r="A3210" t="inlineStr">
        <is>
          <t>A 14025-2025</t>
        </is>
      </c>
      <c r="B3210" s="1" t="n">
        <v>45740</v>
      </c>
      <c r="C3210" s="1" t="n">
        <v>45822</v>
      </c>
      <c r="D3210" t="inlineStr">
        <is>
          <t>VÄRMLANDS LÄN</t>
        </is>
      </c>
      <c r="E3210" t="inlineStr">
        <is>
          <t>TORSBY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14026-2025</t>
        </is>
      </c>
      <c r="B3211" s="1" t="n">
        <v>45740</v>
      </c>
      <c r="C3211" s="1" t="n">
        <v>45822</v>
      </c>
      <c r="D3211" t="inlineStr">
        <is>
          <t>VÄRMLANDS LÄN</t>
        </is>
      </c>
      <c r="E3211" t="inlineStr">
        <is>
          <t>TORSBY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14084-2025</t>
        </is>
      </c>
      <c r="B3212" s="1" t="n">
        <v>45740</v>
      </c>
      <c r="C3212" s="1" t="n">
        <v>45822</v>
      </c>
      <c r="D3212" t="inlineStr">
        <is>
          <t>VÄRMLANDS LÄN</t>
        </is>
      </c>
      <c r="E3212" t="inlineStr">
        <is>
          <t>TORSBY</t>
        </is>
      </c>
      <c r="F3212" t="inlineStr">
        <is>
          <t>Bergvik skog väst AB</t>
        </is>
      </c>
      <c r="G3212" t="n">
        <v>12.2</v>
      </c>
      <c r="H3212" t="n">
        <v>0</v>
      </c>
      <c r="I3212" t="n">
        <v>0</v>
      </c>
      <c r="J3212" t="n">
        <v>0</v>
      </c>
      <c r="K3212" t="n">
        <v>0</v>
      </c>
      <c r="L3212" t="n">
        <v>0</v>
      </c>
      <c r="M3212" t="n">
        <v>0</v>
      </c>
      <c r="N3212" t="n">
        <v>0</v>
      </c>
      <c r="O3212" t="n">
        <v>0</v>
      </c>
      <c r="P3212" t="n">
        <v>0</v>
      </c>
      <c r="Q3212" t="n">
        <v>0</v>
      </c>
      <c r="R3212" s="2" t="inlineStr"/>
    </row>
    <row r="3213" ht="15" customHeight="1">
      <c r="A3213" t="inlineStr">
        <is>
          <t>A 14023-2025</t>
        </is>
      </c>
      <c r="B3213" s="1" t="n">
        <v>45740</v>
      </c>
      <c r="C3213" s="1" t="n">
        <v>45822</v>
      </c>
      <c r="D3213" t="inlineStr">
        <is>
          <t>VÄRMLANDS LÄN</t>
        </is>
      </c>
      <c r="E3213" t="inlineStr">
        <is>
          <t>TORSBY</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14047-2025</t>
        </is>
      </c>
      <c r="B3214" s="1" t="n">
        <v>45740</v>
      </c>
      <c r="C3214" s="1" t="n">
        <v>45822</v>
      </c>
      <c r="D3214" t="inlineStr">
        <is>
          <t>VÄRMLANDS LÄN</t>
        </is>
      </c>
      <c r="E3214" t="inlineStr">
        <is>
          <t>TORSBY</t>
        </is>
      </c>
      <c r="F3214" t="inlineStr">
        <is>
          <t>Bergvik skog väst AB</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14062-2025</t>
        </is>
      </c>
      <c r="B3215" s="1" t="n">
        <v>45740</v>
      </c>
      <c r="C3215" s="1" t="n">
        <v>45822</v>
      </c>
      <c r="D3215" t="inlineStr">
        <is>
          <t>VÄRMLANDS LÄN</t>
        </is>
      </c>
      <c r="E3215" t="inlineStr">
        <is>
          <t>TORSBY</t>
        </is>
      </c>
      <c r="F3215" t="inlineStr">
        <is>
          <t>Bergvik skog väst AB</t>
        </is>
      </c>
      <c r="G3215" t="n">
        <v>41.1</v>
      </c>
      <c r="H3215" t="n">
        <v>0</v>
      </c>
      <c r="I3215" t="n">
        <v>0</v>
      </c>
      <c r="J3215" t="n">
        <v>0</v>
      </c>
      <c r="K3215" t="n">
        <v>0</v>
      </c>
      <c r="L3215" t="n">
        <v>0</v>
      </c>
      <c r="M3215" t="n">
        <v>0</v>
      </c>
      <c r="N3215" t="n">
        <v>0</v>
      </c>
      <c r="O3215" t="n">
        <v>0</v>
      </c>
      <c r="P3215" t="n">
        <v>0</v>
      </c>
      <c r="Q3215" t="n">
        <v>0</v>
      </c>
      <c r="R3215" s="2" t="inlineStr"/>
    </row>
    <row r="3216" ht="15" customHeight="1">
      <c r="A3216" t="inlineStr">
        <is>
          <t>A 14162-2025</t>
        </is>
      </c>
      <c r="B3216" s="1" t="n">
        <v>45740</v>
      </c>
      <c r="C3216" s="1" t="n">
        <v>45822</v>
      </c>
      <c r="D3216" t="inlineStr">
        <is>
          <t>VÄRMLANDS LÄN</t>
        </is>
      </c>
      <c r="E3216" t="inlineStr">
        <is>
          <t>TORSBY</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14120-2025</t>
        </is>
      </c>
      <c r="B3217" s="1" t="n">
        <v>45740</v>
      </c>
      <c r="C3217" s="1" t="n">
        <v>45822</v>
      </c>
      <c r="D3217" t="inlineStr">
        <is>
          <t>VÄRMLANDS LÄN</t>
        </is>
      </c>
      <c r="E3217" t="inlineStr">
        <is>
          <t>TORSBY</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14301-2025</t>
        </is>
      </c>
      <c r="B3218" s="1" t="n">
        <v>45740</v>
      </c>
      <c r="C3218" s="1" t="n">
        <v>45822</v>
      </c>
      <c r="D3218" t="inlineStr">
        <is>
          <t>VÄRMLANDS LÄN</t>
        </is>
      </c>
      <c r="E3218" t="inlineStr">
        <is>
          <t>TORSBY</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14413-2025</t>
        </is>
      </c>
      <c r="B3219" s="1" t="n">
        <v>45741</v>
      </c>
      <c r="C3219" s="1" t="n">
        <v>45822</v>
      </c>
      <c r="D3219" t="inlineStr">
        <is>
          <t>VÄRMLANDS LÄN</t>
        </is>
      </c>
      <c r="E3219" t="inlineStr">
        <is>
          <t>TORSBY</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14367-2025</t>
        </is>
      </c>
      <c r="B3220" s="1" t="n">
        <v>45741</v>
      </c>
      <c r="C3220" s="1" t="n">
        <v>45822</v>
      </c>
      <c r="D3220" t="inlineStr">
        <is>
          <t>VÄRMLANDS LÄN</t>
        </is>
      </c>
      <c r="E3220" t="inlineStr">
        <is>
          <t>TORSBY</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14419-2025</t>
        </is>
      </c>
      <c r="B3221" s="1" t="n">
        <v>45741</v>
      </c>
      <c r="C3221" s="1" t="n">
        <v>45822</v>
      </c>
      <c r="D3221" t="inlineStr">
        <is>
          <t>VÄRMLANDS LÄN</t>
        </is>
      </c>
      <c r="E3221" t="inlineStr">
        <is>
          <t>TORSBY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14525-2025</t>
        </is>
      </c>
      <c r="B3222" s="1" t="n">
        <v>45741</v>
      </c>
      <c r="C3222" s="1" t="n">
        <v>45822</v>
      </c>
      <c r="D3222" t="inlineStr">
        <is>
          <t>VÄRMLANDS LÄN</t>
        </is>
      </c>
      <c r="E3222" t="inlineStr">
        <is>
          <t>TORSBY</t>
        </is>
      </c>
      <c r="F3222" t="inlineStr">
        <is>
          <t>Bergvik skog väst AB</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14369-2025</t>
        </is>
      </c>
      <c r="B3223" s="1" t="n">
        <v>45741</v>
      </c>
      <c r="C3223" s="1" t="n">
        <v>45822</v>
      </c>
      <c r="D3223" t="inlineStr">
        <is>
          <t>VÄRMLANDS LÄN</t>
        </is>
      </c>
      <c r="E3223" t="inlineStr">
        <is>
          <t>TORSBY</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14575-2025</t>
        </is>
      </c>
      <c r="B3224" s="1" t="n">
        <v>45742</v>
      </c>
      <c r="C3224" s="1" t="n">
        <v>45822</v>
      </c>
      <c r="D3224" t="inlineStr">
        <is>
          <t>VÄRMLANDS LÄN</t>
        </is>
      </c>
      <c r="E3224" t="inlineStr">
        <is>
          <t>TORSBY</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14613-2025</t>
        </is>
      </c>
      <c r="B3225" s="1" t="n">
        <v>45742</v>
      </c>
      <c r="C3225" s="1" t="n">
        <v>45822</v>
      </c>
      <c r="D3225" t="inlineStr">
        <is>
          <t>VÄRMLANDS LÄN</t>
        </is>
      </c>
      <c r="E3225" t="inlineStr">
        <is>
          <t>TORSBY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14614-2025</t>
        </is>
      </c>
      <c r="B3226" s="1" t="n">
        <v>45742</v>
      </c>
      <c r="C3226" s="1" t="n">
        <v>45822</v>
      </c>
      <c r="D3226" t="inlineStr">
        <is>
          <t>VÄRMLANDS LÄN</t>
        </is>
      </c>
      <c r="E3226" t="inlineStr">
        <is>
          <t>TORSBY</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15019-2025</t>
        </is>
      </c>
      <c r="B3227" s="1" t="n">
        <v>45743</v>
      </c>
      <c r="C3227" s="1" t="n">
        <v>45822</v>
      </c>
      <c r="D3227" t="inlineStr">
        <is>
          <t>VÄRMLANDS LÄN</t>
        </is>
      </c>
      <c r="E3227" t="inlineStr">
        <is>
          <t>TORSBY</t>
        </is>
      </c>
      <c r="F3227" t="inlineStr">
        <is>
          <t>Övriga statliga verk och myndigheter</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14967-2025</t>
        </is>
      </c>
      <c r="B3228" s="1" t="n">
        <v>45743</v>
      </c>
      <c r="C3228" s="1" t="n">
        <v>45822</v>
      </c>
      <c r="D3228" t="inlineStr">
        <is>
          <t>VÄRMLANDS LÄN</t>
        </is>
      </c>
      <c r="E3228" t="inlineStr">
        <is>
          <t>TORSBY</t>
        </is>
      </c>
      <c r="F3228" t="inlineStr">
        <is>
          <t>Bergvik skog väst AB</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14802-2025</t>
        </is>
      </c>
      <c r="B3229" s="1" t="n">
        <v>45743</v>
      </c>
      <c r="C3229" s="1" t="n">
        <v>45822</v>
      </c>
      <c r="D3229" t="inlineStr">
        <is>
          <t>VÄRMLANDS LÄN</t>
        </is>
      </c>
      <c r="E3229" t="inlineStr">
        <is>
          <t>TORSBY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14801-2025</t>
        </is>
      </c>
      <c r="B3230" s="1" t="n">
        <v>45743</v>
      </c>
      <c r="C3230" s="1" t="n">
        <v>45822</v>
      </c>
      <c r="D3230" t="inlineStr">
        <is>
          <t>VÄRMLANDS LÄN</t>
        </is>
      </c>
      <c r="E3230" t="inlineStr">
        <is>
          <t>TORSBY</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15170-2025</t>
        </is>
      </c>
      <c r="B3231" s="1" t="n">
        <v>45743</v>
      </c>
      <c r="C3231" s="1" t="n">
        <v>45822</v>
      </c>
      <c r="D3231" t="inlineStr">
        <is>
          <t>VÄRMLANDS LÄN</t>
        </is>
      </c>
      <c r="E3231" t="inlineStr">
        <is>
          <t>TORSBY</t>
        </is>
      </c>
      <c r="G3231" t="n">
        <v>12.5</v>
      </c>
      <c r="H3231" t="n">
        <v>0</v>
      </c>
      <c r="I3231" t="n">
        <v>0</v>
      </c>
      <c r="J3231" t="n">
        <v>0</v>
      </c>
      <c r="K3231" t="n">
        <v>0</v>
      </c>
      <c r="L3231" t="n">
        <v>0</v>
      </c>
      <c r="M3231" t="n">
        <v>0</v>
      </c>
      <c r="N3231" t="n">
        <v>0</v>
      </c>
      <c r="O3231" t="n">
        <v>0</v>
      </c>
      <c r="P3231" t="n">
        <v>0</v>
      </c>
      <c r="Q3231" t="n">
        <v>0</v>
      </c>
      <c r="R3231" s="2" t="inlineStr"/>
    </row>
    <row r="3232" ht="15" customHeight="1">
      <c r="A3232" t="inlineStr">
        <is>
          <t>A 15022-2025</t>
        </is>
      </c>
      <c r="B3232" s="1" t="n">
        <v>45743</v>
      </c>
      <c r="C3232" s="1" t="n">
        <v>45822</v>
      </c>
      <c r="D3232" t="inlineStr">
        <is>
          <t>VÄRMLANDS LÄN</t>
        </is>
      </c>
      <c r="E3232" t="inlineStr">
        <is>
          <t>TORSBY</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14800-2025</t>
        </is>
      </c>
      <c r="B3233" s="1" t="n">
        <v>45743</v>
      </c>
      <c r="C3233" s="1" t="n">
        <v>45822</v>
      </c>
      <c r="D3233" t="inlineStr">
        <is>
          <t>VÄRMLANDS LÄN</t>
        </is>
      </c>
      <c r="E3233" t="inlineStr">
        <is>
          <t>TORSBY</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15014-2025</t>
        </is>
      </c>
      <c r="B3234" s="1" t="n">
        <v>45743</v>
      </c>
      <c r="C3234" s="1" t="n">
        <v>45822</v>
      </c>
      <c r="D3234" t="inlineStr">
        <is>
          <t>VÄRMLANDS LÄN</t>
        </is>
      </c>
      <c r="E3234" t="inlineStr">
        <is>
          <t>TORSBY</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15063-2025</t>
        </is>
      </c>
      <c r="B3235" s="1" t="n">
        <v>45743</v>
      </c>
      <c r="C3235" s="1" t="n">
        <v>45822</v>
      </c>
      <c r="D3235" t="inlineStr">
        <is>
          <t>VÄRMLANDS LÄN</t>
        </is>
      </c>
      <c r="E3235" t="inlineStr">
        <is>
          <t>TORSBY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15154-2025</t>
        </is>
      </c>
      <c r="B3236" s="1" t="n">
        <v>45744</v>
      </c>
      <c r="C3236" s="1" t="n">
        <v>45822</v>
      </c>
      <c r="D3236" t="inlineStr">
        <is>
          <t>VÄRMLANDS LÄN</t>
        </is>
      </c>
      <c r="E3236" t="inlineStr">
        <is>
          <t>TORSBY</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15192-2025</t>
        </is>
      </c>
      <c r="B3237" s="1" t="n">
        <v>45744</v>
      </c>
      <c r="C3237" s="1" t="n">
        <v>45822</v>
      </c>
      <c r="D3237" t="inlineStr">
        <is>
          <t>VÄRMLANDS LÄN</t>
        </is>
      </c>
      <c r="E3237" t="inlineStr">
        <is>
          <t>TORSBY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15169-2025</t>
        </is>
      </c>
      <c r="B3238" s="1" t="n">
        <v>45744</v>
      </c>
      <c r="C3238" s="1" t="n">
        <v>45822</v>
      </c>
      <c r="D3238" t="inlineStr">
        <is>
          <t>VÄRMLANDS LÄN</t>
        </is>
      </c>
      <c r="E3238" t="inlineStr">
        <is>
          <t>TORSBY</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15398-2025</t>
        </is>
      </c>
      <c r="B3239" s="1" t="n">
        <v>45747</v>
      </c>
      <c r="C3239" s="1" t="n">
        <v>45822</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15431-2025</t>
        </is>
      </c>
      <c r="B3240" s="1" t="n">
        <v>45747</v>
      </c>
      <c r="C3240" s="1" t="n">
        <v>45822</v>
      </c>
      <c r="D3240" t="inlineStr">
        <is>
          <t>VÄRMLANDS LÄN</t>
        </is>
      </c>
      <c r="E3240" t="inlineStr">
        <is>
          <t>TORSBY</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15464-2025</t>
        </is>
      </c>
      <c r="B3241" s="1" t="n">
        <v>45747</v>
      </c>
      <c r="C3241" s="1" t="n">
        <v>45822</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15564-2025</t>
        </is>
      </c>
      <c r="B3242" s="1" t="n">
        <v>45747</v>
      </c>
      <c r="C3242" s="1" t="n">
        <v>45822</v>
      </c>
      <c r="D3242" t="inlineStr">
        <is>
          <t>VÄRMLANDS LÄN</t>
        </is>
      </c>
      <c r="E3242" t="inlineStr">
        <is>
          <t>TORSBY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15768-2025</t>
        </is>
      </c>
      <c r="B3243" s="1" t="n">
        <v>45748</v>
      </c>
      <c r="C3243" s="1" t="n">
        <v>45822</v>
      </c>
      <c r="D3243" t="inlineStr">
        <is>
          <t>VÄRMLANDS LÄN</t>
        </is>
      </c>
      <c r="E3243" t="inlineStr">
        <is>
          <t>TORSBY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15660-2025</t>
        </is>
      </c>
      <c r="B3244" s="1" t="n">
        <v>45748</v>
      </c>
      <c r="C3244" s="1" t="n">
        <v>45822</v>
      </c>
      <c r="D3244" t="inlineStr">
        <is>
          <t>VÄRMLANDS LÄN</t>
        </is>
      </c>
      <c r="E3244" t="inlineStr">
        <is>
          <t>TORSBY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15698-2025</t>
        </is>
      </c>
      <c r="B3245" s="1" t="n">
        <v>45748</v>
      </c>
      <c r="C3245" s="1" t="n">
        <v>45822</v>
      </c>
      <c r="D3245" t="inlineStr">
        <is>
          <t>VÄRMLANDS LÄN</t>
        </is>
      </c>
      <c r="E3245" t="inlineStr">
        <is>
          <t>TORSBY</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15873-2025</t>
        </is>
      </c>
      <c r="B3246" s="1" t="n">
        <v>45749</v>
      </c>
      <c r="C3246" s="1" t="n">
        <v>45822</v>
      </c>
      <c r="D3246" t="inlineStr">
        <is>
          <t>VÄRMLANDS LÄN</t>
        </is>
      </c>
      <c r="E3246" t="inlineStr">
        <is>
          <t>TORSBY</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15931-2025</t>
        </is>
      </c>
      <c r="B3247" s="1" t="n">
        <v>45749</v>
      </c>
      <c r="C3247" s="1" t="n">
        <v>45822</v>
      </c>
      <c r="D3247" t="inlineStr">
        <is>
          <t>VÄRMLANDS LÄN</t>
        </is>
      </c>
      <c r="E3247" t="inlineStr">
        <is>
          <t>TORSBY</t>
        </is>
      </c>
      <c r="F3247" t="inlineStr">
        <is>
          <t>Bergvik skog väst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15959-2025</t>
        </is>
      </c>
      <c r="B3248" s="1" t="n">
        <v>45749</v>
      </c>
      <c r="C3248" s="1" t="n">
        <v>45822</v>
      </c>
      <c r="D3248" t="inlineStr">
        <is>
          <t>VÄRMLANDS LÄN</t>
        </is>
      </c>
      <c r="E3248" t="inlineStr">
        <is>
          <t>TORSBY</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15885-2025</t>
        </is>
      </c>
      <c r="B3249" s="1" t="n">
        <v>45749</v>
      </c>
      <c r="C3249" s="1" t="n">
        <v>45822</v>
      </c>
      <c r="D3249" t="inlineStr">
        <is>
          <t>VÄRMLANDS LÄN</t>
        </is>
      </c>
      <c r="E3249" t="inlineStr">
        <is>
          <t>TORSBY</t>
        </is>
      </c>
      <c r="G3249" t="n">
        <v>9.9</v>
      </c>
      <c r="H3249" t="n">
        <v>0</v>
      </c>
      <c r="I3249" t="n">
        <v>0</v>
      </c>
      <c r="J3249" t="n">
        <v>0</v>
      </c>
      <c r="K3249" t="n">
        <v>0</v>
      </c>
      <c r="L3249" t="n">
        <v>0</v>
      </c>
      <c r="M3249" t="n">
        <v>0</v>
      </c>
      <c r="N3249" t="n">
        <v>0</v>
      </c>
      <c r="O3249" t="n">
        <v>0</v>
      </c>
      <c r="P3249" t="n">
        <v>0</v>
      </c>
      <c r="Q3249" t="n">
        <v>0</v>
      </c>
      <c r="R3249" s="2" t="inlineStr"/>
    </row>
    <row r="3250" ht="15" customHeight="1">
      <c r="A3250" t="inlineStr">
        <is>
          <t>A 16017-2025</t>
        </is>
      </c>
      <c r="B3250" s="1" t="n">
        <v>45749</v>
      </c>
      <c r="C3250" s="1" t="n">
        <v>45822</v>
      </c>
      <c r="D3250" t="inlineStr">
        <is>
          <t>VÄRMLANDS LÄN</t>
        </is>
      </c>
      <c r="E3250" t="inlineStr">
        <is>
          <t>TORSBY</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16003-2025</t>
        </is>
      </c>
      <c r="B3251" s="1" t="n">
        <v>45749</v>
      </c>
      <c r="C3251" s="1" t="n">
        <v>45822</v>
      </c>
      <c r="D3251" t="inlineStr">
        <is>
          <t>VÄRMLANDS LÄN</t>
        </is>
      </c>
      <c r="E3251" t="inlineStr">
        <is>
          <t>TORSBY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16192-2025</t>
        </is>
      </c>
      <c r="B3252" s="1" t="n">
        <v>45750</v>
      </c>
      <c r="C3252" s="1" t="n">
        <v>45822</v>
      </c>
      <c r="D3252" t="inlineStr">
        <is>
          <t>VÄRMLANDS LÄN</t>
        </is>
      </c>
      <c r="E3252" t="inlineStr">
        <is>
          <t>TORSBY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16210-2025</t>
        </is>
      </c>
      <c r="B3253" s="1" t="n">
        <v>45750</v>
      </c>
      <c r="C3253" s="1" t="n">
        <v>45822</v>
      </c>
      <c r="D3253" t="inlineStr">
        <is>
          <t>VÄRMLANDS LÄN</t>
        </is>
      </c>
      <c r="E3253" t="inlineStr">
        <is>
          <t>TORSBY</t>
        </is>
      </c>
      <c r="F3253" t="inlineStr">
        <is>
          <t>Bergvik skog väst AB</t>
        </is>
      </c>
      <c r="G3253" t="n">
        <v>10.7</v>
      </c>
      <c r="H3253" t="n">
        <v>0</v>
      </c>
      <c r="I3253" t="n">
        <v>0</v>
      </c>
      <c r="J3253" t="n">
        <v>0</v>
      </c>
      <c r="K3253" t="n">
        <v>0</v>
      </c>
      <c r="L3253" t="n">
        <v>0</v>
      </c>
      <c r="M3253" t="n">
        <v>0</v>
      </c>
      <c r="N3253" t="n">
        <v>0</v>
      </c>
      <c r="O3253" t="n">
        <v>0</v>
      </c>
      <c r="P3253" t="n">
        <v>0</v>
      </c>
      <c r="Q3253" t="n">
        <v>0</v>
      </c>
      <c r="R3253" s="2" t="inlineStr"/>
    </row>
    <row r="3254" ht="15" customHeight="1">
      <c r="A3254" t="inlineStr">
        <is>
          <t>A 16222-2025</t>
        </is>
      </c>
      <c r="B3254" s="1" t="n">
        <v>45750</v>
      </c>
      <c r="C3254" s="1" t="n">
        <v>45822</v>
      </c>
      <c r="D3254" t="inlineStr">
        <is>
          <t>VÄRMLANDS LÄN</t>
        </is>
      </c>
      <c r="E3254" t="inlineStr">
        <is>
          <t>TORSBY</t>
        </is>
      </c>
      <c r="F3254" t="inlineStr">
        <is>
          <t>Bergvik skog väst AB</t>
        </is>
      </c>
      <c r="G3254" t="n">
        <v>20</v>
      </c>
      <c r="H3254" t="n">
        <v>0</v>
      </c>
      <c r="I3254" t="n">
        <v>0</v>
      </c>
      <c r="J3254" t="n">
        <v>0</v>
      </c>
      <c r="K3254" t="n">
        <v>0</v>
      </c>
      <c r="L3254" t="n">
        <v>0</v>
      </c>
      <c r="M3254" t="n">
        <v>0</v>
      </c>
      <c r="N3254" t="n">
        <v>0</v>
      </c>
      <c r="O3254" t="n">
        <v>0</v>
      </c>
      <c r="P3254" t="n">
        <v>0</v>
      </c>
      <c r="Q3254" t="n">
        <v>0</v>
      </c>
      <c r="R3254" s="2" t="inlineStr"/>
    </row>
    <row r="3255" ht="15" customHeight="1">
      <c r="A3255" t="inlineStr">
        <is>
          <t>A 16136-2025</t>
        </is>
      </c>
      <c r="B3255" s="1" t="n">
        <v>45750</v>
      </c>
      <c r="C3255" s="1" t="n">
        <v>45822</v>
      </c>
      <c r="D3255" t="inlineStr">
        <is>
          <t>VÄRMLANDS LÄN</t>
        </is>
      </c>
      <c r="E3255" t="inlineStr">
        <is>
          <t>TORSBY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16380-2025</t>
        </is>
      </c>
      <c r="B3256" s="1" t="n">
        <v>45751</v>
      </c>
      <c r="C3256" s="1" t="n">
        <v>45822</v>
      </c>
      <c r="D3256" t="inlineStr">
        <is>
          <t>VÄRMLANDS LÄN</t>
        </is>
      </c>
      <c r="E3256" t="inlineStr">
        <is>
          <t>TORSBY</t>
        </is>
      </c>
      <c r="F3256" t="inlineStr">
        <is>
          <t>Bergvik skog väst AB</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16333-2025</t>
        </is>
      </c>
      <c r="B3257" s="1" t="n">
        <v>45751</v>
      </c>
      <c r="C3257" s="1" t="n">
        <v>45822</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16362-2025</t>
        </is>
      </c>
      <c r="B3258" s="1" t="n">
        <v>45751</v>
      </c>
      <c r="C3258" s="1" t="n">
        <v>45822</v>
      </c>
      <c r="D3258" t="inlineStr">
        <is>
          <t>VÄRMLANDS LÄN</t>
        </is>
      </c>
      <c r="E3258" t="inlineStr">
        <is>
          <t>TORSBY</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16329-2025</t>
        </is>
      </c>
      <c r="B3259" s="1" t="n">
        <v>45751</v>
      </c>
      <c r="C3259" s="1" t="n">
        <v>45822</v>
      </c>
      <c r="D3259" t="inlineStr">
        <is>
          <t>VÄRMLANDS LÄN</t>
        </is>
      </c>
      <c r="E3259" t="inlineStr">
        <is>
          <t>TORSBY</t>
        </is>
      </c>
      <c r="F3259" t="inlineStr">
        <is>
          <t>Bergvik skog väst AB</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17048-2025</t>
        </is>
      </c>
      <c r="B3260" s="1" t="n">
        <v>45754</v>
      </c>
      <c r="C3260" s="1" t="n">
        <v>45822</v>
      </c>
      <c r="D3260" t="inlineStr">
        <is>
          <t>VÄRMLANDS LÄN</t>
        </is>
      </c>
      <c r="E3260" t="inlineStr">
        <is>
          <t>TORSBY</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16872-2025</t>
        </is>
      </c>
      <c r="B3261" s="1" t="n">
        <v>45754</v>
      </c>
      <c r="C3261" s="1" t="n">
        <v>45822</v>
      </c>
      <c r="D3261" t="inlineStr">
        <is>
          <t>VÄRMLANDS LÄN</t>
        </is>
      </c>
      <c r="E3261" t="inlineStr">
        <is>
          <t>TORSBY</t>
        </is>
      </c>
      <c r="G3261" t="n">
        <v>16.6</v>
      </c>
      <c r="H3261" t="n">
        <v>0</v>
      </c>
      <c r="I3261" t="n">
        <v>0</v>
      </c>
      <c r="J3261" t="n">
        <v>0</v>
      </c>
      <c r="K3261" t="n">
        <v>0</v>
      </c>
      <c r="L3261" t="n">
        <v>0</v>
      </c>
      <c r="M3261" t="n">
        <v>0</v>
      </c>
      <c r="N3261" t="n">
        <v>0</v>
      </c>
      <c r="O3261" t="n">
        <v>0</v>
      </c>
      <c r="P3261" t="n">
        <v>0</v>
      </c>
      <c r="Q3261" t="n">
        <v>0</v>
      </c>
      <c r="R3261" s="2" t="inlineStr"/>
    </row>
    <row r="3262" ht="15" customHeight="1">
      <c r="A3262" t="inlineStr">
        <is>
          <t>A 17065-2025</t>
        </is>
      </c>
      <c r="B3262" s="1" t="n">
        <v>45754</v>
      </c>
      <c r="C3262" s="1" t="n">
        <v>45822</v>
      </c>
      <c r="D3262" t="inlineStr">
        <is>
          <t>VÄRMLANDS LÄN</t>
        </is>
      </c>
      <c r="E3262" t="inlineStr">
        <is>
          <t>TORSBY</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17062-2025</t>
        </is>
      </c>
      <c r="B3263" s="1" t="n">
        <v>45754</v>
      </c>
      <c r="C3263" s="1" t="n">
        <v>45822</v>
      </c>
      <c r="D3263" t="inlineStr">
        <is>
          <t>VÄRMLANDS LÄN</t>
        </is>
      </c>
      <c r="E3263" t="inlineStr">
        <is>
          <t>TORSBY</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17039-2025</t>
        </is>
      </c>
      <c r="B3264" s="1" t="n">
        <v>45754</v>
      </c>
      <c r="C3264" s="1" t="n">
        <v>45822</v>
      </c>
      <c r="D3264" t="inlineStr">
        <is>
          <t>VÄRMLANDS LÄN</t>
        </is>
      </c>
      <c r="E3264" t="inlineStr">
        <is>
          <t>TORSBY</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17053-2025</t>
        </is>
      </c>
      <c r="B3265" s="1" t="n">
        <v>45754</v>
      </c>
      <c r="C3265" s="1" t="n">
        <v>45822</v>
      </c>
      <c r="D3265" t="inlineStr">
        <is>
          <t>VÄRMLANDS LÄN</t>
        </is>
      </c>
      <c r="E3265" t="inlineStr">
        <is>
          <t>TORSBY</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16994-2025</t>
        </is>
      </c>
      <c r="B3266" s="1" t="n">
        <v>45755</v>
      </c>
      <c r="C3266" s="1" t="n">
        <v>45822</v>
      </c>
      <c r="D3266" t="inlineStr">
        <is>
          <t>VÄRMLANDS LÄN</t>
        </is>
      </c>
      <c r="E3266" t="inlineStr">
        <is>
          <t>TORSBY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16949-2025</t>
        </is>
      </c>
      <c r="B3267" s="1" t="n">
        <v>45755</v>
      </c>
      <c r="C3267" s="1" t="n">
        <v>45822</v>
      </c>
      <c r="D3267" t="inlineStr">
        <is>
          <t>VÄRMLANDS LÄN</t>
        </is>
      </c>
      <c r="E3267" t="inlineStr">
        <is>
          <t>TORSBY</t>
        </is>
      </c>
      <c r="F3267" t="inlineStr">
        <is>
          <t>Bergvik skog väst AB</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17018-2025</t>
        </is>
      </c>
      <c r="B3268" s="1" t="n">
        <v>45755</v>
      </c>
      <c r="C3268" s="1" t="n">
        <v>45822</v>
      </c>
      <c r="D3268" t="inlineStr">
        <is>
          <t>VÄRMLANDS LÄN</t>
        </is>
      </c>
      <c r="E3268" t="inlineStr">
        <is>
          <t>TORSBY</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17175-2025</t>
        </is>
      </c>
      <c r="B3269" s="1" t="n">
        <v>45756</v>
      </c>
      <c r="C3269" s="1" t="n">
        <v>45822</v>
      </c>
      <c r="D3269" t="inlineStr">
        <is>
          <t>VÄRMLANDS LÄN</t>
        </is>
      </c>
      <c r="E3269" t="inlineStr">
        <is>
          <t>TORSBY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17153-2025</t>
        </is>
      </c>
      <c r="B3270" s="1" t="n">
        <v>45756</v>
      </c>
      <c r="C3270" s="1" t="n">
        <v>45822</v>
      </c>
      <c r="D3270" t="inlineStr">
        <is>
          <t>VÄRMLANDS LÄN</t>
        </is>
      </c>
      <c r="E3270" t="inlineStr">
        <is>
          <t>TORSBY</t>
        </is>
      </c>
      <c r="F3270" t="inlineStr">
        <is>
          <t>Bergvik skog väst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17417-2025</t>
        </is>
      </c>
      <c r="B3271" s="1" t="n">
        <v>45757</v>
      </c>
      <c r="C3271" s="1" t="n">
        <v>45822</v>
      </c>
      <c r="D3271" t="inlineStr">
        <is>
          <t>VÄRMLANDS LÄN</t>
        </is>
      </c>
      <c r="E3271" t="inlineStr">
        <is>
          <t>TORSBY</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17750-2025</t>
        </is>
      </c>
      <c r="B3272" s="1" t="n">
        <v>45758</v>
      </c>
      <c r="C3272" s="1" t="n">
        <v>45822</v>
      </c>
      <c r="D3272" t="inlineStr">
        <is>
          <t>VÄRMLANDS LÄN</t>
        </is>
      </c>
      <c r="E3272" t="inlineStr">
        <is>
          <t>TORSBY</t>
        </is>
      </c>
      <c r="F3272" t="inlineStr">
        <is>
          <t>Kommuner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17676-2025</t>
        </is>
      </c>
      <c r="B3273" s="1" t="n">
        <v>45758</v>
      </c>
      <c r="C3273" s="1" t="n">
        <v>45822</v>
      </c>
      <c r="D3273" t="inlineStr">
        <is>
          <t>VÄRMLANDS LÄN</t>
        </is>
      </c>
      <c r="E3273" t="inlineStr">
        <is>
          <t>TORSBY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17841-2025</t>
        </is>
      </c>
      <c r="B3274" s="1" t="n">
        <v>45758</v>
      </c>
      <c r="C3274" s="1" t="n">
        <v>45822</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17754-2025</t>
        </is>
      </c>
      <c r="B3275" s="1" t="n">
        <v>45758</v>
      </c>
      <c r="C3275" s="1" t="n">
        <v>45822</v>
      </c>
      <c r="D3275" t="inlineStr">
        <is>
          <t>VÄRMLANDS LÄN</t>
        </is>
      </c>
      <c r="E3275" t="inlineStr">
        <is>
          <t>TORSBY</t>
        </is>
      </c>
      <c r="F3275" t="inlineStr">
        <is>
          <t>Bergvik skog väst AB</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18096-2025</t>
        </is>
      </c>
      <c r="B3276" s="1" t="n">
        <v>45761</v>
      </c>
      <c r="C3276" s="1" t="n">
        <v>45822</v>
      </c>
      <c r="D3276" t="inlineStr">
        <is>
          <t>VÄRMLANDS LÄN</t>
        </is>
      </c>
      <c r="E3276" t="inlineStr">
        <is>
          <t>TORSBY</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18115-2025</t>
        </is>
      </c>
      <c r="B3277" s="1" t="n">
        <v>45761</v>
      </c>
      <c r="C3277" s="1" t="n">
        <v>45822</v>
      </c>
      <c r="D3277" t="inlineStr">
        <is>
          <t>VÄRMLANDS LÄN</t>
        </is>
      </c>
      <c r="E3277" t="inlineStr">
        <is>
          <t>TORSBY</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18314-2025</t>
        </is>
      </c>
      <c r="B3278" s="1" t="n">
        <v>45762</v>
      </c>
      <c r="C3278" s="1" t="n">
        <v>45822</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18480-2025</t>
        </is>
      </c>
      <c r="B3279" s="1" t="n">
        <v>45763</v>
      </c>
      <c r="C3279" s="1" t="n">
        <v>45822</v>
      </c>
      <c r="D3279" t="inlineStr">
        <is>
          <t>VÄRMLANDS LÄN</t>
        </is>
      </c>
      <c r="E3279" t="inlineStr">
        <is>
          <t>TORSBY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18258-2025</t>
        </is>
      </c>
      <c r="B3280" s="1" t="n">
        <v>45762</v>
      </c>
      <c r="C3280" s="1" t="n">
        <v>45822</v>
      </c>
      <c r="D3280" t="inlineStr">
        <is>
          <t>VÄRMLANDS LÄN</t>
        </is>
      </c>
      <c r="E3280" t="inlineStr">
        <is>
          <t>TORSBY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18402-2025</t>
        </is>
      </c>
      <c r="B3281" s="1" t="n">
        <v>45762</v>
      </c>
      <c r="C3281" s="1" t="n">
        <v>45822</v>
      </c>
      <c r="D3281" t="inlineStr">
        <is>
          <t>VÄRMLANDS LÄN</t>
        </is>
      </c>
      <c r="E3281" t="inlineStr">
        <is>
          <t>TORSBY</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18447-2025</t>
        </is>
      </c>
      <c r="B3282" s="1" t="n">
        <v>45762</v>
      </c>
      <c r="C3282" s="1" t="n">
        <v>45822</v>
      </c>
      <c r="D3282" t="inlineStr">
        <is>
          <t>VÄRMLANDS LÄN</t>
        </is>
      </c>
      <c r="E3282" t="inlineStr">
        <is>
          <t>TORSBY</t>
        </is>
      </c>
      <c r="G3282" t="n">
        <v>12.8</v>
      </c>
      <c r="H3282" t="n">
        <v>0</v>
      </c>
      <c r="I3282" t="n">
        <v>0</v>
      </c>
      <c r="J3282" t="n">
        <v>0</v>
      </c>
      <c r="K3282" t="n">
        <v>0</v>
      </c>
      <c r="L3282" t="n">
        <v>0</v>
      </c>
      <c r="M3282" t="n">
        <v>0</v>
      </c>
      <c r="N3282" t="n">
        <v>0</v>
      </c>
      <c r="O3282" t="n">
        <v>0</v>
      </c>
      <c r="P3282" t="n">
        <v>0</v>
      </c>
      <c r="Q3282" t="n">
        <v>0</v>
      </c>
      <c r="R3282" s="2" t="inlineStr"/>
    </row>
    <row r="3283" ht="15" customHeight="1">
      <c r="A3283" t="inlineStr">
        <is>
          <t>A 18462-2025</t>
        </is>
      </c>
      <c r="B3283" s="1" t="n">
        <v>45762</v>
      </c>
      <c r="C3283" s="1" t="n">
        <v>45822</v>
      </c>
      <c r="D3283" t="inlineStr">
        <is>
          <t>VÄRMLANDS LÄN</t>
        </is>
      </c>
      <c r="E3283" t="inlineStr">
        <is>
          <t>TORSBY</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18331-2025</t>
        </is>
      </c>
      <c r="B3284" s="1" t="n">
        <v>45762</v>
      </c>
      <c r="C3284" s="1" t="n">
        <v>45822</v>
      </c>
      <c r="D3284" t="inlineStr">
        <is>
          <t>VÄRMLANDS LÄN</t>
        </is>
      </c>
      <c r="E3284" t="inlineStr">
        <is>
          <t>TORSBY</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18365-2025</t>
        </is>
      </c>
      <c r="B3285" s="1" t="n">
        <v>45762</v>
      </c>
      <c r="C3285" s="1" t="n">
        <v>45822</v>
      </c>
      <c r="D3285" t="inlineStr">
        <is>
          <t>VÄRMLANDS LÄN</t>
        </is>
      </c>
      <c r="E3285" t="inlineStr">
        <is>
          <t>TORSBY</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18558-2025</t>
        </is>
      </c>
      <c r="B3286" s="1" t="n">
        <v>45763</v>
      </c>
      <c r="C3286" s="1" t="n">
        <v>45822</v>
      </c>
      <c r="D3286" t="inlineStr">
        <is>
          <t>VÄRMLANDS LÄN</t>
        </is>
      </c>
      <c r="E3286" t="inlineStr">
        <is>
          <t>TORSBY</t>
        </is>
      </c>
      <c r="F3286" t="inlineStr">
        <is>
          <t>Bergvik skog väst AB</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18501-2025</t>
        </is>
      </c>
      <c r="B3287" s="1" t="n">
        <v>45763</v>
      </c>
      <c r="C3287" s="1" t="n">
        <v>45822</v>
      </c>
      <c r="D3287" t="inlineStr">
        <is>
          <t>VÄRMLANDS LÄN</t>
        </is>
      </c>
      <c r="E3287" t="inlineStr">
        <is>
          <t>TORSBY</t>
        </is>
      </c>
      <c r="F3287" t="inlineStr">
        <is>
          <t>Bergvik skog väst AB</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18584-2025</t>
        </is>
      </c>
      <c r="B3288" s="1" t="n">
        <v>45763</v>
      </c>
      <c r="C3288" s="1" t="n">
        <v>45822</v>
      </c>
      <c r="D3288" t="inlineStr">
        <is>
          <t>VÄRMLANDS LÄN</t>
        </is>
      </c>
      <c r="E3288" t="inlineStr">
        <is>
          <t>TORSBY</t>
        </is>
      </c>
      <c r="F3288" t="inlineStr">
        <is>
          <t>Kyrkan</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18684-2025</t>
        </is>
      </c>
      <c r="B3289" s="1" t="n">
        <v>45763</v>
      </c>
      <c r="C3289" s="1" t="n">
        <v>45822</v>
      </c>
      <c r="D3289" t="inlineStr">
        <is>
          <t>VÄRMLANDS LÄN</t>
        </is>
      </c>
      <c r="E3289" t="inlineStr">
        <is>
          <t>TORSBY</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18564-2025</t>
        </is>
      </c>
      <c r="B3290" s="1" t="n">
        <v>45763</v>
      </c>
      <c r="C3290" s="1" t="n">
        <v>45822</v>
      </c>
      <c r="D3290" t="inlineStr">
        <is>
          <t>VÄRMLANDS LÄN</t>
        </is>
      </c>
      <c r="E3290" t="inlineStr">
        <is>
          <t>TORSBY</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18595-2025</t>
        </is>
      </c>
      <c r="B3291" s="1" t="n">
        <v>45763</v>
      </c>
      <c r="C3291" s="1" t="n">
        <v>45822</v>
      </c>
      <c r="D3291" t="inlineStr">
        <is>
          <t>VÄRMLANDS LÄN</t>
        </is>
      </c>
      <c r="E3291" t="inlineStr">
        <is>
          <t>TORSBY</t>
        </is>
      </c>
      <c r="F3291" t="inlineStr">
        <is>
          <t>Kyrkan</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18676-2025</t>
        </is>
      </c>
      <c r="B3292" s="1" t="n">
        <v>45763</v>
      </c>
      <c r="C3292" s="1" t="n">
        <v>45822</v>
      </c>
      <c r="D3292" t="inlineStr">
        <is>
          <t>VÄRMLANDS LÄN</t>
        </is>
      </c>
      <c r="E3292" t="inlineStr">
        <is>
          <t>TORSBY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18576-2025</t>
        </is>
      </c>
      <c r="B3293" s="1" t="n">
        <v>45763</v>
      </c>
      <c r="C3293" s="1" t="n">
        <v>45822</v>
      </c>
      <c r="D3293" t="inlineStr">
        <is>
          <t>VÄRMLANDS LÄN</t>
        </is>
      </c>
      <c r="E3293" t="inlineStr">
        <is>
          <t>TORSBY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18973-2025</t>
        </is>
      </c>
      <c r="B3294" s="1" t="n">
        <v>45764</v>
      </c>
      <c r="C3294" s="1" t="n">
        <v>45822</v>
      </c>
      <c r="D3294" t="inlineStr">
        <is>
          <t>VÄRMLANDS LÄN</t>
        </is>
      </c>
      <c r="E3294" t="inlineStr">
        <is>
          <t>TORSBY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18977-2025</t>
        </is>
      </c>
      <c r="B3295" s="1" t="n">
        <v>45764</v>
      </c>
      <c r="C3295" s="1" t="n">
        <v>45822</v>
      </c>
      <c r="D3295" t="inlineStr">
        <is>
          <t>VÄRMLANDS LÄN</t>
        </is>
      </c>
      <c r="E3295" t="inlineStr">
        <is>
          <t>TORSBY</t>
        </is>
      </c>
      <c r="F3295" t="inlineStr">
        <is>
          <t>Bergvik skog väst AB</t>
        </is>
      </c>
      <c r="G3295" t="n">
        <v>24.8</v>
      </c>
      <c r="H3295" t="n">
        <v>0</v>
      </c>
      <c r="I3295" t="n">
        <v>0</v>
      </c>
      <c r="J3295" t="n">
        <v>0</v>
      </c>
      <c r="K3295" t="n">
        <v>0</v>
      </c>
      <c r="L3295" t="n">
        <v>0</v>
      </c>
      <c r="M3295" t="n">
        <v>0</v>
      </c>
      <c r="N3295" t="n">
        <v>0</v>
      </c>
      <c r="O3295" t="n">
        <v>0</v>
      </c>
      <c r="P3295" t="n">
        <v>0</v>
      </c>
      <c r="Q3295" t="n">
        <v>0</v>
      </c>
      <c r="R3295" s="2" t="inlineStr"/>
    </row>
    <row r="3296" ht="15" customHeight="1">
      <c r="A3296" t="inlineStr">
        <is>
          <t>A 19112-2025</t>
        </is>
      </c>
      <c r="B3296" s="1" t="n">
        <v>45768</v>
      </c>
      <c r="C3296" s="1" t="n">
        <v>45822</v>
      </c>
      <c r="D3296" t="inlineStr">
        <is>
          <t>VÄRMLANDS LÄN</t>
        </is>
      </c>
      <c r="E3296" t="inlineStr">
        <is>
          <t>TORSBY</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19113-2025</t>
        </is>
      </c>
      <c r="B3297" s="1" t="n">
        <v>45768</v>
      </c>
      <c r="C3297" s="1" t="n">
        <v>45822</v>
      </c>
      <c r="D3297" t="inlineStr">
        <is>
          <t>VÄRMLANDS LÄN</t>
        </is>
      </c>
      <c r="E3297" t="inlineStr">
        <is>
          <t>TORSBY</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19253-2025</t>
        </is>
      </c>
      <c r="B3298" s="1" t="n">
        <v>45769</v>
      </c>
      <c r="C3298" s="1" t="n">
        <v>45822</v>
      </c>
      <c r="D3298" t="inlineStr">
        <is>
          <t>VÄRMLANDS LÄN</t>
        </is>
      </c>
      <c r="E3298" t="inlineStr">
        <is>
          <t>TORSBY</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19159-2025</t>
        </is>
      </c>
      <c r="B3299" s="1" t="n">
        <v>45769</v>
      </c>
      <c r="C3299" s="1" t="n">
        <v>45822</v>
      </c>
      <c r="D3299" t="inlineStr">
        <is>
          <t>VÄRMLANDS LÄN</t>
        </is>
      </c>
      <c r="E3299" t="inlineStr">
        <is>
          <t>TORSBY</t>
        </is>
      </c>
      <c r="F3299" t="inlineStr">
        <is>
          <t>Bergvik skog väst AB</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19148-2025</t>
        </is>
      </c>
      <c r="B3300" s="1" t="n">
        <v>45769</v>
      </c>
      <c r="C3300" s="1" t="n">
        <v>45822</v>
      </c>
      <c r="D3300" t="inlineStr">
        <is>
          <t>VÄRMLANDS LÄN</t>
        </is>
      </c>
      <c r="E3300" t="inlineStr">
        <is>
          <t>TORSBY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19214-2025</t>
        </is>
      </c>
      <c r="B3301" s="1" t="n">
        <v>45769</v>
      </c>
      <c r="C3301" s="1" t="n">
        <v>45822</v>
      </c>
      <c r="D3301" t="inlineStr">
        <is>
          <t>VÄRMLANDS LÄN</t>
        </is>
      </c>
      <c r="E3301" t="inlineStr">
        <is>
          <t>TORSBY</t>
        </is>
      </c>
      <c r="F3301" t="inlineStr">
        <is>
          <t>Bergvik skog väst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19630-2025</t>
        </is>
      </c>
      <c r="B3302" s="1" t="n">
        <v>45770</v>
      </c>
      <c r="C3302" s="1" t="n">
        <v>45822</v>
      </c>
      <c r="D3302" t="inlineStr">
        <is>
          <t>VÄRMLANDS LÄN</t>
        </is>
      </c>
      <c r="E3302" t="inlineStr">
        <is>
          <t>TORSBY</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19653-2025</t>
        </is>
      </c>
      <c r="B3303" s="1" t="n">
        <v>45770</v>
      </c>
      <c r="C3303" s="1" t="n">
        <v>45822</v>
      </c>
      <c r="D3303" t="inlineStr">
        <is>
          <t>VÄRMLANDS LÄN</t>
        </is>
      </c>
      <c r="E3303" t="inlineStr">
        <is>
          <t>TORSBY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19575-2025</t>
        </is>
      </c>
      <c r="B3304" s="1" t="n">
        <v>45770</v>
      </c>
      <c r="C3304" s="1" t="n">
        <v>45822</v>
      </c>
      <c r="D3304" t="inlineStr">
        <is>
          <t>VÄRMLANDS LÄN</t>
        </is>
      </c>
      <c r="E3304" t="inlineStr">
        <is>
          <t>TORSBY</t>
        </is>
      </c>
      <c r="F3304" t="inlineStr">
        <is>
          <t>Bergvik skog väst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19625-2025</t>
        </is>
      </c>
      <c r="B3305" s="1" t="n">
        <v>45770</v>
      </c>
      <c r="C3305" s="1" t="n">
        <v>45822</v>
      </c>
      <c r="D3305" t="inlineStr">
        <is>
          <t>VÄRMLANDS LÄN</t>
        </is>
      </c>
      <c r="E3305" t="inlineStr">
        <is>
          <t>TORSBY</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19662-2025</t>
        </is>
      </c>
      <c r="B3306" s="1" t="n">
        <v>45770</v>
      </c>
      <c r="C3306" s="1" t="n">
        <v>45822</v>
      </c>
      <c r="D3306" t="inlineStr">
        <is>
          <t>VÄRMLANDS LÄN</t>
        </is>
      </c>
      <c r="E3306" t="inlineStr">
        <is>
          <t>TORSBY</t>
        </is>
      </c>
      <c r="F3306" t="inlineStr">
        <is>
          <t>Bergvik skog väst AB</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19787-2025</t>
        </is>
      </c>
      <c r="B3307" s="1" t="n">
        <v>45771</v>
      </c>
      <c r="C3307" s="1" t="n">
        <v>45822</v>
      </c>
      <c r="D3307" t="inlineStr">
        <is>
          <t>VÄRMLANDS LÄN</t>
        </is>
      </c>
      <c r="E3307" t="inlineStr">
        <is>
          <t>TORSBY</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19791-2025</t>
        </is>
      </c>
      <c r="B3308" s="1" t="n">
        <v>45771</v>
      </c>
      <c r="C3308" s="1" t="n">
        <v>45822</v>
      </c>
      <c r="D3308" t="inlineStr">
        <is>
          <t>VÄRMLANDS LÄN</t>
        </is>
      </c>
      <c r="E3308" t="inlineStr">
        <is>
          <t>TORSBY</t>
        </is>
      </c>
      <c r="F3308" t="inlineStr">
        <is>
          <t>Bergvik skog väst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19964-2025</t>
        </is>
      </c>
      <c r="B3309" s="1" t="n">
        <v>45771</v>
      </c>
      <c r="C3309" s="1" t="n">
        <v>45822</v>
      </c>
      <c r="D3309" t="inlineStr">
        <is>
          <t>VÄRMLANDS LÄN</t>
        </is>
      </c>
      <c r="E3309" t="inlineStr">
        <is>
          <t>TORSBY</t>
        </is>
      </c>
      <c r="F3309" t="inlineStr">
        <is>
          <t>Bergvik skog väst AB</t>
        </is>
      </c>
      <c r="G3309" t="n">
        <v>23.8</v>
      </c>
      <c r="H3309" t="n">
        <v>0</v>
      </c>
      <c r="I3309" t="n">
        <v>0</v>
      </c>
      <c r="J3309" t="n">
        <v>0</v>
      </c>
      <c r="K3309" t="n">
        <v>0</v>
      </c>
      <c r="L3309" t="n">
        <v>0</v>
      </c>
      <c r="M3309" t="n">
        <v>0</v>
      </c>
      <c r="N3309" t="n">
        <v>0</v>
      </c>
      <c r="O3309" t="n">
        <v>0</v>
      </c>
      <c r="P3309" t="n">
        <v>0</v>
      </c>
      <c r="Q3309" t="n">
        <v>0</v>
      </c>
      <c r="R3309" s="2" t="inlineStr"/>
    </row>
    <row r="3310" ht="15" customHeight="1">
      <c r="A3310" t="inlineStr">
        <is>
          <t>A 19743-2025</t>
        </is>
      </c>
      <c r="B3310" s="1" t="n">
        <v>45771</v>
      </c>
      <c r="C3310" s="1" t="n">
        <v>45822</v>
      </c>
      <c r="D3310" t="inlineStr">
        <is>
          <t>VÄRMLANDS LÄN</t>
        </is>
      </c>
      <c r="E3310" t="inlineStr">
        <is>
          <t>TORSBY</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19763-2025</t>
        </is>
      </c>
      <c r="B3311" s="1" t="n">
        <v>45771</v>
      </c>
      <c r="C3311" s="1" t="n">
        <v>45822</v>
      </c>
      <c r="D3311" t="inlineStr">
        <is>
          <t>VÄRMLANDS LÄN</t>
        </is>
      </c>
      <c r="E3311" t="inlineStr">
        <is>
          <t>TORSBY</t>
        </is>
      </c>
      <c r="F3311" t="inlineStr">
        <is>
          <t>Bergvik skog väst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19878-2025</t>
        </is>
      </c>
      <c r="B3312" s="1" t="n">
        <v>45771</v>
      </c>
      <c r="C3312" s="1" t="n">
        <v>45822</v>
      </c>
      <c r="D3312" t="inlineStr">
        <is>
          <t>VÄRMLANDS LÄN</t>
        </is>
      </c>
      <c r="E3312" t="inlineStr">
        <is>
          <t>TORSBY</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20060-2025</t>
        </is>
      </c>
      <c r="B3313" s="1" t="n">
        <v>45772</v>
      </c>
      <c r="C3313" s="1" t="n">
        <v>45822</v>
      </c>
      <c r="D3313" t="inlineStr">
        <is>
          <t>VÄRMLANDS LÄN</t>
        </is>
      </c>
      <c r="E3313" t="inlineStr">
        <is>
          <t>TORSBY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20255-2025</t>
        </is>
      </c>
      <c r="B3314" s="1" t="n">
        <v>45772</v>
      </c>
      <c r="C3314" s="1" t="n">
        <v>45822</v>
      </c>
      <c r="D3314" t="inlineStr">
        <is>
          <t>VÄRMLANDS LÄN</t>
        </is>
      </c>
      <c r="E3314" t="inlineStr">
        <is>
          <t>TORSBY</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20149-2025</t>
        </is>
      </c>
      <c r="B3315" s="1" t="n">
        <v>45772</v>
      </c>
      <c r="C3315" s="1" t="n">
        <v>45822</v>
      </c>
      <c r="D3315" t="inlineStr">
        <is>
          <t>VÄRMLANDS LÄN</t>
        </is>
      </c>
      <c r="E3315" t="inlineStr">
        <is>
          <t>TORSBY</t>
        </is>
      </c>
      <c r="F3315" t="inlineStr">
        <is>
          <t>Bergvik skog väst AB</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20191-2025</t>
        </is>
      </c>
      <c r="B3316" s="1" t="n">
        <v>45772</v>
      </c>
      <c r="C3316" s="1" t="n">
        <v>45822</v>
      </c>
      <c r="D3316" t="inlineStr">
        <is>
          <t>VÄRMLANDS LÄN</t>
        </is>
      </c>
      <c r="E3316" t="inlineStr">
        <is>
          <t>TORSBY</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20309-2025</t>
        </is>
      </c>
      <c r="B3317" s="1" t="n">
        <v>45775</v>
      </c>
      <c r="C3317" s="1" t="n">
        <v>45822</v>
      </c>
      <c r="D3317" t="inlineStr">
        <is>
          <t>VÄRMLANDS LÄN</t>
        </is>
      </c>
      <c r="E3317" t="inlineStr">
        <is>
          <t>TORSBY</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20461-2025</t>
        </is>
      </c>
      <c r="B3318" s="1" t="n">
        <v>45775</v>
      </c>
      <c r="C3318" s="1" t="n">
        <v>45822</v>
      </c>
      <c r="D3318" t="inlineStr">
        <is>
          <t>VÄRMLANDS LÄN</t>
        </is>
      </c>
      <c r="E3318" t="inlineStr">
        <is>
          <t>TORSBY</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20816-2025</t>
        </is>
      </c>
      <c r="B3319" s="1" t="n">
        <v>45776</v>
      </c>
      <c r="C3319" s="1" t="n">
        <v>45822</v>
      </c>
      <c r="D3319" t="inlineStr">
        <is>
          <t>VÄRMLANDS LÄN</t>
        </is>
      </c>
      <c r="E3319" t="inlineStr">
        <is>
          <t>TORSBY</t>
        </is>
      </c>
      <c r="F3319" t="inlineStr">
        <is>
          <t>Bergvik skog väst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20773-2025</t>
        </is>
      </c>
      <c r="B3320" s="1" t="n">
        <v>45776</v>
      </c>
      <c r="C3320" s="1" t="n">
        <v>45822</v>
      </c>
      <c r="D3320" t="inlineStr">
        <is>
          <t>VÄRMLANDS LÄN</t>
        </is>
      </c>
      <c r="E3320" t="inlineStr">
        <is>
          <t>TORSBY</t>
        </is>
      </c>
      <c r="F3320" t="inlineStr">
        <is>
          <t>Bergvik skog väst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20740-2025</t>
        </is>
      </c>
      <c r="B3321" s="1" t="n">
        <v>45776</v>
      </c>
      <c r="C3321" s="1" t="n">
        <v>45822</v>
      </c>
      <c r="D3321" t="inlineStr">
        <is>
          <t>VÄRMLANDS LÄN</t>
        </is>
      </c>
      <c r="E3321" t="inlineStr">
        <is>
          <t>TORSBY</t>
        </is>
      </c>
      <c r="F3321" t="inlineStr">
        <is>
          <t>Bergvik skog väst AB</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20843-2025</t>
        </is>
      </c>
      <c r="B3322" s="1" t="n">
        <v>45777</v>
      </c>
      <c r="C3322" s="1" t="n">
        <v>45822</v>
      </c>
      <c r="D3322" t="inlineStr">
        <is>
          <t>VÄRMLANDS LÄN</t>
        </is>
      </c>
      <c r="E3322" t="inlineStr">
        <is>
          <t>TORSBY</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20914-2025</t>
        </is>
      </c>
      <c r="B3323" s="1" t="n">
        <v>45777</v>
      </c>
      <c r="C3323" s="1" t="n">
        <v>45822</v>
      </c>
      <c r="D3323" t="inlineStr">
        <is>
          <t>VÄRMLANDS LÄN</t>
        </is>
      </c>
      <c r="E3323" t="inlineStr">
        <is>
          <t>TORSBY</t>
        </is>
      </c>
      <c r="F3323" t="inlineStr">
        <is>
          <t>Bergvik skog väst AB</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20848-2025</t>
        </is>
      </c>
      <c r="B3324" s="1" t="n">
        <v>45777</v>
      </c>
      <c r="C3324" s="1" t="n">
        <v>45822</v>
      </c>
      <c r="D3324" t="inlineStr">
        <is>
          <t>VÄRMLANDS LÄN</t>
        </is>
      </c>
      <c r="E3324" t="inlineStr">
        <is>
          <t>TORSBY</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20917-2025</t>
        </is>
      </c>
      <c r="B3325" s="1" t="n">
        <v>45777</v>
      </c>
      <c r="C3325" s="1" t="n">
        <v>45822</v>
      </c>
      <c r="D3325" t="inlineStr">
        <is>
          <t>VÄRMLANDS LÄN</t>
        </is>
      </c>
      <c r="E3325" t="inlineStr">
        <is>
          <t>TORSBY</t>
        </is>
      </c>
      <c r="F3325" t="inlineStr">
        <is>
          <t>Bergvik skog väst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21274-2025</t>
        </is>
      </c>
      <c r="B3326" s="1" t="n">
        <v>45779</v>
      </c>
      <c r="C3326" s="1" t="n">
        <v>45822</v>
      </c>
      <c r="D3326" t="inlineStr">
        <is>
          <t>VÄRMLANDS LÄN</t>
        </is>
      </c>
      <c r="E3326" t="inlineStr">
        <is>
          <t>TORSBY</t>
        </is>
      </c>
      <c r="F3326" t="inlineStr">
        <is>
          <t>Bergvik skog väst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21324-2025</t>
        </is>
      </c>
      <c r="B3327" s="1" t="n">
        <v>45782</v>
      </c>
      <c r="C3327" s="1" t="n">
        <v>45822</v>
      </c>
      <c r="D3327" t="inlineStr">
        <is>
          <t>VÄRMLANDS LÄN</t>
        </is>
      </c>
      <c r="E3327" t="inlineStr">
        <is>
          <t>TORSBY</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21576-2025</t>
        </is>
      </c>
      <c r="B3328" s="1" t="n">
        <v>45782</v>
      </c>
      <c r="C3328" s="1" t="n">
        <v>45822</v>
      </c>
      <c r="D3328" t="inlineStr">
        <is>
          <t>VÄRMLANDS LÄN</t>
        </is>
      </c>
      <c r="E3328" t="inlineStr">
        <is>
          <t>TORSBY</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21529-2025</t>
        </is>
      </c>
      <c r="B3329" s="1" t="n">
        <v>45782</v>
      </c>
      <c r="C3329" s="1" t="n">
        <v>45822</v>
      </c>
      <c r="D3329" t="inlineStr">
        <is>
          <t>VÄRMLANDS LÄN</t>
        </is>
      </c>
      <c r="E3329" t="inlineStr">
        <is>
          <t>TORSBY</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21462-2025</t>
        </is>
      </c>
      <c r="B3330" s="1" t="n">
        <v>45782</v>
      </c>
      <c r="C3330" s="1" t="n">
        <v>45822</v>
      </c>
      <c r="D3330" t="inlineStr">
        <is>
          <t>VÄRMLANDS LÄN</t>
        </is>
      </c>
      <c r="E3330" t="inlineStr">
        <is>
          <t>TORSBY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21808-2025</t>
        </is>
      </c>
      <c r="B3331" s="1" t="n">
        <v>45783</v>
      </c>
      <c r="C3331" s="1" t="n">
        <v>45822</v>
      </c>
      <c r="D3331" t="inlineStr">
        <is>
          <t>VÄRMLANDS LÄN</t>
        </is>
      </c>
      <c r="E3331" t="inlineStr">
        <is>
          <t>TORSBY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21759-2025</t>
        </is>
      </c>
      <c r="B3332" s="1" t="n">
        <v>45783</v>
      </c>
      <c r="C3332" s="1" t="n">
        <v>45822</v>
      </c>
      <c r="D3332" t="inlineStr">
        <is>
          <t>VÄRMLANDS LÄN</t>
        </is>
      </c>
      <c r="E3332" t="inlineStr">
        <is>
          <t>TORSBY</t>
        </is>
      </c>
      <c r="G3332" t="n">
        <v>8.300000000000001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21758-2025</t>
        </is>
      </c>
      <c r="B3333" s="1" t="n">
        <v>45783</v>
      </c>
      <c r="C3333" s="1" t="n">
        <v>45822</v>
      </c>
      <c r="D3333" t="inlineStr">
        <is>
          <t>VÄRMLANDS LÄN</t>
        </is>
      </c>
      <c r="E3333" t="inlineStr">
        <is>
          <t>TORSBY</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21870-2025</t>
        </is>
      </c>
      <c r="B3334" s="1" t="n">
        <v>45784</v>
      </c>
      <c r="C3334" s="1" t="n">
        <v>45822</v>
      </c>
      <c r="D3334" t="inlineStr">
        <is>
          <t>VÄRMLANDS LÄN</t>
        </is>
      </c>
      <c r="E3334" t="inlineStr">
        <is>
          <t>TORSBY</t>
        </is>
      </c>
      <c r="G3334" t="n">
        <v>29.4</v>
      </c>
      <c r="H3334" t="n">
        <v>0</v>
      </c>
      <c r="I3334" t="n">
        <v>0</v>
      </c>
      <c r="J3334" t="n">
        <v>0</v>
      </c>
      <c r="K3334" t="n">
        <v>0</v>
      </c>
      <c r="L3334" t="n">
        <v>0</v>
      </c>
      <c r="M3334" t="n">
        <v>0</v>
      </c>
      <c r="N3334" t="n">
        <v>0</v>
      </c>
      <c r="O3334" t="n">
        <v>0</v>
      </c>
      <c r="P3334" t="n">
        <v>0</v>
      </c>
      <c r="Q3334" t="n">
        <v>0</v>
      </c>
      <c r="R3334" s="2" t="inlineStr"/>
    </row>
    <row r="3335" ht="15" customHeight="1">
      <c r="A3335" t="inlineStr">
        <is>
          <t>A 21974-2025</t>
        </is>
      </c>
      <c r="B3335" s="1" t="n">
        <v>45784</v>
      </c>
      <c r="C3335" s="1" t="n">
        <v>45822</v>
      </c>
      <c r="D3335" t="inlineStr">
        <is>
          <t>VÄRMLANDS LÄN</t>
        </is>
      </c>
      <c r="E3335" t="inlineStr">
        <is>
          <t>TORSBY</t>
        </is>
      </c>
      <c r="F3335" t="inlineStr">
        <is>
          <t>Bergvik skog väst AB</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21858-2025</t>
        </is>
      </c>
      <c r="B3336" s="1" t="n">
        <v>45784</v>
      </c>
      <c r="C3336" s="1" t="n">
        <v>45822</v>
      </c>
      <c r="D3336" t="inlineStr">
        <is>
          <t>VÄRMLANDS LÄN</t>
        </is>
      </c>
      <c r="E3336" t="inlineStr">
        <is>
          <t>TORSBY</t>
        </is>
      </c>
      <c r="F3336" t="inlineStr">
        <is>
          <t>Bergvik skog väst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21860-2025</t>
        </is>
      </c>
      <c r="B3337" s="1" t="n">
        <v>45784</v>
      </c>
      <c r="C3337" s="1" t="n">
        <v>45822</v>
      </c>
      <c r="D3337" t="inlineStr">
        <is>
          <t>VÄRMLANDS LÄN</t>
        </is>
      </c>
      <c r="E3337" t="inlineStr">
        <is>
          <t>TORSBY</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21963-2025</t>
        </is>
      </c>
      <c r="B3338" s="1" t="n">
        <v>45784</v>
      </c>
      <c r="C3338" s="1" t="n">
        <v>45822</v>
      </c>
      <c r="D3338" t="inlineStr">
        <is>
          <t>VÄRMLANDS LÄN</t>
        </is>
      </c>
      <c r="E3338" t="inlineStr">
        <is>
          <t>TORSBY</t>
        </is>
      </c>
      <c r="F3338" t="inlineStr">
        <is>
          <t>Bergvik skog väst AB</t>
        </is>
      </c>
      <c r="G3338" t="n">
        <v>12.3</v>
      </c>
      <c r="H3338" t="n">
        <v>0</v>
      </c>
      <c r="I3338" t="n">
        <v>0</v>
      </c>
      <c r="J3338" t="n">
        <v>0</v>
      </c>
      <c r="K3338" t="n">
        <v>0</v>
      </c>
      <c r="L3338" t="n">
        <v>0</v>
      </c>
      <c r="M3338" t="n">
        <v>0</v>
      </c>
      <c r="N3338" t="n">
        <v>0</v>
      </c>
      <c r="O3338" t="n">
        <v>0</v>
      </c>
      <c r="P3338" t="n">
        <v>0</v>
      </c>
      <c r="Q3338" t="n">
        <v>0</v>
      </c>
      <c r="R3338" s="2" t="inlineStr"/>
    </row>
    <row r="3339" ht="15" customHeight="1">
      <c r="A3339" t="inlineStr">
        <is>
          <t>A 22076-2025</t>
        </is>
      </c>
      <c r="B3339" s="1" t="n">
        <v>45785</v>
      </c>
      <c r="C3339" s="1" t="n">
        <v>45822</v>
      </c>
      <c r="D3339" t="inlineStr">
        <is>
          <t>VÄRMLANDS LÄN</t>
        </is>
      </c>
      <c r="E3339" t="inlineStr">
        <is>
          <t>TORSBY</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22090-2025</t>
        </is>
      </c>
      <c r="B3340" s="1" t="n">
        <v>45785</v>
      </c>
      <c r="C3340" s="1" t="n">
        <v>45822</v>
      </c>
      <c r="D3340" t="inlineStr">
        <is>
          <t>VÄRMLANDS LÄN</t>
        </is>
      </c>
      <c r="E3340" t="inlineStr">
        <is>
          <t>TORSBY</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22269-2025</t>
        </is>
      </c>
      <c r="B3341" s="1" t="n">
        <v>45785</v>
      </c>
      <c r="C3341" s="1" t="n">
        <v>45822</v>
      </c>
      <c r="D3341" t="inlineStr">
        <is>
          <t>VÄRMLANDS LÄN</t>
        </is>
      </c>
      <c r="E3341" t="inlineStr">
        <is>
          <t>TORSBY</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22316-2025</t>
        </is>
      </c>
      <c r="B3342" s="1" t="n">
        <v>45786</v>
      </c>
      <c r="C3342" s="1" t="n">
        <v>45822</v>
      </c>
      <c r="D3342" t="inlineStr">
        <is>
          <t>VÄRMLANDS LÄN</t>
        </is>
      </c>
      <c r="E3342" t="inlineStr">
        <is>
          <t>TORSBY</t>
        </is>
      </c>
      <c r="F3342" t="inlineStr">
        <is>
          <t>Bergvik skog väst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22386-2025</t>
        </is>
      </c>
      <c r="B3343" s="1" t="n">
        <v>45786</v>
      </c>
      <c r="C3343" s="1" t="n">
        <v>45822</v>
      </c>
      <c r="D3343" t="inlineStr">
        <is>
          <t>VÄRMLANDS LÄN</t>
        </is>
      </c>
      <c r="E3343" t="inlineStr">
        <is>
          <t>TORSBY</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22315-2025</t>
        </is>
      </c>
      <c r="B3344" s="1" t="n">
        <v>45786</v>
      </c>
      <c r="C3344" s="1" t="n">
        <v>45822</v>
      </c>
      <c r="D3344" t="inlineStr">
        <is>
          <t>VÄRMLANDS LÄN</t>
        </is>
      </c>
      <c r="E3344" t="inlineStr">
        <is>
          <t>TORSBY</t>
        </is>
      </c>
      <c r="F3344" t="inlineStr">
        <is>
          <t>Bergvik skog väst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22320-2025</t>
        </is>
      </c>
      <c r="B3345" s="1" t="n">
        <v>45786</v>
      </c>
      <c r="C3345" s="1" t="n">
        <v>45822</v>
      </c>
      <c r="D3345" t="inlineStr">
        <is>
          <t>VÄRMLANDS LÄN</t>
        </is>
      </c>
      <c r="E3345" t="inlineStr">
        <is>
          <t>TORSBY</t>
        </is>
      </c>
      <c r="F3345" t="inlineStr">
        <is>
          <t>Bergvik skog väst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22278-2025</t>
        </is>
      </c>
      <c r="B3346" s="1" t="n">
        <v>45786</v>
      </c>
      <c r="C3346" s="1" t="n">
        <v>45822</v>
      </c>
      <c r="D3346" t="inlineStr">
        <is>
          <t>VÄRMLANDS LÄN</t>
        </is>
      </c>
      <c r="E3346" t="inlineStr">
        <is>
          <t>TORSBY</t>
        </is>
      </c>
      <c r="F3346" t="inlineStr">
        <is>
          <t>Bergvik skog väst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22331-2025</t>
        </is>
      </c>
      <c r="B3347" s="1" t="n">
        <v>45786</v>
      </c>
      <c r="C3347" s="1" t="n">
        <v>45822</v>
      </c>
      <c r="D3347" t="inlineStr">
        <is>
          <t>VÄRMLANDS LÄN</t>
        </is>
      </c>
      <c r="E3347" t="inlineStr">
        <is>
          <t>TORSBY</t>
        </is>
      </c>
      <c r="F3347" t="inlineStr">
        <is>
          <t>Bergvik skog väst AB</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22339-2025</t>
        </is>
      </c>
      <c r="B3348" s="1" t="n">
        <v>45786</v>
      </c>
      <c r="C3348" s="1" t="n">
        <v>45822</v>
      </c>
      <c r="D3348" t="inlineStr">
        <is>
          <t>VÄRMLANDS LÄN</t>
        </is>
      </c>
      <c r="E3348" t="inlineStr">
        <is>
          <t>TORSBY</t>
        </is>
      </c>
      <c r="F3348" t="inlineStr">
        <is>
          <t>Bergvik skog väst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22715-2025</t>
        </is>
      </c>
      <c r="B3349" s="1" t="n">
        <v>45789</v>
      </c>
      <c r="C3349" s="1" t="n">
        <v>45822</v>
      </c>
      <c r="D3349" t="inlineStr">
        <is>
          <t>VÄRMLANDS LÄN</t>
        </is>
      </c>
      <c r="E3349" t="inlineStr">
        <is>
          <t>TORSBY</t>
        </is>
      </c>
      <c r="F3349" t="inlineStr">
        <is>
          <t>Kyrkan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22757-2025</t>
        </is>
      </c>
      <c r="B3350" s="1" t="n">
        <v>45789</v>
      </c>
      <c r="C3350" s="1" t="n">
        <v>45822</v>
      </c>
      <c r="D3350" t="inlineStr">
        <is>
          <t>VÄRMLANDS LÄN</t>
        </is>
      </c>
      <c r="E3350" t="inlineStr">
        <is>
          <t>TORSBY</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22596-2025</t>
        </is>
      </c>
      <c r="B3351" s="1" t="n">
        <v>45789</v>
      </c>
      <c r="C3351" s="1" t="n">
        <v>45822</v>
      </c>
      <c r="D3351" t="inlineStr">
        <is>
          <t>VÄRMLANDS LÄN</t>
        </is>
      </c>
      <c r="E3351" t="inlineStr">
        <is>
          <t>TORSBY</t>
        </is>
      </c>
      <c r="F3351" t="inlineStr">
        <is>
          <t>Bergvik skog väst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22604-2025</t>
        </is>
      </c>
      <c r="B3352" s="1" t="n">
        <v>45789</v>
      </c>
      <c r="C3352" s="1" t="n">
        <v>45822</v>
      </c>
      <c r="D3352" t="inlineStr">
        <is>
          <t>VÄRMLANDS LÄN</t>
        </is>
      </c>
      <c r="E3352" t="inlineStr">
        <is>
          <t>TORSBY</t>
        </is>
      </c>
      <c r="G3352" t="n">
        <v>13.3</v>
      </c>
      <c r="H3352" t="n">
        <v>0</v>
      </c>
      <c r="I3352" t="n">
        <v>0</v>
      </c>
      <c r="J3352" t="n">
        <v>0</v>
      </c>
      <c r="K3352" t="n">
        <v>0</v>
      </c>
      <c r="L3352" t="n">
        <v>0</v>
      </c>
      <c r="M3352" t="n">
        <v>0</v>
      </c>
      <c r="N3352" t="n">
        <v>0</v>
      </c>
      <c r="O3352" t="n">
        <v>0</v>
      </c>
      <c r="P3352" t="n">
        <v>0</v>
      </c>
      <c r="Q3352" t="n">
        <v>0</v>
      </c>
      <c r="R3352" s="2" t="inlineStr"/>
    </row>
    <row r="3353" ht="15" customHeight="1">
      <c r="A3353" t="inlineStr">
        <is>
          <t>A 22760-2025</t>
        </is>
      </c>
      <c r="B3353" s="1" t="n">
        <v>45789</v>
      </c>
      <c r="C3353" s="1" t="n">
        <v>45822</v>
      </c>
      <c r="D3353" t="inlineStr">
        <is>
          <t>VÄRMLANDS LÄN</t>
        </is>
      </c>
      <c r="E3353" t="inlineStr">
        <is>
          <t>TORSBY</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22593-2025</t>
        </is>
      </c>
      <c r="B3354" s="1" t="n">
        <v>45789</v>
      </c>
      <c r="C3354" s="1" t="n">
        <v>45822</v>
      </c>
      <c r="D3354" t="inlineStr">
        <is>
          <t>VÄRMLANDS LÄN</t>
        </is>
      </c>
      <c r="E3354" t="inlineStr">
        <is>
          <t>TORSBY</t>
        </is>
      </c>
      <c r="F3354" t="inlineStr">
        <is>
          <t>Bergvik skog väst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22708-2025</t>
        </is>
      </c>
      <c r="B3355" s="1" t="n">
        <v>45789</v>
      </c>
      <c r="C3355" s="1" t="n">
        <v>45822</v>
      </c>
      <c r="D3355" t="inlineStr">
        <is>
          <t>VÄRMLANDS LÄN</t>
        </is>
      </c>
      <c r="E3355" t="inlineStr">
        <is>
          <t>TORSBY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22845-2025</t>
        </is>
      </c>
      <c r="B3356" s="1" t="n">
        <v>45790</v>
      </c>
      <c r="C3356" s="1" t="n">
        <v>45822</v>
      </c>
      <c r="D3356" t="inlineStr">
        <is>
          <t>VÄRMLANDS LÄN</t>
        </is>
      </c>
      <c r="E3356" t="inlineStr">
        <is>
          <t>TORSBY</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22954-2025</t>
        </is>
      </c>
      <c r="B3357" s="1" t="n">
        <v>45790</v>
      </c>
      <c r="C3357" s="1" t="n">
        <v>45822</v>
      </c>
      <c r="D3357" t="inlineStr">
        <is>
          <t>VÄRMLANDS LÄN</t>
        </is>
      </c>
      <c r="E3357" t="inlineStr">
        <is>
          <t>TORSBY</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23035-2025</t>
        </is>
      </c>
      <c r="B3358" s="1" t="n">
        <v>45790</v>
      </c>
      <c r="C3358" s="1" t="n">
        <v>45822</v>
      </c>
      <c r="D3358" t="inlineStr">
        <is>
          <t>VÄRMLANDS LÄN</t>
        </is>
      </c>
      <c r="E3358" t="inlineStr">
        <is>
          <t>TORSBY</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23280-2025</t>
        </is>
      </c>
      <c r="B3359" s="1" t="n">
        <v>45791</v>
      </c>
      <c r="C3359" s="1" t="n">
        <v>45822</v>
      </c>
      <c r="D3359" t="inlineStr">
        <is>
          <t>VÄRMLANDS LÄN</t>
        </is>
      </c>
      <c r="E3359" t="inlineStr">
        <is>
          <t>TORSBY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23287-2025</t>
        </is>
      </c>
      <c r="B3360" s="1" t="n">
        <v>45791</v>
      </c>
      <c r="C3360" s="1" t="n">
        <v>45822</v>
      </c>
      <c r="D3360" t="inlineStr">
        <is>
          <t>VÄRMLANDS LÄN</t>
        </is>
      </c>
      <c r="E3360" t="inlineStr">
        <is>
          <t>TORSBY</t>
        </is>
      </c>
      <c r="F3360" t="inlineStr">
        <is>
          <t>Bergvik skog väst AB</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23367-2025</t>
        </is>
      </c>
      <c r="B3361" s="1" t="n">
        <v>45791</v>
      </c>
      <c r="C3361" s="1" t="n">
        <v>45822</v>
      </c>
      <c r="D3361" t="inlineStr">
        <is>
          <t>VÄRMLANDS LÄN</t>
        </is>
      </c>
      <c r="E3361" t="inlineStr">
        <is>
          <t>TORSBY</t>
        </is>
      </c>
      <c r="G3361" t="n">
        <v>9.800000000000001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23356-2025</t>
        </is>
      </c>
      <c r="B3362" s="1" t="n">
        <v>45791</v>
      </c>
      <c r="C3362" s="1" t="n">
        <v>45822</v>
      </c>
      <c r="D3362" t="inlineStr">
        <is>
          <t>VÄRMLANDS LÄN</t>
        </is>
      </c>
      <c r="E3362" t="inlineStr">
        <is>
          <t>TORSBY</t>
        </is>
      </c>
      <c r="F3362" t="inlineStr">
        <is>
          <t>Bergvik skog väst AB</t>
        </is>
      </c>
      <c r="G3362" t="n">
        <v>15.9</v>
      </c>
      <c r="H3362" t="n">
        <v>0</v>
      </c>
      <c r="I3362" t="n">
        <v>0</v>
      </c>
      <c r="J3362" t="n">
        <v>0</v>
      </c>
      <c r="K3362" t="n">
        <v>0</v>
      </c>
      <c r="L3362" t="n">
        <v>0</v>
      </c>
      <c r="M3362" t="n">
        <v>0</v>
      </c>
      <c r="N3362" t="n">
        <v>0</v>
      </c>
      <c r="O3362" t="n">
        <v>0</v>
      </c>
      <c r="P3362" t="n">
        <v>0</v>
      </c>
      <c r="Q3362" t="n">
        <v>0</v>
      </c>
      <c r="R3362" s="2" t="inlineStr"/>
    </row>
    <row r="3363" ht="15" customHeight="1">
      <c r="A3363" t="inlineStr">
        <is>
          <t>A 23126-2025</t>
        </is>
      </c>
      <c r="B3363" s="1" t="n">
        <v>45791</v>
      </c>
      <c r="C3363" s="1" t="n">
        <v>45822</v>
      </c>
      <c r="D3363" t="inlineStr">
        <is>
          <t>VÄRMLANDS LÄN</t>
        </is>
      </c>
      <c r="E3363" t="inlineStr">
        <is>
          <t>TORSBY</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23455-2025</t>
        </is>
      </c>
      <c r="B3364" s="1" t="n">
        <v>45792</v>
      </c>
      <c r="C3364" s="1" t="n">
        <v>45822</v>
      </c>
      <c r="D3364" t="inlineStr">
        <is>
          <t>VÄRMLANDS LÄN</t>
        </is>
      </c>
      <c r="E3364" t="inlineStr">
        <is>
          <t>TORSBY</t>
        </is>
      </c>
      <c r="F3364" t="inlineStr">
        <is>
          <t>Kyrkan</t>
        </is>
      </c>
      <c r="G3364" t="n">
        <v>10.7</v>
      </c>
      <c r="H3364" t="n">
        <v>0</v>
      </c>
      <c r="I3364" t="n">
        <v>0</v>
      </c>
      <c r="J3364" t="n">
        <v>0</v>
      </c>
      <c r="K3364" t="n">
        <v>0</v>
      </c>
      <c r="L3364" t="n">
        <v>0</v>
      </c>
      <c r="M3364" t="n">
        <v>0</v>
      </c>
      <c r="N3364" t="n">
        <v>0</v>
      </c>
      <c r="O3364" t="n">
        <v>0</v>
      </c>
      <c r="P3364" t="n">
        <v>0</v>
      </c>
      <c r="Q3364" t="n">
        <v>0</v>
      </c>
      <c r="R3364" s="2" t="inlineStr"/>
    </row>
    <row r="3365" ht="15" customHeight="1">
      <c r="A3365" t="inlineStr">
        <is>
          <t>A 23557-2025</t>
        </is>
      </c>
      <c r="B3365" s="1" t="n">
        <v>45792</v>
      </c>
      <c r="C3365" s="1" t="n">
        <v>45822</v>
      </c>
      <c r="D3365" t="inlineStr">
        <is>
          <t>VÄRMLANDS LÄN</t>
        </is>
      </c>
      <c r="E3365" t="inlineStr">
        <is>
          <t>TORSBY</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23779-2025</t>
        </is>
      </c>
      <c r="B3366" s="1" t="n">
        <v>45793</v>
      </c>
      <c r="C3366" s="1" t="n">
        <v>45822</v>
      </c>
      <c r="D3366" t="inlineStr">
        <is>
          <t>VÄRMLANDS LÄN</t>
        </is>
      </c>
      <c r="E3366" t="inlineStr">
        <is>
          <t>TORSBY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23741-2025</t>
        </is>
      </c>
      <c r="B3367" s="1" t="n">
        <v>45793</v>
      </c>
      <c r="C3367" s="1" t="n">
        <v>45822</v>
      </c>
      <c r="D3367" t="inlineStr">
        <is>
          <t>VÄRMLANDS LÄN</t>
        </is>
      </c>
      <c r="E3367" t="inlineStr">
        <is>
          <t>TORSBY</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23677-2025</t>
        </is>
      </c>
      <c r="B3368" s="1" t="n">
        <v>45793</v>
      </c>
      <c r="C3368" s="1" t="n">
        <v>45822</v>
      </c>
      <c r="D3368" t="inlineStr">
        <is>
          <t>VÄRMLANDS LÄN</t>
        </is>
      </c>
      <c r="E3368" t="inlineStr">
        <is>
          <t>TORSBY</t>
        </is>
      </c>
      <c r="F3368" t="inlineStr">
        <is>
          <t>Kyrkan</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23832-2025</t>
        </is>
      </c>
      <c r="B3369" s="1" t="n">
        <v>45793</v>
      </c>
      <c r="C3369" s="1" t="n">
        <v>45822</v>
      </c>
      <c r="D3369" t="inlineStr">
        <is>
          <t>VÄRMLANDS LÄN</t>
        </is>
      </c>
      <c r="E3369" t="inlineStr">
        <is>
          <t>TORSBY</t>
        </is>
      </c>
      <c r="F3369" t="inlineStr">
        <is>
          <t>Bergvik skog väst AB</t>
        </is>
      </c>
      <c r="G3369" t="n">
        <v>12.3</v>
      </c>
      <c r="H3369" t="n">
        <v>0</v>
      </c>
      <c r="I3369" t="n">
        <v>0</v>
      </c>
      <c r="J3369" t="n">
        <v>0</v>
      </c>
      <c r="K3369" t="n">
        <v>0</v>
      </c>
      <c r="L3369" t="n">
        <v>0</v>
      </c>
      <c r="M3369" t="n">
        <v>0</v>
      </c>
      <c r="N3369" t="n">
        <v>0</v>
      </c>
      <c r="O3369" t="n">
        <v>0</v>
      </c>
      <c r="P3369" t="n">
        <v>0</v>
      </c>
      <c r="Q3369" t="n">
        <v>0</v>
      </c>
      <c r="R3369" s="2" t="inlineStr"/>
    </row>
    <row r="3370" ht="15" customHeight="1">
      <c r="A3370" t="inlineStr">
        <is>
          <t>A 24026-2025</t>
        </is>
      </c>
      <c r="B3370" s="1" t="n">
        <v>45796</v>
      </c>
      <c r="C3370" s="1" t="n">
        <v>45822</v>
      </c>
      <c r="D3370" t="inlineStr">
        <is>
          <t>VÄRMLANDS LÄN</t>
        </is>
      </c>
      <c r="E3370" t="inlineStr">
        <is>
          <t>TORSBY</t>
        </is>
      </c>
      <c r="G3370" t="n">
        <v>11.9</v>
      </c>
      <c r="H3370" t="n">
        <v>0</v>
      </c>
      <c r="I3370" t="n">
        <v>0</v>
      </c>
      <c r="J3370" t="n">
        <v>0</v>
      </c>
      <c r="K3370" t="n">
        <v>0</v>
      </c>
      <c r="L3370" t="n">
        <v>0</v>
      </c>
      <c r="M3370" t="n">
        <v>0</v>
      </c>
      <c r="N3370" t="n">
        <v>0</v>
      </c>
      <c r="O3370" t="n">
        <v>0</v>
      </c>
      <c r="P3370" t="n">
        <v>0</v>
      </c>
      <c r="Q3370" t="n">
        <v>0</v>
      </c>
      <c r="R3370" s="2" t="inlineStr"/>
    </row>
    <row r="3371" ht="15" customHeight="1">
      <c r="A3371" t="inlineStr">
        <is>
          <t>A 24111-2025</t>
        </is>
      </c>
      <c r="B3371" s="1" t="n">
        <v>45796</v>
      </c>
      <c r="C3371" s="1" t="n">
        <v>45822</v>
      </c>
      <c r="D3371" t="inlineStr">
        <is>
          <t>VÄRMLANDS LÄN</t>
        </is>
      </c>
      <c r="E3371" t="inlineStr">
        <is>
          <t>TORSBY</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24112-2025</t>
        </is>
      </c>
      <c r="B3372" s="1" t="n">
        <v>45796</v>
      </c>
      <c r="C3372" s="1" t="n">
        <v>45822</v>
      </c>
      <c r="D3372" t="inlineStr">
        <is>
          <t>VÄRMLANDS LÄN</t>
        </is>
      </c>
      <c r="E3372" t="inlineStr">
        <is>
          <t>TORSBY</t>
        </is>
      </c>
      <c r="F3372" t="inlineStr">
        <is>
          <t>Bergvik skog väst AB</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24069-2025</t>
        </is>
      </c>
      <c r="B3373" s="1" t="n">
        <v>45796</v>
      </c>
      <c r="C3373" s="1" t="n">
        <v>45822</v>
      </c>
      <c r="D3373" t="inlineStr">
        <is>
          <t>VÄRMLANDS LÄN</t>
        </is>
      </c>
      <c r="E3373" t="inlineStr">
        <is>
          <t>TORSBY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24411-2025</t>
        </is>
      </c>
      <c r="B3374" s="1" t="n">
        <v>45797</v>
      </c>
      <c r="C3374" s="1" t="n">
        <v>45822</v>
      </c>
      <c r="D3374" t="inlineStr">
        <is>
          <t>VÄRMLANDS LÄN</t>
        </is>
      </c>
      <c r="E3374" t="inlineStr">
        <is>
          <t>TORSBY</t>
        </is>
      </c>
      <c r="F3374" t="inlineStr">
        <is>
          <t>Övriga statliga verk och myndigheter</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24251-2025</t>
        </is>
      </c>
      <c r="B3375" s="1" t="n">
        <v>45797</v>
      </c>
      <c r="C3375" s="1" t="n">
        <v>45822</v>
      </c>
      <c r="D3375" t="inlineStr">
        <is>
          <t>VÄRMLANDS LÄN</t>
        </is>
      </c>
      <c r="E3375" t="inlineStr">
        <is>
          <t>TORSBY</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24318-2025</t>
        </is>
      </c>
      <c r="B3376" s="1" t="n">
        <v>45797</v>
      </c>
      <c r="C3376" s="1" t="n">
        <v>45822</v>
      </c>
      <c r="D3376" t="inlineStr">
        <is>
          <t>VÄRMLANDS LÄN</t>
        </is>
      </c>
      <c r="E3376" t="inlineStr">
        <is>
          <t>TORSBY</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24204-2025</t>
        </is>
      </c>
      <c r="B3377" s="1" t="n">
        <v>45797</v>
      </c>
      <c r="C3377" s="1" t="n">
        <v>45822</v>
      </c>
      <c r="D3377" t="inlineStr">
        <is>
          <t>VÄRMLANDS LÄN</t>
        </is>
      </c>
      <c r="E3377" t="inlineStr">
        <is>
          <t>TORSBY</t>
        </is>
      </c>
      <c r="F3377" t="inlineStr">
        <is>
          <t>Bergvik skog väst AB</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24425-2025</t>
        </is>
      </c>
      <c r="B3378" s="1" t="n">
        <v>45797</v>
      </c>
      <c r="C3378" s="1" t="n">
        <v>45822</v>
      </c>
      <c r="D3378" t="inlineStr">
        <is>
          <t>VÄRMLANDS LÄN</t>
        </is>
      </c>
      <c r="E3378" t="inlineStr">
        <is>
          <t>TORSBY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24218-2025</t>
        </is>
      </c>
      <c r="B3379" s="1" t="n">
        <v>45797</v>
      </c>
      <c r="C3379" s="1" t="n">
        <v>45822</v>
      </c>
      <c r="D3379" t="inlineStr">
        <is>
          <t>VÄRMLANDS LÄN</t>
        </is>
      </c>
      <c r="E3379" t="inlineStr">
        <is>
          <t>TORSBY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24260-2025</t>
        </is>
      </c>
      <c r="B3380" s="1" t="n">
        <v>45797</v>
      </c>
      <c r="C3380" s="1" t="n">
        <v>45822</v>
      </c>
      <c r="D3380" t="inlineStr">
        <is>
          <t>VÄRMLANDS LÄN</t>
        </is>
      </c>
      <c r="E3380" t="inlineStr">
        <is>
          <t>TORSBY</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24576-2025</t>
        </is>
      </c>
      <c r="B3381" s="1" t="n">
        <v>45798</v>
      </c>
      <c r="C3381" s="1" t="n">
        <v>45822</v>
      </c>
      <c r="D3381" t="inlineStr">
        <is>
          <t>VÄRMLANDS LÄN</t>
        </is>
      </c>
      <c r="E3381" t="inlineStr">
        <is>
          <t>TORSBY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24580-2025</t>
        </is>
      </c>
      <c r="B3382" s="1" t="n">
        <v>45798</v>
      </c>
      <c r="C3382" s="1" t="n">
        <v>45822</v>
      </c>
      <c r="D3382" t="inlineStr">
        <is>
          <t>VÄRMLANDS LÄN</t>
        </is>
      </c>
      <c r="E3382" t="inlineStr">
        <is>
          <t>TORSBY</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24607-2025</t>
        </is>
      </c>
      <c r="B3383" s="1" t="n">
        <v>45798</v>
      </c>
      <c r="C3383" s="1" t="n">
        <v>45822</v>
      </c>
      <c r="D3383" t="inlineStr">
        <is>
          <t>VÄRMLANDS LÄN</t>
        </is>
      </c>
      <c r="E3383" t="inlineStr">
        <is>
          <t>TORSBY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24597-2025</t>
        </is>
      </c>
      <c r="B3384" s="1" t="n">
        <v>45798</v>
      </c>
      <c r="C3384" s="1" t="n">
        <v>45822</v>
      </c>
      <c r="D3384" t="inlineStr">
        <is>
          <t>VÄRMLANDS LÄN</t>
        </is>
      </c>
      <c r="E3384" t="inlineStr">
        <is>
          <t>TORSBY</t>
        </is>
      </c>
      <c r="F3384" t="inlineStr">
        <is>
          <t>Övriga statliga verk och myndigheter</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24599-2025</t>
        </is>
      </c>
      <c r="B3385" s="1" t="n">
        <v>45798</v>
      </c>
      <c r="C3385" s="1" t="n">
        <v>45822</v>
      </c>
      <c r="D3385" t="inlineStr">
        <is>
          <t>VÄRMLANDS LÄN</t>
        </is>
      </c>
      <c r="E3385" t="inlineStr">
        <is>
          <t>TORSBY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45822</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24528-2025</t>
        </is>
      </c>
      <c r="B3387" s="1" t="n">
        <v>45798</v>
      </c>
      <c r="C3387" s="1" t="n">
        <v>45822</v>
      </c>
      <c r="D3387" t="inlineStr">
        <is>
          <t>VÄRMLANDS LÄN</t>
        </is>
      </c>
      <c r="E3387" t="inlineStr">
        <is>
          <t>TORSBY</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24827-2025</t>
        </is>
      </c>
      <c r="B3388" s="1" t="n">
        <v>45799</v>
      </c>
      <c r="C3388" s="1" t="n">
        <v>45822</v>
      </c>
      <c r="D3388" t="inlineStr">
        <is>
          <t>VÄRMLANDS LÄN</t>
        </is>
      </c>
      <c r="E3388" t="inlineStr">
        <is>
          <t>TORSBY</t>
        </is>
      </c>
      <c r="G3388" t="n">
        <v>27.5</v>
      </c>
      <c r="H3388" t="n">
        <v>0</v>
      </c>
      <c r="I3388" t="n">
        <v>0</v>
      </c>
      <c r="J3388" t="n">
        <v>0</v>
      </c>
      <c r="K3388" t="n">
        <v>0</v>
      </c>
      <c r="L3388" t="n">
        <v>0</v>
      </c>
      <c r="M3388" t="n">
        <v>0</v>
      </c>
      <c r="N3388" t="n">
        <v>0</v>
      </c>
      <c r="O3388" t="n">
        <v>0</v>
      </c>
      <c r="P3388" t="n">
        <v>0</v>
      </c>
      <c r="Q3388" t="n">
        <v>0</v>
      </c>
      <c r="R3388" s="2" t="inlineStr"/>
    </row>
    <row r="3389" ht="15" customHeight="1">
      <c r="A3389" t="inlineStr">
        <is>
          <t>A 24967-2025</t>
        </is>
      </c>
      <c r="B3389" s="1" t="n">
        <v>45799</v>
      </c>
      <c r="C3389" s="1" t="n">
        <v>45822</v>
      </c>
      <c r="D3389" t="inlineStr">
        <is>
          <t>VÄRMLANDS LÄN</t>
        </is>
      </c>
      <c r="E3389" t="inlineStr">
        <is>
          <t>TORSBY</t>
        </is>
      </c>
      <c r="F3389" t="inlineStr">
        <is>
          <t>Bergvik skog väst AB</t>
        </is>
      </c>
      <c r="G3389" t="n">
        <v>17.6</v>
      </c>
      <c r="H3389" t="n">
        <v>0</v>
      </c>
      <c r="I3389" t="n">
        <v>0</v>
      </c>
      <c r="J3389" t="n">
        <v>0</v>
      </c>
      <c r="K3389" t="n">
        <v>0</v>
      </c>
      <c r="L3389" t="n">
        <v>0</v>
      </c>
      <c r="M3389" t="n">
        <v>0</v>
      </c>
      <c r="N3389" t="n">
        <v>0</v>
      </c>
      <c r="O3389" t="n">
        <v>0</v>
      </c>
      <c r="P3389" t="n">
        <v>0</v>
      </c>
      <c r="Q3389" t="n">
        <v>0</v>
      </c>
      <c r="R3389" s="2" t="inlineStr"/>
    </row>
    <row r="3390" ht="15" customHeight="1">
      <c r="A3390" t="inlineStr">
        <is>
          <t>A 24726-2025</t>
        </is>
      </c>
      <c r="B3390" s="1" t="n">
        <v>45799</v>
      </c>
      <c r="C3390" s="1" t="n">
        <v>45822</v>
      </c>
      <c r="D3390" t="inlineStr">
        <is>
          <t>VÄRMLANDS LÄN</t>
        </is>
      </c>
      <c r="E3390" t="inlineStr">
        <is>
          <t>TORSBY</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24757-2025</t>
        </is>
      </c>
      <c r="B3391" s="1" t="n">
        <v>45799</v>
      </c>
      <c r="C3391" s="1" t="n">
        <v>45822</v>
      </c>
      <c r="D3391" t="inlineStr">
        <is>
          <t>VÄRMLANDS LÄN</t>
        </is>
      </c>
      <c r="E3391" t="inlineStr">
        <is>
          <t>TORSBY</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25050-2025</t>
        </is>
      </c>
      <c r="B3392" s="1" t="n">
        <v>45799</v>
      </c>
      <c r="C3392" s="1" t="n">
        <v>45822</v>
      </c>
      <c r="D3392" t="inlineStr">
        <is>
          <t>VÄRMLANDS LÄN</t>
        </is>
      </c>
      <c r="E3392" t="inlineStr">
        <is>
          <t>TORSBY</t>
        </is>
      </c>
      <c r="F3392" t="inlineStr">
        <is>
          <t>Bergvik skog väst AB</t>
        </is>
      </c>
      <c r="G3392" t="n">
        <v>39.7</v>
      </c>
      <c r="H3392" t="n">
        <v>0</v>
      </c>
      <c r="I3392" t="n">
        <v>0</v>
      </c>
      <c r="J3392" t="n">
        <v>0</v>
      </c>
      <c r="K3392" t="n">
        <v>0</v>
      </c>
      <c r="L3392" t="n">
        <v>0</v>
      </c>
      <c r="M3392" t="n">
        <v>0</v>
      </c>
      <c r="N3392" t="n">
        <v>0</v>
      </c>
      <c r="O3392" t="n">
        <v>0</v>
      </c>
      <c r="P3392" t="n">
        <v>0</v>
      </c>
      <c r="Q3392" t="n">
        <v>0</v>
      </c>
      <c r="R3392" s="2" t="inlineStr"/>
    </row>
    <row r="3393" ht="15" customHeight="1">
      <c r="A3393" t="inlineStr">
        <is>
          <t>A 25227-2025</t>
        </is>
      </c>
      <c r="B3393" s="1" t="n">
        <v>45800</v>
      </c>
      <c r="C3393" s="1" t="n">
        <v>45822</v>
      </c>
      <c r="D3393" t="inlineStr">
        <is>
          <t>VÄRMLANDS LÄN</t>
        </is>
      </c>
      <c r="E3393" t="inlineStr">
        <is>
          <t>TORSBY</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25369-2025</t>
        </is>
      </c>
      <c r="B3394" s="1" t="n">
        <v>45800</v>
      </c>
      <c r="C3394" s="1" t="n">
        <v>45822</v>
      </c>
      <c r="D3394" t="inlineStr">
        <is>
          <t>VÄRMLANDS LÄN</t>
        </is>
      </c>
      <c r="E3394" t="inlineStr">
        <is>
          <t>TORSBY</t>
        </is>
      </c>
      <c r="F3394" t="inlineStr">
        <is>
          <t>Bergvik skog väst AB</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25218-2025</t>
        </is>
      </c>
      <c r="B3395" s="1" t="n">
        <v>45800</v>
      </c>
      <c r="C3395" s="1" t="n">
        <v>45822</v>
      </c>
      <c r="D3395" t="inlineStr">
        <is>
          <t>VÄRMLANDS LÄN</t>
        </is>
      </c>
      <c r="E3395" t="inlineStr">
        <is>
          <t>TORSBY</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25186-2025</t>
        </is>
      </c>
      <c r="B3396" s="1" t="n">
        <v>45800</v>
      </c>
      <c r="C3396" s="1" t="n">
        <v>45822</v>
      </c>
      <c r="D3396" t="inlineStr">
        <is>
          <t>VÄRMLANDS LÄN</t>
        </is>
      </c>
      <c r="E3396" t="inlineStr">
        <is>
          <t>TORSBY</t>
        </is>
      </c>
      <c r="F3396" t="inlineStr">
        <is>
          <t>Kyrkan</t>
        </is>
      </c>
      <c r="G3396" t="n">
        <v>10.2</v>
      </c>
      <c r="H3396" t="n">
        <v>0</v>
      </c>
      <c r="I3396" t="n">
        <v>0</v>
      </c>
      <c r="J3396" t="n">
        <v>0</v>
      </c>
      <c r="K3396" t="n">
        <v>0</v>
      </c>
      <c r="L3396" t="n">
        <v>0</v>
      </c>
      <c r="M3396" t="n">
        <v>0</v>
      </c>
      <c r="N3396" t="n">
        <v>0</v>
      </c>
      <c r="O3396" t="n">
        <v>0</v>
      </c>
      <c r="P3396" t="n">
        <v>0</v>
      </c>
      <c r="Q3396" t="n">
        <v>0</v>
      </c>
      <c r="R3396" s="2" t="inlineStr"/>
    </row>
    <row r="3397" ht="15" customHeight="1">
      <c r="A3397" t="inlineStr">
        <is>
          <t>A 25428-2025</t>
        </is>
      </c>
      <c r="B3397" s="1" t="n">
        <v>45800</v>
      </c>
      <c r="C3397" s="1" t="n">
        <v>45822</v>
      </c>
      <c r="D3397" t="inlineStr">
        <is>
          <t>VÄRMLANDS LÄN</t>
        </is>
      </c>
      <c r="E3397" t="inlineStr">
        <is>
          <t>TORSBY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45822</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25328-2025</t>
        </is>
      </c>
      <c r="B3399" s="1" t="n">
        <v>45800</v>
      </c>
      <c r="C3399" s="1" t="n">
        <v>45822</v>
      </c>
      <c r="D3399" t="inlineStr">
        <is>
          <t>VÄRMLANDS LÄN</t>
        </is>
      </c>
      <c r="E3399" t="inlineStr">
        <is>
          <t>TORSBY</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25353-2025</t>
        </is>
      </c>
      <c r="B3400" s="1" t="n">
        <v>45800</v>
      </c>
      <c r="C3400" s="1" t="n">
        <v>45822</v>
      </c>
      <c r="D3400" t="inlineStr">
        <is>
          <t>VÄRMLANDS LÄN</t>
        </is>
      </c>
      <c r="E3400" t="inlineStr">
        <is>
          <t>TORSBY</t>
        </is>
      </c>
      <c r="F3400" t="inlineStr">
        <is>
          <t>Bergvik skog väst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25443-2025</t>
        </is>
      </c>
      <c r="B3401" s="1" t="n">
        <v>45801</v>
      </c>
      <c r="C3401" s="1" t="n">
        <v>45822</v>
      </c>
      <c r="D3401" t="inlineStr">
        <is>
          <t>VÄRMLANDS LÄN</t>
        </is>
      </c>
      <c r="E3401" t="inlineStr">
        <is>
          <t>TORSBY</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25465-2025</t>
        </is>
      </c>
      <c r="B3402" s="1" t="n">
        <v>45802</v>
      </c>
      <c r="C3402" s="1" t="n">
        <v>45822</v>
      </c>
      <c r="D3402" t="inlineStr">
        <is>
          <t>VÄRMLANDS LÄN</t>
        </is>
      </c>
      <c r="E3402" t="inlineStr">
        <is>
          <t>TORSBY</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25464-2025</t>
        </is>
      </c>
      <c r="B3403" s="1" t="n">
        <v>45802</v>
      </c>
      <c r="C3403" s="1" t="n">
        <v>45822</v>
      </c>
      <c r="D3403" t="inlineStr">
        <is>
          <t>VÄRMLANDS LÄN</t>
        </is>
      </c>
      <c r="E3403" t="inlineStr">
        <is>
          <t>TORSBY</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25653-2025</t>
        </is>
      </c>
      <c r="B3404" s="1" t="n">
        <v>45803</v>
      </c>
      <c r="C3404" s="1" t="n">
        <v>45822</v>
      </c>
      <c r="D3404" t="inlineStr">
        <is>
          <t>VÄRMLANDS LÄN</t>
        </is>
      </c>
      <c r="E3404" t="inlineStr">
        <is>
          <t>TORSBY</t>
        </is>
      </c>
      <c r="F3404" t="inlineStr">
        <is>
          <t>Bergvik skog väst AB</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25545-2025</t>
        </is>
      </c>
      <c r="B3405" s="1" t="n">
        <v>45803</v>
      </c>
      <c r="C3405" s="1" t="n">
        <v>45822</v>
      </c>
      <c r="D3405" t="inlineStr">
        <is>
          <t>VÄRMLANDS LÄN</t>
        </is>
      </c>
      <c r="E3405" t="inlineStr">
        <is>
          <t>TORSBY</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25508-2025</t>
        </is>
      </c>
      <c r="B3406" s="1" t="n">
        <v>45803</v>
      </c>
      <c r="C3406" s="1" t="n">
        <v>45822</v>
      </c>
      <c r="D3406" t="inlineStr">
        <is>
          <t>VÄRMLANDS LÄN</t>
        </is>
      </c>
      <c r="E3406" t="inlineStr">
        <is>
          <t>TORSBY</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25959-2025</t>
        </is>
      </c>
      <c r="B3407" s="1" t="n">
        <v>45804</v>
      </c>
      <c r="C3407" s="1" t="n">
        <v>45822</v>
      </c>
      <c r="D3407" t="inlineStr">
        <is>
          <t>VÄRMLANDS LÄN</t>
        </is>
      </c>
      <c r="E3407" t="inlineStr">
        <is>
          <t>TORSBY</t>
        </is>
      </c>
      <c r="F3407" t="inlineStr">
        <is>
          <t>Bergvik skog väst AB</t>
        </is>
      </c>
      <c r="G3407" t="n">
        <v>17.6</v>
      </c>
      <c r="H3407" t="n">
        <v>0</v>
      </c>
      <c r="I3407" t="n">
        <v>0</v>
      </c>
      <c r="J3407" t="n">
        <v>0</v>
      </c>
      <c r="K3407" t="n">
        <v>0</v>
      </c>
      <c r="L3407" t="n">
        <v>0</v>
      </c>
      <c r="M3407" t="n">
        <v>0</v>
      </c>
      <c r="N3407" t="n">
        <v>0</v>
      </c>
      <c r="O3407" t="n">
        <v>0</v>
      </c>
      <c r="P3407" t="n">
        <v>0</v>
      </c>
      <c r="Q3407" t="n">
        <v>0</v>
      </c>
      <c r="R3407" s="2" t="inlineStr"/>
    </row>
    <row r="3408" ht="15" customHeight="1">
      <c r="A3408" t="inlineStr">
        <is>
          <t>A 25974-2025</t>
        </is>
      </c>
      <c r="B3408" s="1" t="n">
        <v>45804</v>
      </c>
      <c r="C3408" s="1" t="n">
        <v>45822</v>
      </c>
      <c r="D3408" t="inlineStr">
        <is>
          <t>VÄRMLANDS LÄN</t>
        </is>
      </c>
      <c r="E3408" t="inlineStr">
        <is>
          <t>TORSBY</t>
        </is>
      </c>
      <c r="F3408" t="inlineStr">
        <is>
          <t>Bergvik skog väst AB</t>
        </is>
      </c>
      <c r="G3408" t="n">
        <v>24.6</v>
      </c>
      <c r="H3408" t="n">
        <v>0</v>
      </c>
      <c r="I3408" t="n">
        <v>0</v>
      </c>
      <c r="J3408" t="n">
        <v>0</v>
      </c>
      <c r="K3408" t="n">
        <v>0</v>
      </c>
      <c r="L3408" t="n">
        <v>0</v>
      </c>
      <c r="M3408" t="n">
        <v>0</v>
      </c>
      <c r="N3408" t="n">
        <v>0</v>
      </c>
      <c r="O3408" t="n">
        <v>0</v>
      </c>
      <c r="P3408" t="n">
        <v>0</v>
      </c>
      <c r="Q3408" t="n">
        <v>0</v>
      </c>
      <c r="R3408" s="2" t="inlineStr"/>
    </row>
    <row r="3409" ht="15" customHeight="1">
      <c r="A3409" t="inlineStr">
        <is>
          <t>A 25803-2025</t>
        </is>
      </c>
      <c r="B3409" s="1" t="n">
        <v>45804</v>
      </c>
      <c r="C3409" s="1" t="n">
        <v>45822</v>
      </c>
      <c r="D3409" t="inlineStr">
        <is>
          <t>VÄRMLANDS LÄN</t>
        </is>
      </c>
      <c r="E3409" t="inlineStr">
        <is>
          <t>TORSBY</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25807-2025</t>
        </is>
      </c>
      <c r="B3410" s="1" t="n">
        <v>45804</v>
      </c>
      <c r="C3410" s="1" t="n">
        <v>45822</v>
      </c>
      <c r="D3410" t="inlineStr">
        <is>
          <t>VÄRMLANDS LÄN</t>
        </is>
      </c>
      <c r="E3410" t="inlineStr">
        <is>
          <t>TORSBY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25808-2025</t>
        </is>
      </c>
      <c r="B3411" s="1" t="n">
        <v>45804</v>
      </c>
      <c r="C3411" s="1" t="n">
        <v>45822</v>
      </c>
      <c r="D3411" t="inlineStr">
        <is>
          <t>VÄRMLANDS LÄN</t>
        </is>
      </c>
      <c r="E3411" t="inlineStr">
        <is>
          <t>TORSBY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25917-2025</t>
        </is>
      </c>
      <c r="B3412" s="1" t="n">
        <v>45804</v>
      </c>
      <c r="C3412" s="1" t="n">
        <v>45822</v>
      </c>
      <c r="D3412" t="inlineStr">
        <is>
          <t>VÄRMLANDS LÄN</t>
        </is>
      </c>
      <c r="E3412" t="inlineStr">
        <is>
          <t>TORSBY</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25956-2025</t>
        </is>
      </c>
      <c r="B3413" s="1" t="n">
        <v>45804</v>
      </c>
      <c r="C3413" s="1" t="n">
        <v>45822</v>
      </c>
      <c r="D3413" t="inlineStr">
        <is>
          <t>VÄRMLANDS LÄN</t>
        </is>
      </c>
      <c r="E3413" t="inlineStr">
        <is>
          <t>TORSBY</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25961-2025</t>
        </is>
      </c>
      <c r="B3414" s="1" t="n">
        <v>45804</v>
      </c>
      <c r="C3414" s="1" t="n">
        <v>45822</v>
      </c>
      <c r="D3414" t="inlineStr">
        <is>
          <t>VÄRMLANDS LÄN</t>
        </is>
      </c>
      <c r="E3414" t="inlineStr">
        <is>
          <t>TORSBY</t>
        </is>
      </c>
      <c r="G3414" t="n">
        <v>17.8</v>
      </c>
      <c r="H3414" t="n">
        <v>0</v>
      </c>
      <c r="I3414" t="n">
        <v>0</v>
      </c>
      <c r="J3414" t="n">
        <v>0</v>
      </c>
      <c r="K3414" t="n">
        <v>0</v>
      </c>
      <c r="L3414" t="n">
        <v>0</v>
      </c>
      <c r="M3414" t="n">
        <v>0</v>
      </c>
      <c r="N3414" t="n">
        <v>0</v>
      </c>
      <c r="O3414" t="n">
        <v>0</v>
      </c>
      <c r="P3414" t="n">
        <v>0</v>
      </c>
      <c r="Q3414" t="n">
        <v>0</v>
      </c>
      <c r="R3414" s="2" t="inlineStr"/>
    </row>
    <row r="3415" ht="15" customHeight="1">
      <c r="A3415" t="inlineStr">
        <is>
          <t>A 25866-2025</t>
        </is>
      </c>
      <c r="B3415" s="1" t="n">
        <v>45804</v>
      </c>
      <c r="C3415" s="1" t="n">
        <v>45822</v>
      </c>
      <c r="D3415" t="inlineStr">
        <is>
          <t>VÄRMLANDS LÄN</t>
        </is>
      </c>
      <c r="E3415" t="inlineStr">
        <is>
          <t>TORSBY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25915-2025</t>
        </is>
      </c>
      <c r="B3416" s="1" t="n">
        <v>45804</v>
      </c>
      <c r="C3416" s="1" t="n">
        <v>45822</v>
      </c>
      <c r="D3416" t="inlineStr">
        <is>
          <t>VÄRMLANDS LÄN</t>
        </is>
      </c>
      <c r="E3416" t="inlineStr">
        <is>
          <t>TORSBY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25881-2025</t>
        </is>
      </c>
      <c r="B3417" s="1" t="n">
        <v>45804</v>
      </c>
      <c r="C3417" s="1" t="n">
        <v>45822</v>
      </c>
      <c r="D3417" t="inlineStr">
        <is>
          <t>VÄRMLANDS LÄN</t>
        </is>
      </c>
      <c r="E3417" t="inlineStr">
        <is>
          <t>TORSBY</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25859-2025</t>
        </is>
      </c>
      <c r="B3418" s="1" t="n">
        <v>45804</v>
      </c>
      <c r="C3418" s="1" t="n">
        <v>45822</v>
      </c>
      <c r="D3418" t="inlineStr">
        <is>
          <t>VÄRMLANDS LÄN</t>
        </is>
      </c>
      <c r="E3418" t="inlineStr">
        <is>
          <t>TORSBY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26342-2025</t>
        </is>
      </c>
      <c r="B3419" s="1" t="n">
        <v>45805</v>
      </c>
      <c r="C3419" s="1" t="n">
        <v>45822</v>
      </c>
      <c r="D3419" t="inlineStr">
        <is>
          <t>VÄRMLANDS LÄN</t>
        </is>
      </c>
      <c r="E3419" t="inlineStr">
        <is>
          <t>TORSBY</t>
        </is>
      </c>
      <c r="F3419" t="inlineStr">
        <is>
          <t>Bergvik skog väst AB</t>
        </is>
      </c>
      <c r="G3419" t="n">
        <v>13.6</v>
      </c>
      <c r="H3419" t="n">
        <v>0</v>
      </c>
      <c r="I3419" t="n">
        <v>0</v>
      </c>
      <c r="J3419" t="n">
        <v>0</v>
      </c>
      <c r="K3419" t="n">
        <v>0</v>
      </c>
      <c r="L3419" t="n">
        <v>0</v>
      </c>
      <c r="M3419" t="n">
        <v>0</v>
      </c>
      <c r="N3419" t="n">
        <v>0</v>
      </c>
      <c r="O3419" t="n">
        <v>0</v>
      </c>
      <c r="P3419" t="n">
        <v>0</v>
      </c>
      <c r="Q3419" t="n">
        <v>0</v>
      </c>
      <c r="R3419" s="2" t="inlineStr"/>
    </row>
    <row r="3420" ht="15" customHeight="1">
      <c r="A3420" t="inlineStr">
        <is>
          <t>A 26231-2025</t>
        </is>
      </c>
      <c r="B3420" s="1" t="n">
        <v>45805</v>
      </c>
      <c r="C3420" s="1" t="n">
        <v>45822</v>
      </c>
      <c r="D3420" t="inlineStr">
        <is>
          <t>VÄRMLANDS LÄN</t>
        </is>
      </c>
      <c r="E3420" t="inlineStr">
        <is>
          <t>TORSBY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26061-2025</t>
        </is>
      </c>
      <c r="B3421" s="1" t="n">
        <v>45805</v>
      </c>
      <c r="C3421" s="1" t="n">
        <v>45822</v>
      </c>
      <c r="D3421" t="inlineStr">
        <is>
          <t>VÄRMLANDS LÄN</t>
        </is>
      </c>
      <c r="E3421" t="inlineStr">
        <is>
          <t>TORSBY</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26108-2025</t>
        </is>
      </c>
      <c r="B3422" s="1" t="n">
        <v>45805</v>
      </c>
      <c r="C3422" s="1" t="n">
        <v>45822</v>
      </c>
      <c r="D3422" t="inlineStr">
        <is>
          <t>VÄRMLANDS LÄN</t>
        </is>
      </c>
      <c r="E3422" t="inlineStr">
        <is>
          <t>TORSBY</t>
        </is>
      </c>
      <c r="F3422" t="inlineStr">
        <is>
          <t>Bergvik skog väst AB</t>
        </is>
      </c>
      <c r="G3422" t="n">
        <v>22.8</v>
      </c>
      <c r="H3422" t="n">
        <v>0</v>
      </c>
      <c r="I3422" t="n">
        <v>0</v>
      </c>
      <c r="J3422" t="n">
        <v>0</v>
      </c>
      <c r="K3422" t="n">
        <v>0</v>
      </c>
      <c r="L3422" t="n">
        <v>0</v>
      </c>
      <c r="M3422" t="n">
        <v>0</v>
      </c>
      <c r="N3422" t="n">
        <v>0</v>
      </c>
      <c r="O3422" t="n">
        <v>0</v>
      </c>
      <c r="P3422" t="n">
        <v>0</v>
      </c>
      <c r="Q3422" t="n">
        <v>0</v>
      </c>
      <c r="R3422" s="2" t="inlineStr"/>
    </row>
    <row r="3423" ht="15" customHeight="1">
      <c r="A3423" t="inlineStr">
        <is>
          <t>A 26333-2025</t>
        </is>
      </c>
      <c r="B3423" s="1" t="n">
        <v>45805</v>
      </c>
      <c r="C3423" s="1" t="n">
        <v>45822</v>
      </c>
      <c r="D3423" t="inlineStr">
        <is>
          <t>VÄRMLANDS LÄN</t>
        </is>
      </c>
      <c r="E3423" t="inlineStr">
        <is>
          <t>TORSBY</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26158-2025</t>
        </is>
      </c>
      <c r="B3424" s="1" t="n">
        <v>45805</v>
      </c>
      <c r="C3424" s="1" t="n">
        <v>45822</v>
      </c>
      <c r="D3424" t="inlineStr">
        <is>
          <t>VÄRMLANDS LÄN</t>
        </is>
      </c>
      <c r="E3424" t="inlineStr">
        <is>
          <t>TORSBY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26418-2025</t>
        </is>
      </c>
      <c r="B3425" s="1" t="n">
        <v>45807</v>
      </c>
      <c r="C3425" s="1" t="n">
        <v>45822</v>
      </c>
      <c r="D3425" t="inlineStr">
        <is>
          <t>VÄRMLANDS LÄN</t>
        </is>
      </c>
      <c r="E3425" t="inlineStr">
        <is>
          <t>TORSBY</t>
        </is>
      </c>
      <c r="F3425" t="inlineStr">
        <is>
          <t>Bergvik skog väst AB</t>
        </is>
      </c>
      <c r="G3425" t="n">
        <v>13.4</v>
      </c>
      <c r="H3425" t="n">
        <v>0</v>
      </c>
      <c r="I3425" t="n">
        <v>0</v>
      </c>
      <c r="J3425" t="n">
        <v>0</v>
      </c>
      <c r="K3425" t="n">
        <v>0</v>
      </c>
      <c r="L3425" t="n">
        <v>0</v>
      </c>
      <c r="M3425" t="n">
        <v>0</v>
      </c>
      <c r="N3425" t="n">
        <v>0</v>
      </c>
      <c r="O3425" t="n">
        <v>0</v>
      </c>
      <c r="P3425" t="n">
        <v>0</v>
      </c>
      <c r="Q3425" t="n">
        <v>0</v>
      </c>
      <c r="R3425" s="2" t="inlineStr"/>
    </row>
    <row r="3426" ht="15" customHeight="1">
      <c r="A3426" t="inlineStr">
        <is>
          <t>A 26491-2025</t>
        </is>
      </c>
      <c r="B3426" s="1" t="n">
        <v>45807</v>
      </c>
      <c r="C3426" s="1" t="n">
        <v>45822</v>
      </c>
      <c r="D3426" t="inlineStr">
        <is>
          <t>VÄRMLANDS LÄN</t>
        </is>
      </c>
      <c r="E3426" t="inlineStr">
        <is>
          <t>TORSBY</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26504-2025</t>
        </is>
      </c>
      <c r="B3427" s="1" t="n">
        <v>45807</v>
      </c>
      <c r="C3427" s="1" t="n">
        <v>45822</v>
      </c>
      <c r="D3427" t="inlineStr">
        <is>
          <t>VÄRMLANDS LÄN</t>
        </is>
      </c>
      <c r="E3427" t="inlineStr">
        <is>
          <t>TORSBY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26505-2025</t>
        </is>
      </c>
      <c r="B3428" s="1" t="n">
        <v>45807</v>
      </c>
      <c r="C3428" s="1" t="n">
        <v>45822</v>
      </c>
      <c r="D3428" t="inlineStr">
        <is>
          <t>VÄRMLANDS LÄN</t>
        </is>
      </c>
      <c r="E3428" t="inlineStr">
        <is>
          <t>TORSBY</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26539-2025</t>
        </is>
      </c>
      <c r="B3429" s="1" t="n">
        <v>45807</v>
      </c>
      <c r="C3429" s="1" t="n">
        <v>45822</v>
      </c>
      <c r="D3429" t="inlineStr">
        <is>
          <t>VÄRMLANDS LÄN</t>
        </is>
      </c>
      <c r="E3429" t="inlineStr">
        <is>
          <t>TORSBY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26479-2025</t>
        </is>
      </c>
      <c r="B3430" s="1" t="n">
        <v>45807</v>
      </c>
      <c r="C3430" s="1" t="n">
        <v>45822</v>
      </c>
      <c r="D3430" t="inlineStr">
        <is>
          <t>VÄRMLANDS LÄN</t>
        </is>
      </c>
      <c r="E3430" t="inlineStr">
        <is>
          <t>TORSBY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26563-2025</t>
        </is>
      </c>
      <c r="B3431" s="1" t="n">
        <v>45807</v>
      </c>
      <c r="C3431" s="1" t="n">
        <v>45822</v>
      </c>
      <c r="D3431" t="inlineStr">
        <is>
          <t>VÄRMLANDS LÄN</t>
        </is>
      </c>
      <c r="E3431" t="inlineStr">
        <is>
          <t>TORSBY</t>
        </is>
      </c>
      <c r="F3431" t="inlineStr">
        <is>
          <t>Bergvik skog väst AB</t>
        </is>
      </c>
      <c r="G3431" t="n">
        <v>19.5</v>
      </c>
      <c r="H3431" t="n">
        <v>0</v>
      </c>
      <c r="I3431" t="n">
        <v>0</v>
      </c>
      <c r="J3431" t="n">
        <v>0</v>
      </c>
      <c r="K3431" t="n">
        <v>0</v>
      </c>
      <c r="L3431" t="n">
        <v>0</v>
      </c>
      <c r="M3431" t="n">
        <v>0</v>
      </c>
      <c r="N3431" t="n">
        <v>0</v>
      </c>
      <c r="O3431" t="n">
        <v>0</v>
      </c>
      <c r="P3431" t="n">
        <v>0</v>
      </c>
      <c r="Q3431" t="n">
        <v>0</v>
      </c>
      <c r="R3431" s="2" t="inlineStr"/>
    </row>
    <row r="3432" ht="15" customHeight="1">
      <c r="A3432" t="inlineStr">
        <is>
          <t>A 26507-2025</t>
        </is>
      </c>
      <c r="B3432" s="1" t="n">
        <v>45807</v>
      </c>
      <c r="C3432" s="1" t="n">
        <v>45822</v>
      </c>
      <c r="D3432" t="inlineStr">
        <is>
          <t>VÄRMLANDS LÄN</t>
        </is>
      </c>
      <c r="E3432" t="inlineStr">
        <is>
          <t>TORSBY</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26533-2025</t>
        </is>
      </c>
      <c r="B3433" s="1" t="n">
        <v>45807</v>
      </c>
      <c r="C3433" s="1" t="n">
        <v>45822</v>
      </c>
      <c r="D3433" t="inlineStr">
        <is>
          <t>VÄRMLANDS LÄN</t>
        </is>
      </c>
      <c r="E3433" t="inlineStr">
        <is>
          <t>TORSBY</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26564-2025</t>
        </is>
      </c>
      <c r="B3434" s="1" t="n">
        <v>45807</v>
      </c>
      <c r="C3434" s="1" t="n">
        <v>45822</v>
      </c>
      <c r="D3434" t="inlineStr">
        <is>
          <t>VÄRMLANDS LÄN</t>
        </is>
      </c>
      <c r="E3434" t="inlineStr">
        <is>
          <t>TORSBY</t>
        </is>
      </c>
      <c r="F3434" t="inlineStr">
        <is>
          <t>Bergvik skog väst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26487-2025</t>
        </is>
      </c>
      <c r="B3435" s="1" t="n">
        <v>45807</v>
      </c>
      <c r="C3435" s="1" t="n">
        <v>45822</v>
      </c>
      <c r="D3435" t="inlineStr">
        <is>
          <t>VÄRMLANDS LÄN</t>
        </is>
      </c>
      <c r="E3435" t="inlineStr">
        <is>
          <t>TORSBY</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26511-2025</t>
        </is>
      </c>
      <c r="B3436" s="1" t="n">
        <v>45807</v>
      </c>
      <c r="C3436" s="1" t="n">
        <v>45822</v>
      </c>
      <c r="D3436" t="inlineStr">
        <is>
          <t>VÄRMLANDS LÄN</t>
        </is>
      </c>
      <c r="E3436" t="inlineStr">
        <is>
          <t>TORSBY</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26607-2025</t>
        </is>
      </c>
      <c r="B3437" s="1" t="n">
        <v>45810</v>
      </c>
      <c r="C3437" s="1" t="n">
        <v>45822</v>
      </c>
      <c r="D3437" t="inlineStr">
        <is>
          <t>VÄRMLANDS LÄN</t>
        </is>
      </c>
      <c r="E3437" t="inlineStr">
        <is>
          <t>TORSBY</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26822-2025</t>
        </is>
      </c>
      <c r="B3438" s="1" t="n">
        <v>45810</v>
      </c>
      <c r="C3438" s="1" t="n">
        <v>45822</v>
      </c>
      <c r="D3438" t="inlineStr">
        <is>
          <t>VÄRMLANDS LÄN</t>
        </is>
      </c>
      <c r="E3438" t="inlineStr">
        <is>
          <t>TORSBY</t>
        </is>
      </c>
      <c r="G3438" t="n">
        <v>13.7</v>
      </c>
      <c r="H3438" t="n">
        <v>0</v>
      </c>
      <c r="I3438" t="n">
        <v>0</v>
      </c>
      <c r="J3438" t="n">
        <v>0</v>
      </c>
      <c r="K3438" t="n">
        <v>0</v>
      </c>
      <c r="L3438" t="n">
        <v>0</v>
      </c>
      <c r="M3438" t="n">
        <v>0</v>
      </c>
      <c r="N3438" t="n">
        <v>0</v>
      </c>
      <c r="O3438" t="n">
        <v>0</v>
      </c>
      <c r="P3438" t="n">
        <v>0</v>
      </c>
      <c r="Q3438" t="n">
        <v>0</v>
      </c>
      <c r="R3438" s="2" t="inlineStr"/>
    </row>
    <row r="3439" ht="15" customHeight="1">
      <c r="A3439" t="inlineStr">
        <is>
          <t>A 27093-2025</t>
        </is>
      </c>
      <c r="B3439" s="1" t="n">
        <v>45811</v>
      </c>
      <c r="C3439" s="1" t="n">
        <v>45822</v>
      </c>
      <c r="D3439" t="inlineStr">
        <is>
          <t>VÄRMLANDS LÄN</t>
        </is>
      </c>
      <c r="E3439" t="inlineStr">
        <is>
          <t>TORSBY</t>
        </is>
      </c>
      <c r="F3439" t="inlineStr">
        <is>
          <t>Bergvik skog väst AB</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27094-2025</t>
        </is>
      </c>
      <c r="B3440" s="1" t="n">
        <v>45811</v>
      </c>
      <c r="C3440" s="1" t="n">
        <v>45822</v>
      </c>
      <c r="D3440" t="inlineStr">
        <is>
          <t>VÄRMLANDS LÄN</t>
        </is>
      </c>
      <c r="E3440" t="inlineStr">
        <is>
          <t>TORSBY</t>
        </is>
      </c>
      <c r="F3440" t="inlineStr">
        <is>
          <t>Bergvik skog väst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26960-2025</t>
        </is>
      </c>
      <c r="B3441" s="1" t="n">
        <v>45811</v>
      </c>
      <c r="C3441" s="1" t="n">
        <v>45822</v>
      </c>
      <c r="D3441" t="inlineStr">
        <is>
          <t>VÄRMLANDS LÄN</t>
        </is>
      </c>
      <c r="E3441" t="inlineStr">
        <is>
          <t>TORSBY</t>
        </is>
      </c>
      <c r="F3441" t="inlineStr">
        <is>
          <t>Kyrkan</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27043-2025</t>
        </is>
      </c>
      <c r="B3442" s="1" t="n">
        <v>45811</v>
      </c>
      <c r="C3442" s="1" t="n">
        <v>45822</v>
      </c>
      <c r="D3442" t="inlineStr">
        <is>
          <t>VÄRMLANDS LÄN</t>
        </is>
      </c>
      <c r="E3442" t="inlineStr">
        <is>
          <t>TORSBY</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27056-2025</t>
        </is>
      </c>
      <c r="B3443" s="1" t="n">
        <v>45811</v>
      </c>
      <c r="C3443" s="1" t="n">
        <v>45822</v>
      </c>
      <c r="D3443" t="inlineStr">
        <is>
          <t>VÄRMLANDS LÄN</t>
        </is>
      </c>
      <c r="E3443" t="inlineStr">
        <is>
          <t>TORSBY</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26892-2025</t>
        </is>
      </c>
      <c r="B3444" s="1" t="n">
        <v>45811</v>
      </c>
      <c r="C3444" s="1" t="n">
        <v>45822</v>
      </c>
      <c r="D3444" t="inlineStr">
        <is>
          <t>VÄRMLANDS LÄN</t>
        </is>
      </c>
      <c r="E3444" t="inlineStr">
        <is>
          <t>TORSBY</t>
        </is>
      </c>
      <c r="F3444" t="inlineStr">
        <is>
          <t>Bergvik skog väst AB</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26897-2025</t>
        </is>
      </c>
      <c r="B3445" s="1" t="n">
        <v>45811</v>
      </c>
      <c r="C3445" s="1" t="n">
        <v>45822</v>
      </c>
      <c r="D3445" t="inlineStr">
        <is>
          <t>VÄRMLANDS LÄN</t>
        </is>
      </c>
      <c r="E3445" t="inlineStr">
        <is>
          <t>TORSBY</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27116-2025</t>
        </is>
      </c>
      <c r="B3446" s="1" t="n">
        <v>45811</v>
      </c>
      <c r="C3446" s="1" t="n">
        <v>45822</v>
      </c>
      <c r="D3446" t="inlineStr">
        <is>
          <t>VÄRMLANDS LÄN</t>
        </is>
      </c>
      <c r="E3446" t="inlineStr">
        <is>
          <t>TORSBY</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26890-2025</t>
        </is>
      </c>
      <c r="B3447" s="1" t="n">
        <v>45811</v>
      </c>
      <c r="C3447" s="1" t="n">
        <v>45822</v>
      </c>
      <c r="D3447" t="inlineStr">
        <is>
          <t>VÄRMLANDS LÄN</t>
        </is>
      </c>
      <c r="E3447" t="inlineStr">
        <is>
          <t>TORSBY</t>
        </is>
      </c>
      <c r="F3447" t="inlineStr">
        <is>
          <t>Bergvik skog väst AB</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26898-2025</t>
        </is>
      </c>
      <c r="B3448" s="1" t="n">
        <v>45811</v>
      </c>
      <c r="C3448" s="1" t="n">
        <v>45822</v>
      </c>
      <c r="D3448" t="inlineStr">
        <is>
          <t>VÄRMLANDS LÄN</t>
        </is>
      </c>
      <c r="E3448" t="inlineStr">
        <is>
          <t>TORSBY</t>
        </is>
      </c>
      <c r="F3448" t="inlineStr">
        <is>
          <t>Övriga Aktiebolag</t>
        </is>
      </c>
      <c r="G3448" t="n">
        <v>37.8</v>
      </c>
      <c r="H3448" t="n">
        <v>0</v>
      </c>
      <c r="I3448" t="n">
        <v>0</v>
      </c>
      <c r="J3448" t="n">
        <v>0</v>
      </c>
      <c r="K3448" t="n">
        <v>0</v>
      </c>
      <c r="L3448" t="n">
        <v>0</v>
      </c>
      <c r="M3448" t="n">
        <v>0</v>
      </c>
      <c r="N3448" t="n">
        <v>0</v>
      </c>
      <c r="O3448" t="n">
        <v>0</v>
      </c>
      <c r="P3448" t="n">
        <v>0</v>
      </c>
      <c r="Q3448" t="n">
        <v>0</v>
      </c>
      <c r="R3448" s="2" t="inlineStr"/>
    </row>
    <row r="3449" ht="15" customHeight="1">
      <c r="A3449" t="inlineStr">
        <is>
          <t>A 27149-2025</t>
        </is>
      </c>
      <c r="B3449" s="1" t="n">
        <v>45812</v>
      </c>
      <c r="C3449" s="1" t="n">
        <v>45822</v>
      </c>
      <c r="D3449" t="inlineStr">
        <is>
          <t>VÄRMLANDS LÄN</t>
        </is>
      </c>
      <c r="E3449" t="inlineStr">
        <is>
          <t>TORSBY</t>
        </is>
      </c>
      <c r="F3449" t="inlineStr">
        <is>
          <t>Bergvik skog väst AB</t>
        </is>
      </c>
      <c r="G3449" t="n">
        <v>9.699999999999999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27174-2025</t>
        </is>
      </c>
      <c r="B3450" s="1" t="n">
        <v>45812</v>
      </c>
      <c r="C3450" s="1" t="n">
        <v>45822</v>
      </c>
      <c r="D3450" t="inlineStr">
        <is>
          <t>VÄRMLANDS LÄN</t>
        </is>
      </c>
      <c r="E3450" t="inlineStr">
        <is>
          <t>TORSBY</t>
        </is>
      </c>
      <c r="F3450" t="inlineStr">
        <is>
          <t>Kyrkan</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27291-2025</t>
        </is>
      </c>
      <c r="B3451" s="1" t="n">
        <v>45812</v>
      </c>
      <c r="C3451" s="1" t="n">
        <v>45822</v>
      </c>
      <c r="D3451" t="inlineStr">
        <is>
          <t>VÄRMLANDS LÄN</t>
        </is>
      </c>
      <c r="E3451" t="inlineStr">
        <is>
          <t>TORSBY</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27450-2025</t>
        </is>
      </c>
      <c r="B3452" s="1" t="n">
        <v>45813</v>
      </c>
      <c r="C3452" s="1" t="n">
        <v>45822</v>
      </c>
      <c r="D3452" t="inlineStr">
        <is>
          <t>VÄRMLANDS LÄN</t>
        </is>
      </c>
      <c r="E3452" t="inlineStr">
        <is>
          <t>TORSBY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27467-2025</t>
        </is>
      </c>
      <c r="B3453" s="1" t="n">
        <v>45813</v>
      </c>
      <c r="C3453" s="1" t="n">
        <v>45822</v>
      </c>
      <c r="D3453" t="inlineStr">
        <is>
          <t>VÄRMLANDS LÄN</t>
        </is>
      </c>
      <c r="E3453" t="inlineStr">
        <is>
          <t>TORSBY</t>
        </is>
      </c>
      <c r="F3453" t="inlineStr">
        <is>
          <t>Bergvik skog väst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27674-2025</t>
        </is>
      </c>
      <c r="B3454" s="1" t="n">
        <v>45813</v>
      </c>
      <c r="C3454" s="1" t="n">
        <v>45822</v>
      </c>
      <c r="D3454" t="inlineStr">
        <is>
          <t>VÄRMLANDS LÄN</t>
        </is>
      </c>
      <c r="E3454" t="inlineStr">
        <is>
          <t>TORSBY</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27667-2025</t>
        </is>
      </c>
      <c r="B3455" s="1" t="n">
        <v>45813</v>
      </c>
      <c r="C3455" s="1" t="n">
        <v>45822</v>
      </c>
      <c r="D3455" t="inlineStr">
        <is>
          <t>VÄRMLANDS LÄN</t>
        </is>
      </c>
      <c r="E3455" t="inlineStr">
        <is>
          <t>TORSBY</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27470-2025</t>
        </is>
      </c>
      <c r="B3456" s="1" t="n">
        <v>45813</v>
      </c>
      <c r="C3456" s="1" t="n">
        <v>45822</v>
      </c>
      <c r="D3456" t="inlineStr">
        <is>
          <t>VÄRMLANDS LÄN</t>
        </is>
      </c>
      <c r="E3456" t="inlineStr">
        <is>
          <t>TORSBY</t>
        </is>
      </c>
      <c r="G3456" t="n">
        <v>17.9</v>
      </c>
      <c r="H3456" t="n">
        <v>0</v>
      </c>
      <c r="I3456" t="n">
        <v>0</v>
      </c>
      <c r="J3456" t="n">
        <v>0</v>
      </c>
      <c r="K3456" t="n">
        <v>0</v>
      </c>
      <c r="L3456" t="n">
        <v>0</v>
      </c>
      <c r="M3456" t="n">
        <v>0</v>
      </c>
      <c r="N3456" t="n">
        <v>0</v>
      </c>
      <c r="O3456" t="n">
        <v>0</v>
      </c>
      <c r="P3456" t="n">
        <v>0</v>
      </c>
      <c r="Q3456" t="n">
        <v>0</v>
      </c>
      <c r="R3456" s="2" t="inlineStr"/>
    </row>
    <row r="3457" ht="15" customHeight="1">
      <c r="A3457" t="inlineStr">
        <is>
          <t>A 27730-2025</t>
        </is>
      </c>
      <c r="B3457" s="1" t="n">
        <v>45814</v>
      </c>
      <c r="C3457" s="1" t="n">
        <v>45822</v>
      </c>
      <c r="D3457" t="inlineStr">
        <is>
          <t>VÄRMLANDS LÄN</t>
        </is>
      </c>
      <c r="E3457" t="inlineStr">
        <is>
          <t>TORSBY</t>
        </is>
      </c>
      <c r="F3457" t="inlineStr">
        <is>
          <t>Bergvik skog väst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27728-2025</t>
        </is>
      </c>
      <c r="B3458" s="1" t="n">
        <v>45814</v>
      </c>
      <c r="C3458" s="1" t="n">
        <v>45822</v>
      </c>
      <c r="D3458" t="inlineStr">
        <is>
          <t>VÄRMLANDS LÄN</t>
        </is>
      </c>
      <c r="E3458" t="inlineStr">
        <is>
          <t>TORSBY</t>
        </is>
      </c>
      <c r="F3458" t="inlineStr">
        <is>
          <t>Bergvik skog väst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27758-2025</t>
        </is>
      </c>
      <c r="B3459" s="1" t="n">
        <v>45816</v>
      </c>
      <c r="C3459" s="1" t="n">
        <v>45822</v>
      </c>
      <c r="D3459" t="inlineStr">
        <is>
          <t>VÄRMLANDS LÄN</t>
        </is>
      </c>
      <c r="E3459" t="inlineStr">
        <is>
          <t>TORSBY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27759-2025</t>
        </is>
      </c>
      <c r="B3460" s="1" t="n">
        <v>45816</v>
      </c>
      <c r="C3460" s="1" t="n">
        <v>45822</v>
      </c>
      <c r="D3460" t="inlineStr">
        <is>
          <t>VÄRMLANDS LÄN</t>
        </is>
      </c>
      <c r="E3460" t="inlineStr">
        <is>
          <t>TORSBY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27906-2025</t>
        </is>
      </c>
      <c r="B3461" s="1" t="n">
        <v>45817</v>
      </c>
      <c r="C3461" s="1" t="n">
        <v>45822</v>
      </c>
      <c r="D3461" t="inlineStr">
        <is>
          <t>VÄRMLANDS LÄN</t>
        </is>
      </c>
      <c r="E3461" t="inlineStr">
        <is>
          <t>TORSBY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27962-2025</t>
        </is>
      </c>
      <c r="B3462" s="1" t="n">
        <v>45817</v>
      </c>
      <c r="C3462" s="1" t="n">
        <v>45822</v>
      </c>
      <c r="D3462" t="inlineStr">
        <is>
          <t>VÄRMLANDS LÄN</t>
        </is>
      </c>
      <c r="E3462" t="inlineStr">
        <is>
          <t>TORSBY</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27968-2025</t>
        </is>
      </c>
      <c r="B3463" s="1" t="n">
        <v>45817</v>
      </c>
      <c r="C3463" s="1" t="n">
        <v>45822</v>
      </c>
      <c r="D3463" t="inlineStr">
        <is>
          <t>VÄRMLANDS LÄN</t>
        </is>
      </c>
      <c r="E3463" t="inlineStr">
        <is>
          <t>TORSBY</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27856-2025</t>
        </is>
      </c>
      <c r="B3464" s="1" t="n">
        <v>45817</v>
      </c>
      <c r="C3464" s="1" t="n">
        <v>45822</v>
      </c>
      <c r="D3464" t="inlineStr">
        <is>
          <t>VÄRMLANDS LÄN</t>
        </is>
      </c>
      <c r="E3464" t="inlineStr">
        <is>
          <t>TORSBY</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27863-2025</t>
        </is>
      </c>
      <c r="B3465" s="1" t="n">
        <v>45817</v>
      </c>
      <c r="C3465" s="1" t="n">
        <v>45822</v>
      </c>
      <c r="D3465" t="inlineStr">
        <is>
          <t>VÄRMLANDS LÄN</t>
        </is>
      </c>
      <c r="E3465" t="inlineStr">
        <is>
          <t>TORSBY</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28116-2025</t>
        </is>
      </c>
      <c r="B3466" s="1" t="n">
        <v>45818</v>
      </c>
      <c r="C3466" s="1" t="n">
        <v>45822</v>
      </c>
      <c r="D3466" t="inlineStr">
        <is>
          <t>VÄRMLANDS LÄN</t>
        </is>
      </c>
      <c r="E3466" t="inlineStr">
        <is>
          <t>TORSBY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28117-2025</t>
        </is>
      </c>
      <c r="B3467" s="1" t="n">
        <v>45818</v>
      </c>
      <c r="C3467" s="1" t="n">
        <v>45822</v>
      </c>
      <c r="D3467" t="inlineStr">
        <is>
          <t>VÄRMLANDS LÄN</t>
        </is>
      </c>
      <c r="E3467" t="inlineStr">
        <is>
          <t>TORSBY</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28118-2025</t>
        </is>
      </c>
      <c r="B3468" s="1" t="n">
        <v>45818</v>
      </c>
      <c r="C3468" s="1" t="n">
        <v>45822</v>
      </c>
      <c r="D3468" t="inlineStr">
        <is>
          <t>VÄRMLANDS LÄN</t>
        </is>
      </c>
      <c r="E3468" t="inlineStr">
        <is>
          <t>TORSBY</t>
        </is>
      </c>
      <c r="F3468" t="inlineStr">
        <is>
          <t>Bergvik skog väst AB</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28214-2025</t>
        </is>
      </c>
      <c r="B3469" s="1" t="n">
        <v>45818</v>
      </c>
      <c r="C3469" s="1" t="n">
        <v>45822</v>
      </c>
      <c r="D3469" t="inlineStr">
        <is>
          <t>VÄRMLANDS LÄN</t>
        </is>
      </c>
      <c r="E3469" t="inlineStr">
        <is>
          <t>TORSBY</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28511-2025</t>
        </is>
      </c>
      <c r="B3470" s="1" t="n">
        <v>45819</v>
      </c>
      <c r="C3470" s="1" t="n">
        <v>45822</v>
      </c>
      <c r="D3470" t="inlineStr">
        <is>
          <t>VÄRMLANDS LÄN</t>
        </is>
      </c>
      <c r="E3470" t="inlineStr">
        <is>
          <t>TORSBY</t>
        </is>
      </c>
      <c r="F3470" t="inlineStr">
        <is>
          <t>Bergvik skog väst AB</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28612-2025</t>
        </is>
      </c>
      <c r="B3471" s="1" t="n">
        <v>45819</v>
      </c>
      <c r="C3471" s="1" t="n">
        <v>45822</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28380-2025</t>
        </is>
      </c>
      <c r="B3472" s="1" t="n">
        <v>45819</v>
      </c>
      <c r="C3472" s="1" t="n">
        <v>45822</v>
      </c>
      <c r="D3472" t="inlineStr">
        <is>
          <t>VÄRMLANDS LÄN</t>
        </is>
      </c>
      <c r="E3472" t="inlineStr">
        <is>
          <t>TORSBY</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28898-2025</t>
        </is>
      </c>
      <c r="B3473" s="1" t="n">
        <v>45820</v>
      </c>
      <c r="C3473" s="1" t="n">
        <v>45822</v>
      </c>
      <c r="D3473" t="inlineStr">
        <is>
          <t>VÄRMLANDS LÄN</t>
        </is>
      </c>
      <c r="E3473" t="inlineStr">
        <is>
          <t>TORSBY</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28765-2025</t>
        </is>
      </c>
      <c r="B3474" s="1" t="n">
        <v>45820</v>
      </c>
      <c r="C3474" s="1" t="n">
        <v>45822</v>
      </c>
      <c r="D3474" t="inlineStr">
        <is>
          <t>VÄRMLANDS LÄN</t>
        </is>
      </c>
      <c r="E3474" t="inlineStr">
        <is>
          <t>TORSBY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28791-2025</t>
        </is>
      </c>
      <c r="B3475" s="1" t="n">
        <v>45820</v>
      </c>
      <c r="C3475" s="1" t="n">
        <v>45822</v>
      </c>
      <c r="D3475" t="inlineStr">
        <is>
          <t>VÄRMLANDS LÄN</t>
        </is>
      </c>
      <c r="E3475" t="inlineStr">
        <is>
          <t>TORSBY</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28761-2025</t>
        </is>
      </c>
      <c r="B3476" s="1" t="n">
        <v>45820</v>
      </c>
      <c r="C3476" s="1" t="n">
        <v>45822</v>
      </c>
      <c r="D3476" t="inlineStr">
        <is>
          <t>VÄRMLANDS LÄN</t>
        </is>
      </c>
      <c r="E3476" t="inlineStr">
        <is>
          <t>TORSBY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28774-2025</t>
        </is>
      </c>
      <c r="B3477" s="1" t="n">
        <v>45820</v>
      </c>
      <c r="C3477" s="1" t="n">
        <v>45822</v>
      </c>
      <c r="D3477" t="inlineStr">
        <is>
          <t>VÄRMLANDS LÄN</t>
        </is>
      </c>
      <c r="E3477" t="inlineStr">
        <is>
          <t>TORSBY</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28784-2025</t>
        </is>
      </c>
      <c r="B3478" s="1" t="n">
        <v>45820</v>
      </c>
      <c r="C3478" s="1" t="n">
        <v>45822</v>
      </c>
      <c r="D3478" t="inlineStr">
        <is>
          <t>VÄRMLANDS LÄN</t>
        </is>
      </c>
      <c r="E3478" t="inlineStr">
        <is>
          <t>TORSBY</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28939-2025</t>
        </is>
      </c>
      <c r="B3479" s="1" t="n">
        <v>45820</v>
      </c>
      <c r="C3479" s="1" t="n">
        <v>45822</v>
      </c>
      <c r="D3479" t="inlineStr">
        <is>
          <t>VÄRMLANDS LÄN</t>
        </is>
      </c>
      <c r="E3479" t="inlineStr">
        <is>
          <t>TORSBY</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29063-2025</t>
        </is>
      </c>
      <c r="B3480" s="1" t="n">
        <v>45821</v>
      </c>
      <c r="C3480" s="1" t="n">
        <v>45822</v>
      </c>
      <c r="D3480" t="inlineStr">
        <is>
          <t>VÄRMLANDS LÄN</t>
        </is>
      </c>
      <c r="E3480" t="inlineStr">
        <is>
          <t>TORSBY</t>
        </is>
      </c>
      <c r="G3480" t="n">
        <v>10.2</v>
      </c>
      <c r="H3480" t="n">
        <v>0</v>
      </c>
      <c r="I3480" t="n">
        <v>0</v>
      </c>
      <c r="J3480" t="n">
        <v>0</v>
      </c>
      <c r="K3480" t="n">
        <v>0</v>
      </c>
      <c r="L3480" t="n">
        <v>0</v>
      </c>
      <c r="M3480" t="n">
        <v>0</v>
      </c>
      <c r="N3480" t="n">
        <v>0</v>
      </c>
      <c r="O3480" t="n">
        <v>0</v>
      </c>
      <c r="P3480" t="n">
        <v>0</v>
      </c>
      <c r="Q3480" t="n">
        <v>0</v>
      </c>
      <c r="R3480" s="2" t="inlineStr"/>
    </row>
    <row r="3481">
      <c r="A3481" t="inlineStr">
        <is>
          <t>A 29071-2025</t>
        </is>
      </c>
      <c r="B3481" s="1" t="n">
        <v>45821</v>
      </c>
      <c r="C3481" s="1" t="n">
        <v>45822</v>
      </c>
      <c r="D3481" t="inlineStr">
        <is>
          <t>VÄRMLANDS LÄN</t>
        </is>
      </c>
      <c r="E3481" t="inlineStr">
        <is>
          <t>TORSBY</t>
        </is>
      </c>
      <c r="G3481" t="n">
        <v>4.2</v>
      </c>
      <c r="H3481" t="n">
        <v>0</v>
      </c>
      <c r="I3481" t="n">
        <v>0</v>
      </c>
      <c r="J3481" t="n">
        <v>0</v>
      </c>
      <c r="K3481" t="n">
        <v>0</v>
      </c>
      <c r="L3481" t="n">
        <v>0</v>
      </c>
      <c r="M3481" t="n">
        <v>0</v>
      </c>
      <c r="N3481" t="n">
        <v>0</v>
      </c>
      <c r="O3481" t="n">
        <v>0</v>
      </c>
      <c r="P3481" t="n">
        <v>0</v>
      </c>
      <c r="Q3481" t="n">
        <v>0</v>
      </c>
      <c r="R3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2025-06-15T00:07:30Z</dcterms:created>
  <dcterms:modified xmlns:dcterms="http://purl.org/dc/terms/" xmlns:xsi="http://www.w3.org/2001/XMLSchema-instance" xsi:type="dcterms:W3CDTF">2025-06-15T00:07:33Z</dcterms:modified>
</cp:coreProperties>
</file>